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ag\Documents\ITMO\math-stat\"/>
    </mc:Choice>
  </mc:AlternateContent>
  <xr:revisionPtr revIDLastSave="0" documentId="13_ncr:1_{5EBEFEF7-C808-47E0-AD54-CC60DD3EE7DC}" xr6:coauthVersionLast="47" xr6:coauthVersionMax="47" xr10:uidLastSave="{00000000-0000-0000-0000-000000000000}"/>
  <bookViews>
    <workbookView xWindow="-98" yWindow="-98" windowWidth="24196" windowHeight="14476" activeTab="2" xr2:uid="{4614F9E2-84C5-4E9B-AD05-654D429CD847}"/>
  </bookViews>
  <sheets>
    <sheet name="п. 1" sheetId="1" r:id="rId1"/>
    <sheet name="п. 2" sheetId="2" r:id="rId2"/>
    <sheet name="п.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G4" i="3"/>
  <c r="G5" i="3"/>
  <c r="G6" i="3"/>
  <c r="G7" i="3"/>
  <c r="G8" i="3"/>
  <c r="G9" i="3"/>
  <c r="G10" i="3"/>
  <c r="G11" i="3"/>
  <c r="G12" i="3"/>
  <c r="G3" i="3"/>
  <c r="E17" i="3"/>
  <c r="C4" i="3"/>
  <c r="C5" i="3"/>
  <c r="D5" i="3" s="1"/>
  <c r="E5" i="3" s="1"/>
  <c r="C6" i="3"/>
  <c r="C7" i="3"/>
  <c r="C8" i="3"/>
  <c r="C9" i="3"/>
  <c r="C10" i="3"/>
  <c r="C11" i="3"/>
  <c r="C3" i="3"/>
  <c r="D3" i="3" s="1"/>
  <c r="E3" i="3" s="1"/>
  <c r="D10" i="3"/>
  <c r="E10" i="3" s="1"/>
  <c r="D12" i="3"/>
  <c r="E12" i="3" s="1"/>
  <c r="D8" i="3"/>
  <c r="E8" i="3" s="1"/>
  <c r="B3" i="3"/>
  <c r="C23" i="3"/>
  <c r="B31" i="3"/>
  <c r="B30" i="3"/>
  <c r="B29" i="3"/>
  <c r="B28" i="3"/>
  <c r="B27" i="3"/>
  <c r="B26" i="3"/>
  <c r="B25" i="3"/>
  <c r="B24" i="3"/>
  <c r="B23" i="3"/>
  <c r="D6" i="3" l="1"/>
  <c r="E6" i="3" s="1"/>
  <c r="D9" i="3"/>
  <c r="E9" i="3" s="1"/>
  <c r="D11" i="3"/>
  <c r="E11" i="3" s="1"/>
  <c r="D7" i="3"/>
  <c r="E7" i="3" s="1"/>
  <c r="D4" i="3"/>
  <c r="E4" i="3" s="1"/>
  <c r="B4" i="3" l="1"/>
  <c r="B5" i="3"/>
  <c r="B6" i="3"/>
  <c r="B7" i="3"/>
  <c r="B8" i="3"/>
  <c r="B9" i="3"/>
  <c r="B10" i="3"/>
  <c r="B11" i="3"/>
  <c r="J10" i="2"/>
  <c r="C32" i="2"/>
  <c r="D32" i="2"/>
  <c r="D31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30" i="2"/>
  <c r="I4" i="2"/>
  <c r="I5" i="2" s="1"/>
  <c r="I6" i="2" s="1"/>
  <c r="I7" i="2" s="1"/>
  <c r="I8" i="2" s="1"/>
  <c r="I9" i="2" s="1"/>
  <c r="I10" i="2" s="1"/>
  <c r="I11" i="2" s="1"/>
  <c r="I3" i="2"/>
  <c r="I2" i="2"/>
  <c r="C22" i="2"/>
  <c r="C21" i="2"/>
  <c r="J6" i="2"/>
  <c r="C30" i="2"/>
  <c r="G6" i="2"/>
  <c r="H6" i="2" s="1"/>
  <c r="G8" i="2"/>
  <c r="H8" i="2" s="1"/>
  <c r="G9" i="2"/>
  <c r="H9" i="2" s="1"/>
  <c r="G10" i="2"/>
  <c r="H10" i="2" s="1"/>
  <c r="E4" i="2"/>
  <c r="J4" i="2" s="1"/>
  <c r="F4" i="2"/>
  <c r="E5" i="2" s="1"/>
  <c r="G5" i="2" s="1"/>
  <c r="H5" i="2" s="1"/>
  <c r="F5" i="2"/>
  <c r="E6" i="2"/>
  <c r="F6" i="2"/>
  <c r="E7" i="2" s="1"/>
  <c r="F7" i="2"/>
  <c r="E8" i="2"/>
  <c r="F8" i="2"/>
  <c r="J8" i="2" s="1"/>
  <c r="E9" i="2"/>
  <c r="J9" i="2" s="1"/>
  <c r="F9" i="2"/>
  <c r="E10" i="2"/>
  <c r="F10" i="2"/>
  <c r="E11" i="2"/>
  <c r="J11" i="2" s="1"/>
  <c r="F11" i="2"/>
  <c r="F3" i="2"/>
  <c r="F2" i="2"/>
  <c r="G2" i="2" s="1"/>
  <c r="H2" i="2" s="1"/>
  <c r="C25" i="2" l="1"/>
  <c r="C26" i="2"/>
  <c r="K8" i="2"/>
  <c r="G7" i="2"/>
  <c r="H7" i="2" s="1"/>
  <c r="J7" i="2"/>
  <c r="N8" i="2"/>
  <c r="N5" i="2"/>
  <c r="C17" i="2"/>
  <c r="C18" i="2"/>
  <c r="N9" i="2"/>
  <c r="C31" i="2"/>
  <c r="N2" i="2"/>
  <c r="K10" i="2"/>
  <c r="N10" i="2"/>
  <c r="K6" i="2"/>
  <c r="N6" i="2"/>
  <c r="K9" i="2"/>
  <c r="C28" i="2"/>
  <c r="C27" i="2"/>
  <c r="E3" i="2"/>
  <c r="G4" i="2"/>
  <c r="H4" i="2" s="1"/>
  <c r="J2" i="2"/>
  <c r="J5" i="2"/>
  <c r="G11" i="2"/>
  <c r="H11" i="2" s="1"/>
  <c r="C29" i="2"/>
  <c r="C19" i="2" l="1"/>
  <c r="C20" i="2"/>
  <c r="K5" i="2"/>
  <c r="N4" i="2"/>
  <c r="J3" i="2"/>
  <c r="G3" i="2"/>
  <c r="H3" i="2" s="1"/>
  <c r="C24" i="2"/>
  <c r="K7" i="2"/>
  <c r="C23" i="2"/>
  <c r="N11" i="2"/>
  <c r="K11" i="2"/>
  <c r="K2" i="2"/>
  <c r="N7" i="2"/>
  <c r="K4" i="2"/>
  <c r="N3" i="2" l="1"/>
  <c r="C16" i="2"/>
  <c r="K3" i="2"/>
  <c r="K12" i="2" s="1"/>
  <c r="C15" i="2"/>
  <c r="L6" i="2" l="1"/>
  <c r="L8" i="2"/>
  <c r="L10" i="2"/>
  <c r="L4" i="2"/>
  <c r="L11" i="2"/>
  <c r="L9" i="2"/>
  <c r="L2" i="2"/>
  <c r="L7" i="2"/>
  <c r="L5" i="2"/>
  <c r="L3" i="2"/>
  <c r="L12" i="2" l="1"/>
  <c r="L13" i="2" s="1"/>
  <c r="O3" i="2" l="1"/>
  <c r="O2" i="2"/>
  <c r="O10" i="2"/>
  <c r="O9" i="2"/>
  <c r="O11" i="2"/>
  <c r="O6" i="2"/>
  <c r="O8" i="2"/>
  <c r="O4" i="2"/>
  <c r="O7" i="2"/>
  <c r="O5" i="2"/>
  <c r="M2" i="2"/>
  <c r="M7" i="2"/>
  <c r="M8" i="2"/>
  <c r="M4" i="2"/>
  <c r="M5" i="2"/>
  <c r="M10" i="2"/>
  <c r="M3" i="2"/>
  <c r="M9" i="2"/>
  <c r="M11" i="2"/>
  <c r="M6" i="2"/>
  <c r="P8" i="1" l="1"/>
  <c r="P9" i="1" s="1"/>
  <c r="P10" i="1" s="1"/>
  <c r="P11" i="1" s="1"/>
  <c r="P12" i="1" s="1"/>
  <c r="P13" i="1" s="1"/>
  <c r="P14" i="1" s="1"/>
  <c r="P15" i="1" s="1"/>
  <c r="P16" i="1" s="1"/>
  <c r="P7" i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2" i="1"/>
  <c r="M3" i="1"/>
  <c r="M1" i="1"/>
  <c r="B13" i="1"/>
  <c r="A13" i="1"/>
  <c r="C12" i="1"/>
  <c r="B12" i="1"/>
  <c r="A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Vyacheslav Kulagin</author>
  </authors>
  <commentList>
    <comment ref="K12" authorId="0" shapeId="0" xr:uid="{4108417C-ABCC-4C80-84A7-D1224086A430}">
      <text>
        <r>
          <rPr>
            <b/>
            <sz val="9"/>
            <color indexed="81"/>
            <rFont val="Tahoma"/>
            <family val="2"/>
            <charset val="204"/>
          </rPr>
          <t>Vyacheslav Kulagin:</t>
        </r>
        <r>
          <rPr>
            <sz val="9"/>
            <color indexed="81"/>
            <rFont val="Tahoma"/>
            <family val="2"/>
            <charset val="204"/>
          </rPr>
          <t xml:space="preserve">
m с волной</t>
        </r>
      </text>
    </comment>
    <comment ref="L12" authorId="0" shapeId="0" xr:uid="{BCDD9483-7630-4333-A4EC-CC3FBFE8D254}">
      <text>
        <r>
          <rPr>
            <b/>
            <sz val="9"/>
            <color indexed="81"/>
            <rFont val="Tahoma"/>
            <family val="2"/>
            <charset val="204"/>
          </rPr>
          <t>Vyacheslav Kulagin:</t>
        </r>
        <r>
          <rPr>
            <sz val="9"/>
            <color indexed="81"/>
            <rFont val="Tahoma"/>
            <family val="2"/>
            <charset val="204"/>
          </rPr>
          <t xml:space="preserve">
sigma^2</t>
        </r>
      </text>
    </comment>
    <comment ref="L13" authorId="0" shapeId="0" xr:uid="{5D1F403B-92F3-4FD7-ABA9-19513F262946}">
      <text>
        <r>
          <rPr>
            <b/>
            <sz val="9"/>
            <color indexed="81"/>
            <rFont val="Tahoma"/>
            <family val="2"/>
            <charset val="204"/>
          </rPr>
          <t>Vyacheslav Kulagin:</t>
        </r>
        <r>
          <rPr>
            <sz val="9"/>
            <color indexed="81"/>
            <rFont val="Tahoma"/>
            <family val="2"/>
            <charset val="204"/>
          </rPr>
          <t xml:space="preserve">
sigma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Vyacheslav Kulagin</author>
  </authors>
  <commentList>
    <comment ref="A16" authorId="0" shapeId="0" xr:uid="{92A5A5C8-7D90-41CD-BC56-CAAD4698E9B1}">
      <text>
        <r>
          <rPr>
            <b/>
            <sz val="9"/>
            <color indexed="81"/>
            <rFont val="Tahoma"/>
            <family val="2"/>
            <charset val="204"/>
          </rPr>
          <t>Vyacheslav Kulagin:</t>
        </r>
        <r>
          <rPr>
            <sz val="9"/>
            <color indexed="81"/>
            <rFont val="Tahoma"/>
            <family val="2"/>
            <charset val="204"/>
          </rPr>
          <t xml:space="preserve">
m с волной</t>
        </r>
      </text>
    </comment>
    <comment ref="B16" authorId="0" shapeId="0" xr:uid="{1A63B391-5E78-4C52-8D1B-54D717A05D8E}">
      <text>
        <r>
          <rPr>
            <b/>
            <sz val="9"/>
            <color indexed="81"/>
            <rFont val="Tahoma"/>
            <family val="2"/>
            <charset val="204"/>
          </rPr>
          <t>Vyacheslav Kulagin:</t>
        </r>
        <r>
          <rPr>
            <sz val="9"/>
            <color indexed="81"/>
            <rFont val="Tahoma"/>
            <family val="2"/>
            <charset val="204"/>
          </rPr>
          <t xml:space="preserve">
sigma^2</t>
        </r>
      </text>
    </comment>
    <comment ref="B17" authorId="0" shapeId="0" xr:uid="{479E48F7-A8E0-4B7A-A81C-511D3CE238BB}">
      <text>
        <r>
          <rPr>
            <b/>
            <sz val="9"/>
            <color indexed="81"/>
            <rFont val="Tahoma"/>
            <family val="2"/>
            <charset val="204"/>
          </rPr>
          <t>Vyacheslav Kulagin:</t>
        </r>
        <r>
          <rPr>
            <sz val="9"/>
            <color indexed="81"/>
            <rFont val="Tahoma"/>
            <family val="2"/>
            <charset val="204"/>
          </rPr>
          <t xml:space="preserve">
sigma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<sst xmlns="http://schemas.openxmlformats.org/spreadsheetml/2006/main" count="29" uniqueCount="25">
  <si>
    <t>a</t>
  </si>
  <si>
    <t>b</t>
  </si>
  <si>
    <t>h</t>
  </si>
  <si>
    <t>Начало</t>
  </si>
  <si>
    <t>Конец</t>
  </si>
  <si>
    <t>Кол-во элементов</t>
  </si>
  <si>
    <t>Частота попадания</t>
  </si>
  <si>
    <t>Середина</t>
  </si>
  <si>
    <t>Оценка мат. Ож.</t>
  </si>
  <si>
    <t>Дисперсия</t>
  </si>
  <si>
    <t>Функция распред</t>
  </si>
  <si>
    <t>Высота для гистограммы</t>
  </si>
  <si>
    <t>накоп</t>
  </si>
  <si>
    <t>Плотность</t>
  </si>
  <si>
    <t>Доверительный интервал</t>
  </si>
  <si>
    <t>&lt; m &lt;</t>
  </si>
  <si>
    <t>Границы</t>
  </si>
  <si>
    <t>z_i</t>
  </si>
  <si>
    <t>+∞</t>
  </si>
  <si>
    <t>-∞</t>
  </si>
  <si>
    <t>Функция Лапласа</t>
  </si>
  <si>
    <t>Теорич. Вероятность</t>
  </si>
  <si>
    <t>Число попаданий</t>
  </si>
  <si>
    <t>Кол-во эл</t>
  </si>
  <si>
    <t>&lt; 14.1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</si>
</sst>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0.000000"/>
  </numFmts>
  <fonts count="5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168" fontId="0" fillId="0" borderId="0" xfId="0" applyNumberFormat="1"/>
    <xf numFmtId="0" fontId="4" fillId="2" borderId="0" xfId="0" applyFont="1" applyFill="1"/>
    <xf numFmtId="16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22/11/relationships/FeaturePropertyBag" Target="featurePropertyBag/featurePropertyBag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3004629629629633"/>
          <c:w val="0.9223958880139983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'п. 2'!$C$14:$C$33</c:f>
              <c:numCache>
                <c:formatCode>General</c:formatCode>
                <c:ptCount val="20"/>
                <c:pt idx="0">
                  <c:v>-4.4950000000000001</c:v>
                </c:pt>
                <c:pt idx="1">
                  <c:v>-3.4850000000000003</c:v>
                </c:pt>
                <c:pt idx="2">
                  <c:v>-3.4850000000000003</c:v>
                </c:pt>
                <c:pt idx="3">
                  <c:v>-2.4750000000000005</c:v>
                </c:pt>
                <c:pt idx="4">
                  <c:v>-2.4750000000000005</c:v>
                </c:pt>
                <c:pt idx="5">
                  <c:v>-1.4650000000000003</c:v>
                </c:pt>
                <c:pt idx="6">
                  <c:v>-1.4650000000000003</c:v>
                </c:pt>
                <c:pt idx="7">
                  <c:v>-0.4550000000000004</c:v>
                </c:pt>
                <c:pt idx="8">
                  <c:v>-0.4550000000000004</c:v>
                </c:pt>
                <c:pt idx="9">
                  <c:v>0.5549999999999996</c:v>
                </c:pt>
                <c:pt idx="10">
                  <c:v>0.5549999999999996</c:v>
                </c:pt>
                <c:pt idx="11">
                  <c:v>1.5649999999999995</c:v>
                </c:pt>
                <c:pt idx="12">
                  <c:v>1.5649999999999995</c:v>
                </c:pt>
                <c:pt idx="13">
                  <c:v>2.5749999999999993</c:v>
                </c:pt>
                <c:pt idx="14">
                  <c:v>2.5749999999999993</c:v>
                </c:pt>
                <c:pt idx="15">
                  <c:v>3.5849999999999991</c:v>
                </c:pt>
                <c:pt idx="16">
                  <c:v>3.5849999999999991</c:v>
                </c:pt>
                <c:pt idx="17">
                  <c:v>4.5949999999999989</c:v>
                </c:pt>
                <c:pt idx="18">
                  <c:v>4.5949999999999989</c:v>
                </c:pt>
                <c:pt idx="19">
                  <c:v>5</c:v>
                </c:pt>
              </c:numCache>
            </c:numRef>
          </c:xVal>
          <c:yVal>
            <c:numRef>
              <c:f>'п. 2'!$D$14:$D$33</c:f>
              <c:numCache>
                <c:formatCode>General</c:formatCode>
                <c:ptCount val="20"/>
                <c:pt idx="0">
                  <c:v>0.01</c:v>
                </c:pt>
                <c:pt idx="1">
                  <c:v>0.01</c:v>
                </c:pt>
                <c:pt idx="2">
                  <c:v>0.05</c:v>
                </c:pt>
                <c:pt idx="3">
                  <c:v>0.05</c:v>
                </c:pt>
                <c:pt idx="4">
                  <c:v>0.13</c:v>
                </c:pt>
                <c:pt idx="5">
                  <c:v>0.13</c:v>
                </c:pt>
                <c:pt idx="6">
                  <c:v>0.2</c:v>
                </c:pt>
                <c:pt idx="7">
                  <c:v>0.2</c:v>
                </c:pt>
                <c:pt idx="8">
                  <c:v>0.42000000000000004</c:v>
                </c:pt>
                <c:pt idx="9">
                  <c:v>0.42000000000000004</c:v>
                </c:pt>
                <c:pt idx="10">
                  <c:v>0.71</c:v>
                </c:pt>
                <c:pt idx="11">
                  <c:v>0.71</c:v>
                </c:pt>
                <c:pt idx="12">
                  <c:v>0.80999999999999994</c:v>
                </c:pt>
                <c:pt idx="13">
                  <c:v>0.80999999999999994</c:v>
                </c:pt>
                <c:pt idx="14">
                  <c:v>0.95</c:v>
                </c:pt>
                <c:pt idx="15">
                  <c:v>0.95</c:v>
                </c:pt>
                <c:pt idx="16">
                  <c:v>0.98</c:v>
                </c:pt>
                <c:pt idx="17">
                  <c:v>0.98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D3-437F-8AA3-1B86B8F0C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52399"/>
        <c:axId val="391356719"/>
      </c:scatterChart>
      <c:valAx>
        <c:axId val="39135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56719"/>
        <c:crosses val="autoZero"/>
        <c:crossBetween val="midCat"/>
      </c:valAx>
      <c:valAx>
        <c:axId val="39135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'п. 2'!$J$2:$J$11</c:f>
              <c:numCache>
                <c:formatCode>General</c:formatCode>
                <c:ptCount val="10"/>
                <c:pt idx="0">
                  <c:v>-4.4950000000000001</c:v>
                </c:pt>
                <c:pt idx="1">
                  <c:v>-3.4850000000000003</c:v>
                </c:pt>
                <c:pt idx="2">
                  <c:v>-2.4750000000000005</c:v>
                </c:pt>
                <c:pt idx="3">
                  <c:v>-1.4650000000000003</c:v>
                </c:pt>
                <c:pt idx="4">
                  <c:v>-0.4550000000000004</c:v>
                </c:pt>
                <c:pt idx="5">
                  <c:v>0.5549999999999996</c:v>
                </c:pt>
                <c:pt idx="6">
                  <c:v>1.5649999999999995</c:v>
                </c:pt>
                <c:pt idx="7">
                  <c:v>2.5749999999999993</c:v>
                </c:pt>
                <c:pt idx="8">
                  <c:v>3.5849999999999991</c:v>
                </c:pt>
                <c:pt idx="9">
                  <c:v>4.5949999999999989</c:v>
                </c:pt>
              </c:numCache>
            </c:numRef>
          </c:xVal>
          <c:yVal>
            <c:numRef>
              <c:f>'п. 2'!$M$2:$M$11</c:f>
              <c:numCache>
                <c:formatCode>General</c:formatCode>
                <c:ptCount val="10"/>
                <c:pt idx="0">
                  <c:v>4.4968443621920158E-3</c:v>
                </c:pt>
                <c:pt idx="1">
                  <c:v>1.9643074392793627E-2</c:v>
                </c:pt>
                <c:pt idx="2">
                  <c:v>6.5514029678922656E-2</c:v>
                </c:pt>
                <c:pt idx="3">
                  <c:v>0.16879364232754879</c:v>
                </c:pt>
                <c:pt idx="4">
                  <c:v>0.34170053494561342</c:v>
                </c:pt>
                <c:pt idx="5">
                  <c:v>0.55696957568124961</c:v>
                </c:pt>
                <c:pt idx="6">
                  <c:v>0.75628657689844991</c:v>
                </c:pt>
                <c:pt idx="7">
                  <c:v>0.8935304227004115</c:v>
                </c:pt>
                <c:pt idx="8">
                  <c:v>0.96380368360859203</c:v>
                </c:pt>
                <c:pt idx="9">
                  <c:v>0.99055660242742127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E1-466D-B31B-1AC9381AF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777167"/>
        <c:axId val="761780527"/>
      </c:scatterChart>
      <c:valAx>
        <c:axId val="76177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80527"/>
        <c:crosses val="autoZero"/>
        <c:crossBetween val="midCat"/>
      </c:valAx>
      <c:valAx>
        <c:axId val="761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7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</a:t>
            </a:r>
            <a:r>
              <a:rPr lang="ru-RU" baseline="0"/>
              <a:t>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0715223097112861E-2"/>
          <c:y val="0.13004629629629633"/>
          <c:w val="0.9223958880139983"/>
          <c:h val="0.72125801983085447"/>
        </c:manualLayout>
      </c:layout>
      <c:scatterChart>
        <c:scatterStyle val="lineMarker"/>
        <c:varyColors val="0"/>
        <c:ser>
          <c:idx val="1"/>
          <c:order val="0"/>
          <c:spPr>
            <a:ln>
              <a:solidFill>
                <a:srgbClr val="FF0000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'п. 2'!$J$2:$J$11</c:f>
              <c:numCache>
                <c:formatCode>General</c:formatCode>
                <c:ptCount val="10"/>
                <c:pt idx="0">
                  <c:v>-4.4950000000000001</c:v>
                </c:pt>
                <c:pt idx="1">
                  <c:v>-3.4850000000000003</c:v>
                </c:pt>
                <c:pt idx="2">
                  <c:v>-2.4750000000000005</c:v>
                </c:pt>
                <c:pt idx="3">
                  <c:v>-1.4650000000000003</c:v>
                </c:pt>
                <c:pt idx="4">
                  <c:v>-0.4550000000000004</c:v>
                </c:pt>
                <c:pt idx="5">
                  <c:v>0.5549999999999996</c:v>
                </c:pt>
                <c:pt idx="6">
                  <c:v>1.5649999999999995</c:v>
                </c:pt>
                <c:pt idx="7">
                  <c:v>2.5749999999999993</c:v>
                </c:pt>
                <c:pt idx="8">
                  <c:v>3.5849999999999991</c:v>
                </c:pt>
                <c:pt idx="9">
                  <c:v>4.5949999999999989</c:v>
                </c:pt>
              </c:numCache>
            </c:numRef>
          </c:xVal>
          <c:yVal>
            <c:numRef>
              <c:f>'п. 2'!$M$2:$M$11</c:f>
              <c:numCache>
                <c:formatCode>General</c:formatCode>
                <c:ptCount val="10"/>
                <c:pt idx="0">
                  <c:v>4.4968443621920158E-3</c:v>
                </c:pt>
                <c:pt idx="1">
                  <c:v>1.9643074392793627E-2</c:v>
                </c:pt>
                <c:pt idx="2">
                  <c:v>6.5514029678922656E-2</c:v>
                </c:pt>
                <c:pt idx="3">
                  <c:v>0.16879364232754879</c:v>
                </c:pt>
                <c:pt idx="4">
                  <c:v>0.34170053494561342</c:v>
                </c:pt>
                <c:pt idx="5">
                  <c:v>0.55696957568124961</c:v>
                </c:pt>
                <c:pt idx="6">
                  <c:v>0.75628657689844991</c:v>
                </c:pt>
                <c:pt idx="7">
                  <c:v>0.8935304227004115</c:v>
                </c:pt>
                <c:pt idx="8">
                  <c:v>0.96380368360859203</c:v>
                </c:pt>
                <c:pt idx="9">
                  <c:v>0.99055660242742127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A1-4698-8FD6-57FB2924A3CA}"/>
            </c:ext>
          </c:extLst>
        </c:ser>
        <c:ser>
          <c:idx val="0"/>
          <c:order val="1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'п. 2'!$C$14:$C$33</c:f>
              <c:numCache>
                <c:formatCode>General</c:formatCode>
                <c:ptCount val="20"/>
                <c:pt idx="0">
                  <c:v>-4.4950000000000001</c:v>
                </c:pt>
                <c:pt idx="1">
                  <c:v>-3.4850000000000003</c:v>
                </c:pt>
                <c:pt idx="2">
                  <c:v>-3.4850000000000003</c:v>
                </c:pt>
                <c:pt idx="3">
                  <c:v>-2.4750000000000005</c:v>
                </c:pt>
                <c:pt idx="4">
                  <c:v>-2.4750000000000005</c:v>
                </c:pt>
                <c:pt idx="5">
                  <c:v>-1.4650000000000003</c:v>
                </c:pt>
                <c:pt idx="6">
                  <c:v>-1.4650000000000003</c:v>
                </c:pt>
                <c:pt idx="7">
                  <c:v>-0.4550000000000004</c:v>
                </c:pt>
                <c:pt idx="8">
                  <c:v>-0.4550000000000004</c:v>
                </c:pt>
                <c:pt idx="9">
                  <c:v>0.5549999999999996</c:v>
                </c:pt>
                <c:pt idx="10">
                  <c:v>0.5549999999999996</c:v>
                </c:pt>
                <c:pt idx="11">
                  <c:v>1.5649999999999995</c:v>
                </c:pt>
                <c:pt idx="12">
                  <c:v>1.5649999999999995</c:v>
                </c:pt>
                <c:pt idx="13">
                  <c:v>2.5749999999999993</c:v>
                </c:pt>
                <c:pt idx="14">
                  <c:v>2.5749999999999993</c:v>
                </c:pt>
                <c:pt idx="15">
                  <c:v>3.5849999999999991</c:v>
                </c:pt>
                <c:pt idx="16">
                  <c:v>3.5849999999999991</c:v>
                </c:pt>
                <c:pt idx="17">
                  <c:v>4.5949999999999989</c:v>
                </c:pt>
                <c:pt idx="18">
                  <c:v>4.5949999999999989</c:v>
                </c:pt>
                <c:pt idx="19">
                  <c:v>5</c:v>
                </c:pt>
              </c:numCache>
            </c:numRef>
          </c:xVal>
          <c:yVal>
            <c:numRef>
              <c:f>'п. 2'!$D$14:$D$33</c:f>
              <c:numCache>
                <c:formatCode>General</c:formatCode>
                <c:ptCount val="20"/>
                <c:pt idx="0">
                  <c:v>0.01</c:v>
                </c:pt>
                <c:pt idx="1">
                  <c:v>0.01</c:v>
                </c:pt>
                <c:pt idx="2">
                  <c:v>0.05</c:v>
                </c:pt>
                <c:pt idx="3">
                  <c:v>0.05</c:v>
                </c:pt>
                <c:pt idx="4">
                  <c:v>0.13</c:v>
                </c:pt>
                <c:pt idx="5">
                  <c:v>0.13</c:v>
                </c:pt>
                <c:pt idx="6">
                  <c:v>0.2</c:v>
                </c:pt>
                <c:pt idx="7">
                  <c:v>0.2</c:v>
                </c:pt>
                <c:pt idx="8">
                  <c:v>0.42000000000000004</c:v>
                </c:pt>
                <c:pt idx="9">
                  <c:v>0.42000000000000004</c:v>
                </c:pt>
                <c:pt idx="10">
                  <c:v>0.71</c:v>
                </c:pt>
                <c:pt idx="11">
                  <c:v>0.71</c:v>
                </c:pt>
                <c:pt idx="12">
                  <c:v>0.80999999999999994</c:v>
                </c:pt>
                <c:pt idx="13">
                  <c:v>0.80999999999999994</c:v>
                </c:pt>
                <c:pt idx="14">
                  <c:v>0.95</c:v>
                </c:pt>
                <c:pt idx="15">
                  <c:v>0.95</c:v>
                </c:pt>
                <c:pt idx="16">
                  <c:v>0.98</c:v>
                </c:pt>
                <c:pt idx="17">
                  <c:v>0.98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A1-4698-8FD6-57FB2924A3CA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91352399"/>
        <c:axId val="391356719"/>
      </c:scatterChart>
      <c:valAx>
        <c:axId val="39135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56719"/>
        <c:crosses val="autoZero"/>
        <c:crossBetween val="midCat"/>
      </c:valAx>
      <c:valAx>
        <c:axId val="39135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F(x)</a:t>
                </a: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52399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'п. 2'!$J$2:$J$11</c:f>
              <c:numCache>
                <c:formatCode>General</c:formatCode>
                <c:ptCount val="10"/>
                <c:pt idx="0">
                  <c:v>-4.4950000000000001</c:v>
                </c:pt>
                <c:pt idx="1">
                  <c:v>-3.4850000000000003</c:v>
                </c:pt>
                <c:pt idx="2">
                  <c:v>-2.4750000000000005</c:v>
                </c:pt>
                <c:pt idx="3">
                  <c:v>-1.4650000000000003</c:v>
                </c:pt>
                <c:pt idx="4">
                  <c:v>-0.4550000000000004</c:v>
                </c:pt>
                <c:pt idx="5">
                  <c:v>0.5549999999999996</c:v>
                </c:pt>
                <c:pt idx="6">
                  <c:v>1.5649999999999995</c:v>
                </c:pt>
                <c:pt idx="7">
                  <c:v>2.5749999999999993</c:v>
                </c:pt>
                <c:pt idx="8">
                  <c:v>3.5849999999999991</c:v>
                </c:pt>
                <c:pt idx="9">
                  <c:v>4.5949999999999989</c:v>
                </c:pt>
              </c:numCache>
            </c:numRef>
          </c:xVal>
          <c:yVal>
            <c:numRef>
              <c:f>'п. 2'!$O$2:$O$11</c:f>
              <c:numCache>
                <c:formatCode>General</c:formatCode>
                <c:ptCount val="10"/>
                <c:pt idx="0">
                  <c:v>7.1779812065181497E-3</c:v>
                </c:pt>
                <c:pt idx="1">
                  <c:v>2.6019142961546535E-2</c:v>
                </c:pt>
                <c:pt idx="2">
                  <c:v>6.9610616612108808E-2</c:v>
                </c:pt>
                <c:pt idx="3">
                  <c:v>0.13745159924492642</c:v>
                </c:pt>
                <c:pt idx="4">
                  <c:v>0.20031613710152241</c:v>
                </c:pt>
                <c:pt idx="5">
                  <c:v>0.21546359370746604</c:v>
                </c:pt>
                <c:pt idx="6">
                  <c:v>0.17105023872441835</c:v>
                </c:pt>
                <c:pt idx="7">
                  <c:v>0.1002225141572932</c:v>
                </c:pt>
                <c:pt idx="8">
                  <c:v>4.3340979757690808E-2</c:v>
                </c:pt>
                <c:pt idx="9">
                  <c:v>1.3833242147050676E-2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38-4343-B3E4-C122B9ED1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746447"/>
        <c:axId val="761749807"/>
      </c:scatterChart>
      <c:valAx>
        <c:axId val="76174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49807"/>
        <c:crosses val="autoZero"/>
        <c:crossBetween val="midCat"/>
      </c:valAx>
      <c:valAx>
        <c:axId val="7617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4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 cap="rnd">
              <a:solidFill>
                <a:schemeClr val="tx1"/>
              </a:solidFill>
              <a:round/>
            </a:ln>
            <a:effectLst/>
          </c:spPr>
          <c:invertIfNegative val="0"/>
          <c:cat>
            <c:numRef>
              <c:f>'п. 2'!$J$2:$J$11</c:f>
              <c:numCache>
                <c:formatCode>General</c:formatCode>
                <c:ptCount val="10"/>
                <c:pt idx="0">
                  <c:v>-4.4950000000000001</c:v>
                </c:pt>
                <c:pt idx="1">
                  <c:v>-3.4850000000000003</c:v>
                </c:pt>
                <c:pt idx="2">
                  <c:v>-2.4750000000000005</c:v>
                </c:pt>
                <c:pt idx="3">
                  <c:v>-1.4650000000000003</c:v>
                </c:pt>
                <c:pt idx="4">
                  <c:v>-0.4550000000000004</c:v>
                </c:pt>
                <c:pt idx="5">
                  <c:v>0.5549999999999996</c:v>
                </c:pt>
                <c:pt idx="6">
                  <c:v>1.5649999999999995</c:v>
                </c:pt>
                <c:pt idx="7">
                  <c:v>2.5749999999999993</c:v>
                </c:pt>
                <c:pt idx="8">
                  <c:v>3.5849999999999991</c:v>
                </c:pt>
                <c:pt idx="9">
                  <c:v>4.5949999999999989</c:v>
                </c:pt>
              </c:numCache>
            </c:numRef>
          </c:cat>
          <c:val>
            <c:numRef>
              <c:f>'п. 2'!$N$2:$N$11</c:f>
              <c:numCache>
                <c:formatCode>General</c:formatCode>
                <c:ptCount val="10"/>
                <c:pt idx="0">
                  <c:v>9.9009900990099011E-3</c:v>
                </c:pt>
                <c:pt idx="1">
                  <c:v>3.9603960396039604E-2</c:v>
                </c:pt>
                <c:pt idx="2">
                  <c:v>7.9207920792079209E-2</c:v>
                </c:pt>
                <c:pt idx="3">
                  <c:v>6.9306930693069313E-2</c:v>
                </c:pt>
                <c:pt idx="4">
                  <c:v>0.21782178217821782</c:v>
                </c:pt>
                <c:pt idx="5">
                  <c:v>0.28712871287128711</c:v>
                </c:pt>
                <c:pt idx="6">
                  <c:v>9.9009900990099015E-2</c:v>
                </c:pt>
                <c:pt idx="7">
                  <c:v>0.13861386138613863</c:v>
                </c:pt>
                <c:pt idx="8">
                  <c:v>2.9702970297029702E-2</c:v>
                </c:pt>
                <c:pt idx="9">
                  <c:v>1.9801980198019802E-2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D-4072-A7E5-979F80DBD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61824687"/>
        <c:axId val="761818447"/>
      </c:barChart>
      <c:catAx>
        <c:axId val="76182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18447"/>
        <c:crosses val="autoZero"/>
        <c:auto val="1"/>
        <c:lblAlgn val="ctr"/>
        <c:lblOffset val="100"/>
        <c:noMultiLvlLbl val="0"/>
      </c:catAx>
      <c:valAx>
        <c:axId val="7618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2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 и плотность</a:t>
            </a:r>
            <a:r>
              <a:rPr lang="ru-RU" baseline="0"/>
              <a:t> вероятности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'п. 2'!$J$2:$J$11</c:f>
              <c:numCache>
                <c:formatCode>General</c:formatCode>
                <c:ptCount val="10"/>
                <c:pt idx="0">
                  <c:v>-4.4950000000000001</c:v>
                </c:pt>
                <c:pt idx="1">
                  <c:v>-3.4850000000000003</c:v>
                </c:pt>
                <c:pt idx="2">
                  <c:v>-2.4750000000000005</c:v>
                </c:pt>
                <c:pt idx="3">
                  <c:v>-1.4650000000000003</c:v>
                </c:pt>
                <c:pt idx="4">
                  <c:v>-0.4550000000000004</c:v>
                </c:pt>
                <c:pt idx="5">
                  <c:v>0.5549999999999996</c:v>
                </c:pt>
                <c:pt idx="6">
                  <c:v>1.5649999999999995</c:v>
                </c:pt>
                <c:pt idx="7">
                  <c:v>2.5749999999999993</c:v>
                </c:pt>
                <c:pt idx="8">
                  <c:v>3.5849999999999991</c:v>
                </c:pt>
                <c:pt idx="9">
                  <c:v>4.5949999999999989</c:v>
                </c:pt>
              </c:numCache>
            </c:numRef>
          </c:cat>
          <c:val>
            <c:numRef>
              <c:f>'п. 2'!$N$2:$N$11</c:f>
              <c:numCache>
                <c:formatCode>General</c:formatCode>
                <c:ptCount val="10"/>
                <c:pt idx="0">
                  <c:v>9.9009900990099011E-3</c:v>
                </c:pt>
                <c:pt idx="1">
                  <c:v>3.9603960396039604E-2</c:v>
                </c:pt>
                <c:pt idx="2">
                  <c:v>7.9207920792079209E-2</c:v>
                </c:pt>
                <c:pt idx="3">
                  <c:v>6.9306930693069313E-2</c:v>
                </c:pt>
                <c:pt idx="4">
                  <c:v>0.21782178217821782</c:v>
                </c:pt>
                <c:pt idx="5">
                  <c:v>0.28712871287128711</c:v>
                </c:pt>
                <c:pt idx="6">
                  <c:v>9.9009900990099015E-2</c:v>
                </c:pt>
                <c:pt idx="7">
                  <c:v>0.13861386138613863</c:v>
                </c:pt>
                <c:pt idx="8">
                  <c:v>2.9702970297029702E-2</c:v>
                </c:pt>
                <c:pt idx="9">
                  <c:v>1.9801980198019802E-2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9-48CB-B51E-5A8FCE27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61754607"/>
        <c:axId val="761746927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'п. 2'!$O$2:$O$11</c:f>
              <c:numCache>
                <c:formatCode>General</c:formatCode>
                <c:ptCount val="10"/>
                <c:pt idx="0">
                  <c:v>7.1779812065181497E-3</c:v>
                </c:pt>
                <c:pt idx="1">
                  <c:v>2.6019142961546535E-2</c:v>
                </c:pt>
                <c:pt idx="2">
                  <c:v>6.9610616612108808E-2</c:v>
                </c:pt>
                <c:pt idx="3">
                  <c:v>0.13745159924492642</c:v>
                </c:pt>
                <c:pt idx="4">
                  <c:v>0.20031613710152241</c:v>
                </c:pt>
                <c:pt idx="5">
                  <c:v>0.21546359370746604</c:v>
                </c:pt>
                <c:pt idx="6">
                  <c:v>0.17105023872441835</c:v>
                </c:pt>
                <c:pt idx="7">
                  <c:v>0.1002225141572932</c:v>
                </c:pt>
                <c:pt idx="8">
                  <c:v>4.3340979757690808E-2</c:v>
                </c:pt>
                <c:pt idx="9">
                  <c:v>1.3833242147050676E-2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9-48CB-B51E-5A8FCE27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754607"/>
        <c:axId val="761746927"/>
      </c:lineChart>
      <c:catAx>
        <c:axId val="76175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46927"/>
        <c:crosses val="autoZero"/>
        <c:auto val="1"/>
        <c:lblAlgn val="ctr"/>
        <c:lblOffset val="100"/>
        <c:noMultiLvlLbl val="0"/>
      </c:catAx>
      <c:valAx>
        <c:axId val="76174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5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440250</xdr:colOff>
      <xdr:row>89</xdr:row>
      <xdr:rowOff>28576</xdr:rowOff>
    </xdr:from>
    <xdr:to>
      <xdr:col>7</xdr:col>
      <xdr:colOff>478350</xdr:colOff>
      <xdr:row>104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B6650B0-B2B2-9AC0-4F0F-4F2321965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64293</xdr:colOff>
      <xdr:row>90</xdr:row>
      <xdr:rowOff>38939</xdr:rowOff>
    </xdr:from>
    <xdr:to>
      <xdr:col>14</xdr:col>
      <xdr:colOff>561834</xdr:colOff>
      <xdr:row>105</xdr:row>
      <xdr:rowOff>67515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AB6D44A4-DB01-8B1C-4812-57E1B7608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615923</xdr:colOff>
      <xdr:row>14</xdr:row>
      <xdr:rowOff>12806</xdr:rowOff>
    </xdr:from>
    <xdr:to>
      <xdr:col>14</xdr:col>
      <xdr:colOff>16810</xdr:colOff>
      <xdr:row>36</xdr:row>
      <xdr:rowOff>78442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4BA1EBD5-6E42-4DA4-A96B-D92CB7DF4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221316</xdr:colOff>
      <xdr:row>105</xdr:row>
      <xdr:rowOff>26333</xdr:rowOff>
    </xdr:from>
    <xdr:to>
      <xdr:col>7</xdr:col>
      <xdr:colOff>409014</xdr:colOff>
      <xdr:row>121</xdr:row>
      <xdr:rowOff>72838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E230ABA6-9AA9-AF25-B95E-DD6AA045E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229719</xdr:colOff>
      <xdr:row>123</xdr:row>
      <xdr:rowOff>84045</xdr:rowOff>
    </xdr:from>
    <xdr:to>
      <xdr:col>7</xdr:col>
      <xdr:colOff>252131</xdr:colOff>
      <xdr:row>138</xdr:row>
      <xdr:rowOff>137833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8C65D88B-E2CF-4BCB-9EF4-15C217F3D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193301</xdr:colOff>
      <xdr:row>14</xdr:row>
      <xdr:rowOff>26332</xdr:rowOff>
    </xdr:from>
    <xdr:to>
      <xdr:col>23</xdr:col>
      <xdr:colOff>560293</xdr:colOff>
      <xdr:row>36</xdr:row>
      <xdr:rowOff>33617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810AF76D-146C-D997-56B8-4397837FF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9C75-E446-4AC7-8F22-3F8B0BCF521C}">
  <dimension ref="A1:P100"/>
  <sheetViews>
    <sheetView zoomScale="85" zoomScaleNormal="85" workbookViewId="0">
      <selection activeCell="U7" sqref="U7"/>
    </sheetView>
  </sheetViews>
  <sheetFormatPr defaultRowHeight="14.25" x14ac:dyDescent="0.45"/>
  <sheetData>
    <row r="1" spans="1:16" x14ac:dyDescent="0.45">
      <c r="A1">
        <v>-2.64</v>
      </c>
      <c r="B1">
        <v>2.2599999999999998</v>
      </c>
      <c r="C1">
        <v>2.39</v>
      </c>
      <c r="D1">
        <v>0.33</v>
      </c>
      <c r="E1">
        <v>-3.74</v>
      </c>
      <c r="F1">
        <v>2.11</v>
      </c>
      <c r="G1">
        <v>2.83</v>
      </c>
      <c r="H1">
        <v>-0.43</v>
      </c>
      <c r="I1">
        <v>2.2000000000000002</v>
      </c>
      <c r="J1">
        <v>-2.25</v>
      </c>
      <c r="M1">
        <f>SMALL($A$1:$J$10,ROW())</f>
        <v>-4.99</v>
      </c>
      <c r="O1" s="1" t="s">
        <v>0</v>
      </c>
      <c r="P1" s="9">
        <v>-5</v>
      </c>
    </row>
    <row r="2" spans="1:16" x14ac:dyDescent="0.45">
      <c r="A2">
        <v>0.88</v>
      </c>
      <c r="B2">
        <v>-0.39</v>
      </c>
      <c r="C2">
        <v>2.19</v>
      </c>
      <c r="D2">
        <v>-0.59</v>
      </c>
      <c r="E2">
        <v>-1.02</v>
      </c>
      <c r="F2">
        <v>0.46</v>
      </c>
      <c r="G2">
        <v>1.1299999999999999</v>
      </c>
      <c r="H2">
        <v>1.04</v>
      </c>
      <c r="I2">
        <v>0.72</v>
      </c>
      <c r="J2">
        <v>2.33</v>
      </c>
      <c r="M2">
        <f t="shared" ref="M2:M65" si="0">SMALL($A$1:$J$10,ROW())</f>
        <v>-3.74</v>
      </c>
      <c r="O2" s="1" t="s">
        <v>1</v>
      </c>
      <c r="P2" s="9">
        <v>5.0999999999999996</v>
      </c>
    </row>
    <row r="3" spans="1:16" x14ac:dyDescent="0.45">
      <c r="A3">
        <v>0.95</v>
      </c>
      <c r="B3">
        <v>0.43</v>
      </c>
      <c r="C3">
        <v>-2.71</v>
      </c>
      <c r="D3">
        <v>1.65</v>
      </c>
      <c r="E3">
        <v>0.5</v>
      </c>
      <c r="F3">
        <v>1.1499999999999999</v>
      </c>
      <c r="G3">
        <v>-0.11</v>
      </c>
      <c r="H3">
        <v>-1.02</v>
      </c>
      <c r="I3">
        <v>-0.53</v>
      </c>
      <c r="J3">
        <v>1.32</v>
      </c>
      <c r="M3">
        <f t="shared" si="0"/>
        <v>-3.44</v>
      </c>
      <c r="O3" s="1" t="s">
        <v>2</v>
      </c>
      <c r="P3" s="1">
        <f>(P2-P1)/10</f>
        <v>1.01</v>
      </c>
    </row>
    <row r="4" spans="1:16" x14ac:dyDescent="0.45">
      <c r="A4">
        <v>0.83</v>
      </c>
      <c r="B4">
        <v>0.75</v>
      </c>
      <c r="C4">
        <v>-0.62</v>
      </c>
      <c r="D4">
        <v>-0.95</v>
      </c>
      <c r="E4">
        <v>-0.45</v>
      </c>
      <c r="F4">
        <v>0.08</v>
      </c>
      <c r="G4">
        <v>0.2</v>
      </c>
      <c r="H4">
        <v>-3.38</v>
      </c>
      <c r="I4">
        <v>-2.16</v>
      </c>
      <c r="J4">
        <v>-0.28999999999999998</v>
      </c>
      <c r="M4">
        <f t="shared" si="0"/>
        <v>-3.38</v>
      </c>
    </row>
    <row r="5" spans="1:16" x14ac:dyDescent="0.45">
      <c r="A5">
        <v>0.76</v>
      </c>
      <c r="B5">
        <v>0.93</v>
      </c>
      <c r="C5">
        <v>-0.49</v>
      </c>
      <c r="D5">
        <v>-4.99</v>
      </c>
      <c r="E5">
        <v>-1.46</v>
      </c>
      <c r="F5">
        <v>0.45</v>
      </c>
      <c r="G5">
        <v>1.73</v>
      </c>
      <c r="H5">
        <v>-3.44</v>
      </c>
      <c r="I5">
        <v>-1.07</v>
      </c>
      <c r="J5">
        <v>0.42</v>
      </c>
      <c r="M5">
        <f t="shared" si="0"/>
        <v>-3.29</v>
      </c>
    </row>
    <row r="6" spans="1:16" x14ac:dyDescent="0.45">
      <c r="A6">
        <v>0.47</v>
      </c>
      <c r="B6">
        <v>-2.78</v>
      </c>
      <c r="C6">
        <v>-3.29</v>
      </c>
      <c r="D6">
        <v>2.14</v>
      </c>
      <c r="E6">
        <v>-0.62</v>
      </c>
      <c r="F6">
        <v>2.79</v>
      </c>
      <c r="G6">
        <v>0.02</v>
      </c>
      <c r="H6">
        <v>-0.4</v>
      </c>
      <c r="I6">
        <v>2.81</v>
      </c>
      <c r="J6">
        <v>0.02</v>
      </c>
      <c r="M6">
        <f t="shared" si="0"/>
        <v>-2.78</v>
      </c>
      <c r="P6">
        <v>-5</v>
      </c>
    </row>
    <row r="7" spans="1:16" x14ac:dyDescent="0.45">
      <c r="A7">
        <v>4.3099999999999996</v>
      </c>
      <c r="B7">
        <v>0.38</v>
      </c>
      <c r="C7">
        <v>3.79</v>
      </c>
      <c r="D7">
        <v>2.8</v>
      </c>
      <c r="E7">
        <v>0.35</v>
      </c>
      <c r="F7">
        <v>-2.72</v>
      </c>
      <c r="G7">
        <v>0.28000000000000003</v>
      </c>
      <c r="H7">
        <v>1.68</v>
      </c>
      <c r="I7">
        <v>3.09</v>
      </c>
      <c r="J7">
        <v>1.86</v>
      </c>
      <c r="M7">
        <f t="shared" si="0"/>
        <v>-2.72</v>
      </c>
      <c r="P7">
        <f>P6+1.01</f>
        <v>-3.99</v>
      </c>
    </row>
    <row r="8" spans="1:16" x14ac:dyDescent="0.45">
      <c r="A8">
        <v>0.46</v>
      </c>
      <c r="B8">
        <v>-2.37</v>
      </c>
      <c r="C8">
        <v>3.02</v>
      </c>
      <c r="D8">
        <v>0.43</v>
      </c>
      <c r="E8">
        <v>-1.0900000000000001</v>
      </c>
      <c r="F8">
        <v>0.39</v>
      </c>
      <c r="G8">
        <v>-0.3</v>
      </c>
      <c r="H8">
        <v>1.03</v>
      </c>
      <c r="I8">
        <v>7.0000000000000007E-2</v>
      </c>
      <c r="J8">
        <v>-0.15</v>
      </c>
      <c r="M8">
        <f t="shared" si="0"/>
        <v>-2.71</v>
      </c>
      <c r="P8">
        <f t="shared" ref="P8:P16" si="1">P7+1.01</f>
        <v>-2.9800000000000004</v>
      </c>
    </row>
    <row r="9" spans="1:16" x14ac:dyDescent="0.45">
      <c r="A9">
        <v>-0.35</v>
      </c>
      <c r="B9">
        <v>-2.08</v>
      </c>
      <c r="C9">
        <v>-0.81</v>
      </c>
      <c r="D9">
        <v>-1.66</v>
      </c>
      <c r="E9">
        <v>3.37</v>
      </c>
      <c r="F9">
        <v>-0.47</v>
      </c>
      <c r="G9">
        <v>1.1000000000000001</v>
      </c>
      <c r="H9">
        <v>0.77</v>
      </c>
      <c r="I9">
        <v>-1.05</v>
      </c>
      <c r="J9">
        <v>2.61</v>
      </c>
      <c r="M9">
        <f t="shared" si="0"/>
        <v>-2.64</v>
      </c>
      <c r="P9">
        <f t="shared" si="1"/>
        <v>-1.9700000000000004</v>
      </c>
    </row>
    <row r="10" spans="1:16" x14ac:dyDescent="0.45">
      <c r="A10">
        <v>1.35</v>
      </c>
      <c r="B10">
        <v>-0.38</v>
      </c>
      <c r="C10">
        <v>-0.27</v>
      </c>
      <c r="D10">
        <v>0.88</v>
      </c>
      <c r="E10">
        <v>1.87</v>
      </c>
      <c r="F10">
        <v>5.01</v>
      </c>
      <c r="G10">
        <v>0.38</v>
      </c>
      <c r="H10">
        <v>2.3199999999999998</v>
      </c>
      <c r="I10">
        <v>0.8</v>
      </c>
      <c r="J10">
        <v>-0.09</v>
      </c>
      <c r="M10">
        <f t="shared" si="0"/>
        <v>-2.37</v>
      </c>
      <c r="P10">
        <f t="shared" si="1"/>
        <v>-0.96000000000000041</v>
      </c>
    </row>
    <row r="11" spans="1:16" x14ac:dyDescent="0.45">
      <c r="M11">
        <f t="shared" si="0"/>
        <v>-2.25</v>
      </c>
      <c r="P11">
        <f t="shared" si="1"/>
        <v>4.99999999999996E-2</v>
      </c>
    </row>
    <row r="12" spans="1:16" x14ac:dyDescent="0.45">
      <c r="A12">
        <f>SMALL($A$1:$J$10,1)</f>
        <v>-4.99</v>
      </c>
      <c r="B12">
        <f>SMALL($A$1:$J$10,2)</f>
        <v>-3.74</v>
      </c>
      <c r="C12">
        <f>SMALL($A$1:$J$10,3)</f>
        <v>-3.44</v>
      </c>
      <c r="M12">
        <f t="shared" si="0"/>
        <v>-2.16</v>
      </c>
      <c r="P12">
        <f t="shared" si="1"/>
        <v>1.0599999999999996</v>
      </c>
    </row>
    <row r="13" spans="1:16" x14ac:dyDescent="0.45">
      <c r="A13">
        <f>COLUMN()</f>
        <v>1</v>
      </c>
      <c r="B13">
        <f>COLUMN()</f>
        <v>2</v>
      </c>
      <c r="M13">
        <f t="shared" si="0"/>
        <v>-2.08</v>
      </c>
      <c r="P13">
        <f t="shared" si="1"/>
        <v>2.0699999999999994</v>
      </c>
    </row>
    <row r="14" spans="1:16" x14ac:dyDescent="0.45">
      <c r="M14">
        <f t="shared" si="0"/>
        <v>-1.66</v>
      </c>
      <c r="P14">
        <f t="shared" si="1"/>
        <v>3.0799999999999992</v>
      </c>
    </row>
    <row r="15" spans="1:16" x14ac:dyDescent="0.45">
      <c r="M15">
        <f t="shared" si="0"/>
        <v>-1.46</v>
      </c>
      <c r="P15">
        <f t="shared" si="1"/>
        <v>4.089999999999999</v>
      </c>
    </row>
    <row r="16" spans="1:16" x14ac:dyDescent="0.45">
      <c r="M16">
        <f t="shared" si="0"/>
        <v>-1.0900000000000001</v>
      </c>
      <c r="P16">
        <f t="shared" si="1"/>
        <v>5.0999999999999988</v>
      </c>
    </row>
    <row r="17" spans="13:13" x14ac:dyDescent="0.45">
      <c r="M17">
        <f t="shared" si="0"/>
        <v>-1.07</v>
      </c>
    </row>
    <row r="18" spans="13:13" x14ac:dyDescent="0.45">
      <c r="M18">
        <f t="shared" si="0"/>
        <v>-1.05</v>
      </c>
    </row>
    <row r="19" spans="13:13" x14ac:dyDescent="0.45">
      <c r="M19">
        <f t="shared" si="0"/>
        <v>-1.02</v>
      </c>
    </row>
    <row r="20" spans="13:13" x14ac:dyDescent="0.45">
      <c r="M20">
        <f t="shared" si="0"/>
        <v>-1.02</v>
      </c>
    </row>
    <row r="21" spans="13:13" x14ac:dyDescent="0.45">
      <c r="M21">
        <f t="shared" si="0"/>
        <v>-0.95</v>
      </c>
    </row>
    <row r="22" spans="13:13" x14ac:dyDescent="0.45">
      <c r="M22">
        <f t="shared" si="0"/>
        <v>-0.81</v>
      </c>
    </row>
    <row r="23" spans="13:13" x14ac:dyDescent="0.45">
      <c r="M23">
        <f t="shared" si="0"/>
        <v>-0.62</v>
      </c>
    </row>
    <row r="24" spans="13:13" x14ac:dyDescent="0.45">
      <c r="M24">
        <f t="shared" si="0"/>
        <v>-0.62</v>
      </c>
    </row>
    <row r="25" spans="13:13" x14ac:dyDescent="0.45">
      <c r="M25">
        <f t="shared" si="0"/>
        <v>-0.59</v>
      </c>
    </row>
    <row r="26" spans="13:13" x14ac:dyDescent="0.45">
      <c r="M26">
        <f t="shared" si="0"/>
        <v>-0.53</v>
      </c>
    </row>
    <row r="27" spans="13:13" x14ac:dyDescent="0.45">
      <c r="M27">
        <f t="shared" si="0"/>
        <v>-0.49</v>
      </c>
    </row>
    <row r="28" spans="13:13" x14ac:dyDescent="0.45">
      <c r="M28">
        <f t="shared" si="0"/>
        <v>-0.47</v>
      </c>
    </row>
    <row r="29" spans="13:13" x14ac:dyDescent="0.45">
      <c r="M29">
        <f t="shared" si="0"/>
        <v>-0.45</v>
      </c>
    </row>
    <row r="30" spans="13:13" x14ac:dyDescent="0.45">
      <c r="M30">
        <f t="shared" si="0"/>
        <v>-0.43</v>
      </c>
    </row>
    <row r="31" spans="13:13" x14ac:dyDescent="0.45">
      <c r="M31">
        <f t="shared" si="0"/>
        <v>-0.4</v>
      </c>
    </row>
    <row r="32" spans="13:13" x14ac:dyDescent="0.45">
      <c r="M32">
        <f t="shared" si="0"/>
        <v>-0.39</v>
      </c>
    </row>
    <row r="33" spans="13:13" x14ac:dyDescent="0.45">
      <c r="M33">
        <f t="shared" si="0"/>
        <v>-0.38</v>
      </c>
    </row>
    <row r="34" spans="13:13" x14ac:dyDescent="0.45">
      <c r="M34">
        <f t="shared" si="0"/>
        <v>-0.35</v>
      </c>
    </row>
    <row r="35" spans="13:13" x14ac:dyDescent="0.45">
      <c r="M35">
        <f t="shared" si="0"/>
        <v>-0.3</v>
      </c>
    </row>
    <row r="36" spans="13:13" x14ac:dyDescent="0.45">
      <c r="M36">
        <f t="shared" si="0"/>
        <v>-0.28999999999999998</v>
      </c>
    </row>
    <row r="37" spans="13:13" x14ac:dyDescent="0.45">
      <c r="M37">
        <f t="shared" si="0"/>
        <v>-0.27</v>
      </c>
    </row>
    <row r="38" spans="13:13" x14ac:dyDescent="0.45">
      <c r="M38">
        <f t="shared" si="0"/>
        <v>-0.15</v>
      </c>
    </row>
    <row r="39" spans="13:13" x14ac:dyDescent="0.45">
      <c r="M39">
        <f t="shared" si="0"/>
        <v>-0.11</v>
      </c>
    </row>
    <row r="40" spans="13:13" x14ac:dyDescent="0.45">
      <c r="M40">
        <f t="shared" si="0"/>
        <v>-0.09</v>
      </c>
    </row>
    <row r="41" spans="13:13" x14ac:dyDescent="0.45">
      <c r="M41">
        <f t="shared" si="0"/>
        <v>0.02</v>
      </c>
    </row>
    <row r="42" spans="13:13" x14ac:dyDescent="0.45">
      <c r="M42">
        <f t="shared" si="0"/>
        <v>0.02</v>
      </c>
    </row>
    <row r="43" spans="13:13" x14ac:dyDescent="0.45">
      <c r="M43">
        <f t="shared" si="0"/>
        <v>7.0000000000000007E-2</v>
      </c>
    </row>
    <row r="44" spans="13:13" x14ac:dyDescent="0.45">
      <c r="M44">
        <f t="shared" si="0"/>
        <v>0.08</v>
      </c>
    </row>
    <row r="45" spans="13:13" x14ac:dyDescent="0.45">
      <c r="M45">
        <f t="shared" si="0"/>
        <v>0.2</v>
      </c>
    </row>
    <row r="46" spans="13:13" x14ac:dyDescent="0.45">
      <c r="M46">
        <f t="shared" si="0"/>
        <v>0.28000000000000003</v>
      </c>
    </row>
    <row r="47" spans="13:13" x14ac:dyDescent="0.45">
      <c r="M47">
        <f t="shared" si="0"/>
        <v>0.33</v>
      </c>
    </row>
    <row r="48" spans="13:13" x14ac:dyDescent="0.45">
      <c r="M48">
        <f t="shared" si="0"/>
        <v>0.35</v>
      </c>
    </row>
    <row r="49" spans="13:13" x14ac:dyDescent="0.45">
      <c r="M49">
        <f t="shared" si="0"/>
        <v>0.38</v>
      </c>
    </row>
    <row r="50" spans="13:13" x14ac:dyDescent="0.45">
      <c r="M50">
        <f t="shared" si="0"/>
        <v>0.38</v>
      </c>
    </row>
    <row r="51" spans="13:13" x14ac:dyDescent="0.45">
      <c r="M51">
        <f t="shared" si="0"/>
        <v>0.39</v>
      </c>
    </row>
    <row r="52" spans="13:13" x14ac:dyDescent="0.45">
      <c r="M52">
        <f t="shared" si="0"/>
        <v>0.42</v>
      </c>
    </row>
    <row r="53" spans="13:13" x14ac:dyDescent="0.45">
      <c r="M53">
        <f t="shared" si="0"/>
        <v>0.43</v>
      </c>
    </row>
    <row r="54" spans="13:13" x14ac:dyDescent="0.45">
      <c r="M54">
        <f t="shared" si="0"/>
        <v>0.43</v>
      </c>
    </row>
    <row r="55" spans="13:13" x14ac:dyDescent="0.45">
      <c r="M55">
        <f t="shared" si="0"/>
        <v>0.45</v>
      </c>
    </row>
    <row r="56" spans="13:13" x14ac:dyDescent="0.45">
      <c r="M56">
        <f t="shared" si="0"/>
        <v>0.46</v>
      </c>
    </row>
    <row r="57" spans="13:13" x14ac:dyDescent="0.45">
      <c r="M57">
        <f t="shared" si="0"/>
        <v>0.46</v>
      </c>
    </row>
    <row r="58" spans="13:13" x14ac:dyDescent="0.45">
      <c r="M58">
        <f t="shared" si="0"/>
        <v>0.47</v>
      </c>
    </row>
    <row r="59" spans="13:13" x14ac:dyDescent="0.45">
      <c r="M59">
        <f t="shared" si="0"/>
        <v>0.5</v>
      </c>
    </row>
    <row r="60" spans="13:13" x14ac:dyDescent="0.45">
      <c r="M60">
        <f t="shared" si="0"/>
        <v>0.72</v>
      </c>
    </row>
    <row r="61" spans="13:13" x14ac:dyDescent="0.45">
      <c r="M61">
        <f t="shared" si="0"/>
        <v>0.75</v>
      </c>
    </row>
    <row r="62" spans="13:13" x14ac:dyDescent="0.45">
      <c r="M62">
        <f t="shared" si="0"/>
        <v>0.76</v>
      </c>
    </row>
    <row r="63" spans="13:13" x14ac:dyDescent="0.45">
      <c r="M63">
        <f t="shared" si="0"/>
        <v>0.77</v>
      </c>
    </row>
    <row r="64" spans="13:13" x14ac:dyDescent="0.45">
      <c r="M64">
        <f t="shared" si="0"/>
        <v>0.8</v>
      </c>
    </row>
    <row r="65" spans="13:13" x14ac:dyDescent="0.45">
      <c r="M65">
        <f t="shared" si="0"/>
        <v>0.83</v>
      </c>
    </row>
    <row r="66" spans="13:13" x14ac:dyDescent="0.45">
      <c r="M66">
        <f t="shared" ref="M66:M100" si="2">SMALL($A$1:$J$10,ROW())</f>
        <v>0.88</v>
      </c>
    </row>
    <row r="67" spans="13:13" x14ac:dyDescent="0.45">
      <c r="M67">
        <f t="shared" si="2"/>
        <v>0.88</v>
      </c>
    </row>
    <row r="68" spans="13:13" x14ac:dyDescent="0.45">
      <c r="M68">
        <f t="shared" si="2"/>
        <v>0.93</v>
      </c>
    </row>
    <row r="69" spans="13:13" x14ac:dyDescent="0.45">
      <c r="M69">
        <f t="shared" si="2"/>
        <v>0.95</v>
      </c>
    </row>
    <row r="70" spans="13:13" x14ac:dyDescent="0.45">
      <c r="M70">
        <f t="shared" si="2"/>
        <v>1.03</v>
      </c>
    </row>
    <row r="71" spans="13:13" x14ac:dyDescent="0.45">
      <c r="M71">
        <f t="shared" si="2"/>
        <v>1.04</v>
      </c>
    </row>
    <row r="72" spans="13:13" x14ac:dyDescent="0.45">
      <c r="M72">
        <f t="shared" si="2"/>
        <v>1.1000000000000001</v>
      </c>
    </row>
    <row r="73" spans="13:13" x14ac:dyDescent="0.45">
      <c r="M73">
        <f t="shared" si="2"/>
        <v>1.1299999999999999</v>
      </c>
    </row>
    <row r="74" spans="13:13" x14ac:dyDescent="0.45">
      <c r="M74">
        <f t="shared" si="2"/>
        <v>1.1499999999999999</v>
      </c>
    </row>
    <row r="75" spans="13:13" x14ac:dyDescent="0.45">
      <c r="M75">
        <f t="shared" si="2"/>
        <v>1.32</v>
      </c>
    </row>
    <row r="76" spans="13:13" x14ac:dyDescent="0.45">
      <c r="M76">
        <f t="shared" si="2"/>
        <v>1.35</v>
      </c>
    </row>
    <row r="77" spans="13:13" x14ac:dyDescent="0.45">
      <c r="M77">
        <f t="shared" si="2"/>
        <v>1.65</v>
      </c>
    </row>
    <row r="78" spans="13:13" x14ac:dyDescent="0.45">
      <c r="M78">
        <f t="shared" si="2"/>
        <v>1.68</v>
      </c>
    </row>
    <row r="79" spans="13:13" x14ac:dyDescent="0.45">
      <c r="M79">
        <f t="shared" si="2"/>
        <v>1.73</v>
      </c>
    </row>
    <row r="80" spans="13:13" x14ac:dyDescent="0.45">
      <c r="M80">
        <f t="shared" si="2"/>
        <v>1.86</v>
      </c>
    </row>
    <row r="81" spans="13:13" x14ac:dyDescent="0.45">
      <c r="M81">
        <f t="shared" si="2"/>
        <v>1.87</v>
      </c>
    </row>
    <row r="82" spans="13:13" x14ac:dyDescent="0.45">
      <c r="M82">
        <f t="shared" si="2"/>
        <v>2.11</v>
      </c>
    </row>
    <row r="83" spans="13:13" x14ac:dyDescent="0.45">
      <c r="M83">
        <f t="shared" si="2"/>
        <v>2.14</v>
      </c>
    </row>
    <row r="84" spans="13:13" x14ac:dyDescent="0.45">
      <c r="M84">
        <f t="shared" si="2"/>
        <v>2.19</v>
      </c>
    </row>
    <row r="85" spans="13:13" x14ac:dyDescent="0.45">
      <c r="M85">
        <f t="shared" si="2"/>
        <v>2.2000000000000002</v>
      </c>
    </row>
    <row r="86" spans="13:13" x14ac:dyDescent="0.45">
      <c r="M86">
        <f t="shared" si="2"/>
        <v>2.2599999999999998</v>
      </c>
    </row>
    <row r="87" spans="13:13" x14ac:dyDescent="0.45">
      <c r="M87">
        <f t="shared" si="2"/>
        <v>2.3199999999999998</v>
      </c>
    </row>
    <row r="88" spans="13:13" x14ac:dyDescent="0.45">
      <c r="M88">
        <f t="shared" si="2"/>
        <v>2.33</v>
      </c>
    </row>
    <row r="89" spans="13:13" x14ac:dyDescent="0.45">
      <c r="M89">
        <f t="shared" si="2"/>
        <v>2.39</v>
      </c>
    </row>
    <row r="90" spans="13:13" x14ac:dyDescent="0.45">
      <c r="M90">
        <f t="shared" si="2"/>
        <v>2.61</v>
      </c>
    </row>
    <row r="91" spans="13:13" x14ac:dyDescent="0.45">
      <c r="M91">
        <f t="shared" si="2"/>
        <v>2.79</v>
      </c>
    </row>
    <row r="92" spans="13:13" x14ac:dyDescent="0.45">
      <c r="M92">
        <f t="shared" si="2"/>
        <v>2.8</v>
      </c>
    </row>
    <row r="93" spans="13:13" x14ac:dyDescent="0.45">
      <c r="M93">
        <f t="shared" si="2"/>
        <v>2.81</v>
      </c>
    </row>
    <row r="94" spans="13:13" x14ac:dyDescent="0.45">
      <c r="M94">
        <f t="shared" si="2"/>
        <v>2.83</v>
      </c>
    </row>
    <row r="95" spans="13:13" x14ac:dyDescent="0.45">
      <c r="M95">
        <f t="shared" si="2"/>
        <v>3.02</v>
      </c>
    </row>
    <row r="96" spans="13:13" x14ac:dyDescent="0.45">
      <c r="M96">
        <f t="shared" si="2"/>
        <v>3.09</v>
      </c>
    </row>
    <row r="97" spans="13:13" x14ac:dyDescent="0.45">
      <c r="M97">
        <f t="shared" si="2"/>
        <v>3.37</v>
      </c>
    </row>
    <row r="98" spans="13:13" x14ac:dyDescent="0.45">
      <c r="M98">
        <f t="shared" si="2"/>
        <v>3.79</v>
      </c>
    </row>
    <row r="99" spans="13:13" x14ac:dyDescent="0.45">
      <c r="M99">
        <f t="shared" si="2"/>
        <v>4.3099999999999996</v>
      </c>
    </row>
    <row r="100" spans="13:13" x14ac:dyDescent="0.45">
      <c r="M100">
        <f t="shared" si="2"/>
        <v>5.01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0224-971E-4160-A154-AA15F2658D42}">
  <dimension ref="A1:T100"/>
  <sheetViews>
    <sheetView topLeftCell="E1" zoomScale="85" zoomScaleNormal="85" workbookViewId="0">
      <selection activeCell="V11" sqref="V11"/>
    </sheetView>
  </sheetViews>
  <sheetFormatPr defaultRowHeight="14.25" x14ac:dyDescent="0.45"/>
  <cols>
    <col min="13" max="13" width="11.73046875" bestFit="1" customWidth="1"/>
  </cols>
  <sheetData>
    <row r="1" spans="1:20" x14ac:dyDescent="0.45">
      <c r="A1">
        <v>-4.99</v>
      </c>
      <c r="C1">
        <v>-5</v>
      </c>
      <c r="E1" t="s">
        <v>3</v>
      </c>
      <c r="F1" t="s">
        <v>4</v>
      </c>
      <c r="G1" t="s">
        <v>5</v>
      </c>
      <c r="H1" t="s">
        <v>6</v>
      </c>
      <c r="I1" t="s">
        <v>12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13</v>
      </c>
      <c r="R1" s="6" t="s">
        <v>14</v>
      </c>
      <c r="S1" s="6"/>
      <c r="T1" s="6"/>
    </row>
    <row r="2" spans="1:20" x14ac:dyDescent="0.45">
      <c r="A2">
        <v>-3.74</v>
      </c>
      <c r="C2">
        <v>-3.99</v>
      </c>
      <c r="E2">
        <v>-5</v>
      </c>
      <c r="F2">
        <f>C2</f>
        <v>-3.99</v>
      </c>
      <c r="G2">
        <f>COUNTIFS(A:A, "&gt;"&amp;E2, A:A, "&lt;="&amp;F2)</f>
        <v>1</v>
      </c>
      <c r="H2">
        <f>G2/100</f>
        <v>0.01</v>
      </c>
      <c r="I2">
        <f>H2</f>
        <v>0.01</v>
      </c>
      <c r="J2">
        <f>(E2+F2)/2</f>
        <v>-4.4950000000000001</v>
      </c>
      <c r="K2">
        <f>J2*H2</f>
        <v>-4.4950000000000004E-2</v>
      </c>
      <c r="L2">
        <f>POWER(J2-$K$12, 2)*H2</f>
        <v>0.22919198760000001</v>
      </c>
      <c r="M2">
        <f>_xlfn.NORM.DIST(J2,$K$12,$L$13,TRUE)</f>
        <v>4.4968443621920158E-3</v>
      </c>
      <c r="N2">
        <f t="shared" ref="N2:N11" si="0">H2/1.01</f>
        <v>9.9009900990099011E-3</v>
      </c>
      <c r="O2">
        <f>_xlfn.NORM.DIST(J2,$K$12,$L$13,FALSE)</f>
        <v>7.1779812065181497E-3</v>
      </c>
      <c r="R2">
        <v>-0.66800000000000004</v>
      </c>
      <c r="S2" s="3" t="s">
        <v>15</v>
      </c>
      <c r="T2">
        <v>0.65159999999999996</v>
      </c>
    </row>
    <row r="3" spans="1:20" x14ac:dyDescent="0.45">
      <c r="A3">
        <v>-3.44</v>
      </c>
      <c r="C3">
        <v>-2.9800000000000004</v>
      </c>
      <c r="E3">
        <f>F2</f>
        <v>-3.99</v>
      </c>
      <c r="F3">
        <f>C3</f>
        <v>-2.9800000000000004</v>
      </c>
      <c r="G3">
        <f t="shared" ref="G3:G11" si="1">COUNTIFS(A:A, "&gt;"&amp;E3, A:A, "&lt;="&amp;F3)</f>
        <v>4</v>
      </c>
      <c r="H3">
        <f t="shared" ref="H3:H11" si="2">G3/100</f>
        <v>0.04</v>
      </c>
      <c r="I3">
        <f>H3+I2</f>
        <v>0.05</v>
      </c>
      <c r="J3">
        <f t="shared" ref="J3:J10" si="3">(E3+F3)/2</f>
        <v>-3.4850000000000003</v>
      </c>
      <c r="K3">
        <f t="shared" ref="K3:K11" si="4">J3*H3</f>
        <v>-0.13940000000000002</v>
      </c>
      <c r="L3">
        <f t="shared" ref="L3:L11" si="5">POWER(J3-$K$12, 2)*H3</f>
        <v>0.57075003040000005</v>
      </c>
      <c r="M3">
        <f t="shared" ref="M3:M11" si="6">_xlfn.NORM.DIST(J3,$K$12,$L$13,TRUE)</f>
        <v>1.9643074392793627E-2</v>
      </c>
      <c r="N3">
        <f t="shared" si="0"/>
        <v>3.9603960396039604E-2</v>
      </c>
      <c r="O3">
        <f t="shared" ref="O3:O11" si="7">_xlfn.NORM.DIST(J3,$K$12,$L$13,FALSE)</f>
        <v>2.6019142961546535E-2</v>
      </c>
    </row>
    <row r="4" spans="1:20" x14ac:dyDescent="0.45">
      <c r="A4">
        <v>-3.38</v>
      </c>
      <c r="C4">
        <v>-1.9700000000000004</v>
      </c>
      <c r="E4">
        <f t="shared" ref="E4:E11" si="8">F3</f>
        <v>-2.9800000000000004</v>
      </c>
      <c r="F4">
        <f t="shared" ref="F4:F11" si="9">C4</f>
        <v>-1.9700000000000004</v>
      </c>
      <c r="G4">
        <f t="shared" si="1"/>
        <v>8</v>
      </c>
      <c r="H4">
        <f t="shared" si="2"/>
        <v>0.08</v>
      </c>
      <c r="I4">
        <f t="shared" ref="I4:I11" si="10">H4+I3</f>
        <v>0.13</v>
      </c>
      <c r="J4">
        <f t="shared" si="3"/>
        <v>-2.4750000000000005</v>
      </c>
      <c r="K4">
        <f t="shared" si="4"/>
        <v>-0.19800000000000004</v>
      </c>
      <c r="L4">
        <f t="shared" si="5"/>
        <v>0.61268022080000017</v>
      </c>
      <c r="M4">
        <f t="shared" si="6"/>
        <v>6.5514029678922656E-2</v>
      </c>
      <c r="N4">
        <f t="shared" si="0"/>
        <v>7.9207920792079209E-2</v>
      </c>
      <c r="O4">
        <f t="shared" si="7"/>
        <v>6.9610616612108808E-2</v>
      </c>
    </row>
    <row r="5" spans="1:20" x14ac:dyDescent="0.45">
      <c r="A5">
        <v>-3.29</v>
      </c>
      <c r="C5">
        <v>-0.96000000000000041</v>
      </c>
      <c r="E5">
        <f t="shared" si="8"/>
        <v>-1.9700000000000004</v>
      </c>
      <c r="F5">
        <f t="shared" si="9"/>
        <v>-0.96000000000000041</v>
      </c>
      <c r="G5">
        <f t="shared" si="1"/>
        <v>7</v>
      </c>
      <c r="H5">
        <f t="shared" si="2"/>
        <v>7.0000000000000007E-2</v>
      </c>
      <c r="I5">
        <f t="shared" si="10"/>
        <v>0.2</v>
      </c>
      <c r="J5">
        <f t="shared" si="3"/>
        <v>-1.4650000000000003</v>
      </c>
      <c r="K5">
        <f t="shared" si="4"/>
        <v>-0.10255000000000003</v>
      </c>
      <c r="L5">
        <f t="shared" si="5"/>
        <v>0.21619183319999999</v>
      </c>
      <c r="M5">
        <f t="shared" si="6"/>
        <v>0.16879364232754879</v>
      </c>
      <c r="N5">
        <f t="shared" si="0"/>
        <v>6.9306930693069313E-2</v>
      </c>
      <c r="O5">
        <f t="shared" si="7"/>
        <v>0.13745159924492642</v>
      </c>
    </row>
    <row r="6" spans="1:20" x14ac:dyDescent="0.45">
      <c r="A6">
        <v>-2.78</v>
      </c>
      <c r="C6">
        <v>4.99999999999996E-2</v>
      </c>
      <c r="E6">
        <f t="shared" si="8"/>
        <v>-0.96000000000000041</v>
      </c>
      <c r="F6">
        <f t="shared" si="9"/>
        <v>4.99999999999996E-2</v>
      </c>
      <c r="G6">
        <f t="shared" si="1"/>
        <v>22</v>
      </c>
      <c r="H6">
        <f t="shared" si="2"/>
        <v>0.22</v>
      </c>
      <c r="I6">
        <f t="shared" si="10"/>
        <v>0.42000000000000004</v>
      </c>
      <c r="J6">
        <f t="shared" si="3"/>
        <v>-0.4550000000000004</v>
      </c>
      <c r="K6">
        <f t="shared" si="4"/>
        <v>-0.10010000000000009</v>
      </c>
      <c r="L6">
        <f t="shared" si="5"/>
        <v>0.1228934872</v>
      </c>
      <c r="M6">
        <f t="shared" si="6"/>
        <v>0.34170053494561342</v>
      </c>
      <c r="N6">
        <f t="shared" si="0"/>
        <v>0.21782178217821782</v>
      </c>
      <c r="O6">
        <f t="shared" si="7"/>
        <v>0.20031613710152241</v>
      </c>
    </row>
    <row r="7" spans="1:20" x14ac:dyDescent="0.45">
      <c r="A7">
        <v>-2.72</v>
      </c>
      <c r="C7">
        <v>1.0599999999999996</v>
      </c>
      <c r="E7">
        <f t="shared" si="8"/>
        <v>4.99999999999996E-2</v>
      </c>
      <c r="F7">
        <f t="shared" si="9"/>
        <v>1.0599999999999996</v>
      </c>
      <c r="G7">
        <f t="shared" si="1"/>
        <v>29</v>
      </c>
      <c r="H7">
        <f t="shared" si="2"/>
        <v>0.28999999999999998</v>
      </c>
      <c r="I7">
        <f t="shared" si="10"/>
        <v>0.71</v>
      </c>
      <c r="J7">
        <f t="shared" si="3"/>
        <v>0.5549999999999996</v>
      </c>
      <c r="K7">
        <f t="shared" si="4"/>
        <v>0.16094999999999987</v>
      </c>
      <c r="L7">
        <f t="shared" si="5"/>
        <v>1.999804040000001E-2</v>
      </c>
      <c r="M7">
        <f t="shared" si="6"/>
        <v>0.55696957568124961</v>
      </c>
      <c r="N7">
        <f t="shared" si="0"/>
        <v>0.28712871287128711</v>
      </c>
      <c r="O7">
        <f t="shared" si="7"/>
        <v>0.21546359370746604</v>
      </c>
    </row>
    <row r="8" spans="1:20" x14ac:dyDescent="0.45">
      <c r="A8">
        <v>-2.71</v>
      </c>
      <c r="C8">
        <v>2.0699999999999994</v>
      </c>
      <c r="E8">
        <f t="shared" si="8"/>
        <v>1.0599999999999996</v>
      </c>
      <c r="F8">
        <f t="shared" si="9"/>
        <v>2.0699999999999994</v>
      </c>
      <c r="G8">
        <f t="shared" si="1"/>
        <v>10</v>
      </c>
      <c r="H8">
        <f t="shared" si="2"/>
        <v>0.1</v>
      </c>
      <c r="I8">
        <f t="shared" si="10"/>
        <v>0.80999999999999994</v>
      </c>
      <c r="J8">
        <f t="shared" si="3"/>
        <v>1.5649999999999995</v>
      </c>
      <c r="K8">
        <f t="shared" si="4"/>
        <v>0.15649999999999997</v>
      </c>
      <c r="L8">
        <f t="shared" si="5"/>
        <v>0.161951076</v>
      </c>
      <c r="M8">
        <f t="shared" si="6"/>
        <v>0.75628657689844991</v>
      </c>
      <c r="N8">
        <f t="shared" si="0"/>
        <v>9.9009900990099015E-2</v>
      </c>
      <c r="O8">
        <f t="shared" si="7"/>
        <v>0.17105023872441835</v>
      </c>
    </row>
    <row r="9" spans="1:20" x14ac:dyDescent="0.45">
      <c r="A9">
        <v>-2.64</v>
      </c>
      <c r="C9">
        <v>3.0799999999999992</v>
      </c>
      <c r="E9">
        <f t="shared" si="8"/>
        <v>2.0699999999999994</v>
      </c>
      <c r="F9">
        <f t="shared" si="9"/>
        <v>3.0799999999999992</v>
      </c>
      <c r="G9">
        <f t="shared" si="1"/>
        <v>14</v>
      </c>
      <c r="H9">
        <f t="shared" si="2"/>
        <v>0.14000000000000001</v>
      </c>
      <c r="I9">
        <f t="shared" si="10"/>
        <v>0.95</v>
      </c>
      <c r="J9">
        <f t="shared" si="3"/>
        <v>2.5749999999999993</v>
      </c>
      <c r="K9">
        <f t="shared" si="4"/>
        <v>0.36049999999999993</v>
      </c>
      <c r="L9">
        <f t="shared" si="5"/>
        <v>0.72943678639999987</v>
      </c>
      <c r="M9">
        <f t="shared" si="6"/>
        <v>0.8935304227004115</v>
      </c>
      <c r="N9">
        <f t="shared" si="0"/>
        <v>0.13861386138613863</v>
      </c>
      <c r="O9">
        <f t="shared" si="7"/>
        <v>0.1002225141572932</v>
      </c>
    </row>
    <row r="10" spans="1:20" x14ac:dyDescent="0.45">
      <c r="A10">
        <v>-2.37</v>
      </c>
      <c r="C10">
        <v>4.089999999999999</v>
      </c>
      <c r="E10">
        <f t="shared" si="8"/>
        <v>3.0799999999999992</v>
      </c>
      <c r="F10">
        <f t="shared" si="9"/>
        <v>4.089999999999999</v>
      </c>
      <c r="G10">
        <f t="shared" si="1"/>
        <v>3</v>
      </c>
      <c r="H10">
        <f t="shared" si="2"/>
        <v>0.03</v>
      </c>
      <c r="I10">
        <f t="shared" si="10"/>
        <v>0.98</v>
      </c>
      <c r="J10">
        <f t="shared" si="3"/>
        <v>3.5849999999999991</v>
      </c>
      <c r="K10">
        <f t="shared" si="4"/>
        <v>0.10754999999999997</v>
      </c>
      <c r="L10">
        <f t="shared" si="5"/>
        <v>0.32523644279999986</v>
      </c>
      <c r="M10">
        <f t="shared" si="6"/>
        <v>0.96380368360859203</v>
      </c>
      <c r="N10">
        <f t="shared" si="0"/>
        <v>2.9702970297029702E-2</v>
      </c>
      <c r="O10">
        <f t="shared" si="7"/>
        <v>4.3340979757690808E-2</v>
      </c>
    </row>
    <row r="11" spans="1:20" x14ac:dyDescent="0.45">
      <c r="A11">
        <v>-2.25</v>
      </c>
      <c r="C11">
        <v>5.0999999999999988</v>
      </c>
      <c r="E11">
        <f t="shared" si="8"/>
        <v>4.089999999999999</v>
      </c>
      <c r="F11">
        <f t="shared" si="9"/>
        <v>5.0999999999999988</v>
      </c>
      <c r="G11">
        <f t="shared" si="1"/>
        <v>2</v>
      </c>
      <c r="H11">
        <f t="shared" si="2"/>
        <v>0.02</v>
      </c>
      <c r="I11">
        <f t="shared" si="10"/>
        <v>1</v>
      </c>
      <c r="J11">
        <f>(E11+F11)/2</f>
        <v>4.5949999999999989</v>
      </c>
      <c r="K11">
        <f t="shared" si="4"/>
        <v>9.1899999999999982E-2</v>
      </c>
      <c r="L11">
        <f t="shared" si="5"/>
        <v>0.37024733519999986</v>
      </c>
      <c r="M11">
        <f t="shared" si="6"/>
        <v>0.99055660242742127</v>
      </c>
      <c r="N11">
        <f t="shared" si="0"/>
        <v>1.9801980198019802E-2</v>
      </c>
      <c r="O11">
        <f t="shared" si="7"/>
        <v>1.3833242147050676E-2</v>
      </c>
    </row>
    <row r="12" spans="1:20" x14ac:dyDescent="0.45">
      <c r="A12">
        <v>-2.16</v>
      </c>
      <c r="K12" s="1">
        <f>SUM(K2:K11)</f>
        <v>0.29239999999999955</v>
      </c>
      <c r="L12" s="1">
        <f>SUM(L2:L11)</f>
        <v>3.3585772399999994</v>
      </c>
    </row>
    <row r="13" spans="1:20" x14ac:dyDescent="0.45">
      <c r="A13">
        <v>-2.08</v>
      </c>
      <c r="L13" s="1">
        <f>SQRT(L12)</f>
        <v>1.8326421472835333</v>
      </c>
    </row>
    <row r="14" spans="1:20" x14ac:dyDescent="0.45">
      <c r="A14">
        <v>-1.66</v>
      </c>
      <c r="C14">
        <v>-4.4950000000000001</v>
      </c>
      <c r="D14">
        <f>I2</f>
        <v>0.01</v>
      </c>
    </row>
    <row r="15" spans="1:20" x14ac:dyDescent="0.45">
      <c r="A15">
        <v>-1.46</v>
      </c>
      <c r="C15">
        <f>J3</f>
        <v>-3.4850000000000003</v>
      </c>
      <c r="D15">
        <f>I2</f>
        <v>0.01</v>
      </c>
    </row>
    <row r="16" spans="1:20" x14ac:dyDescent="0.45">
      <c r="A16">
        <v>-1.0900000000000001</v>
      </c>
      <c r="C16">
        <f>J3</f>
        <v>-3.4850000000000003</v>
      </c>
      <c r="D16">
        <f>I3</f>
        <v>0.05</v>
      </c>
    </row>
    <row r="17" spans="1:4" x14ac:dyDescent="0.45">
      <c r="A17">
        <v>-1.07</v>
      </c>
      <c r="C17">
        <f>J4</f>
        <v>-2.4750000000000005</v>
      </c>
      <c r="D17">
        <f>I3</f>
        <v>0.05</v>
      </c>
    </row>
    <row r="18" spans="1:4" x14ac:dyDescent="0.45">
      <c r="A18">
        <v>-1.05</v>
      </c>
      <c r="C18">
        <f>J4</f>
        <v>-2.4750000000000005</v>
      </c>
      <c r="D18">
        <f>I4</f>
        <v>0.13</v>
      </c>
    </row>
    <row r="19" spans="1:4" x14ac:dyDescent="0.45">
      <c r="A19">
        <v>-1.02</v>
      </c>
      <c r="C19">
        <f>J5</f>
        <v>-1.4650000000000003</v>
      </c>
      <c r="D19">
        <f>I4</f>
        <v>0.13</v>
      </c>
    </row>
    <row r="20" spans="1:4" x14ac:dyDescent="0.45">
      <c r="A20">
        <v>-1.02</v>
      </c>
      <c r="C20">
        <f>J5</f>
        <v>-1.4650000000000003</v>
      </c>
      <c r="D20">
        <f>I5</f>
        <v>0.2</v>
      </c>
    </row>
    <row r="21" spans="1:4" x14ac:dyDescent="0.45">
      <c r="A21">
        <v>-0.95</v>
      </c>
      <c r="C21">
        <f>J6</f>
        <v>-0.4550000000000004</v>
      </c>
      <c r="D21">
        <f>I5</f>
        <v>0.2</v>
      </c>
    </row>
    <row r="22" spans="1:4" x14ac:dyDescent="0.45">
      <c r="A22">
        <v>-0.81</v>
      </c>
      <c r="C22">
        <f>J6</f>
        <v>-0.4550000000000004</v>
      </c>
      <c r="D22">
        <f>I6</f>
        <v>0.42000000000000004</v>
      </c>
    </row>
    <row r="23" spans="1:4" x14ac:dyDescent="0.45">
      <c r="A23">
        <v>-0.62</v>
      </c>
      <c r="C23">
        <f>J7</f>
        <v>0.5549999999999996</v>
      </c>
      <c r="D23">
        <f>I6</f>
        <v>0.42000000000000004</v>
      </c>
    </row>
    <row r="24" spans="1:4" x14ac:dyDescent="0.45">
      <c r="A24">
        <v>-0.62</v>
      </c>
      <c r="C24">
        <f>J7</f>
        <v>0.5549999999999996</v>
      </c>
      <c r="D24">
        <f>I7</f>
        <v>0.71</v>
      </c>
    </row>
    <row r="25" spans="1:4" x14ac:dyDescent="0.45">
      <c r="A25">
        <v>-0.59</v>
      </c>
      <c r="C25">
        <f>J8</f>
        <v>1.5649999999999995</v>
      </c>
      <c r="D25">
        <f>I7</f>
        <v>0.71</v>
      </c>
    </row>
    <row r="26" spans="1:4" x14ac:dyDescent="0.45">
      <c r="A26">
        <v>-0.53</v>
      </c>
      <c r="C26">
        <f>J8</f>
        <v>1.5649999999999995</v>
      </c>
      <c r="D26">
        <f>I8</f>
        <v>0.80999999999999994</v>
      </c>
    </row>
    <row r="27" spans="1:4" x14ac:dyDescent="0.45">
      <c r="A27">
        <v>-0.49</v>
      </c>
      <c r="C27">
        <f>J9</f>
        <v>2.5749999999999993</v>
      </c>
      <c r="D27">
        <f>I8</f>
        <v>0.80999999999999994</v>
      </c>
    </row>
    <row r="28" spans="1:4" x14ac:dyDescent="0.45">
      <c r="A28">
        <v>-0.47</v>
      </c>
      <c r="C28">
        <f>J9</f>
        <v>2.5749999999999993</v>
      </c>
      <c r="D28">
        <f>I9</f>
        <v>0.95</v>
      </c>
    </row>
    <row r="29" spans="1:4" x14ac:dyDescent="0.45">
      <c r="A29">
        <v>-0.45</v>
      </c>
      <c r="C29">
        <f>J10</f>
        <v>3.5849999999999991</v>
      </c>
      <c r="D29">
        <f>I9</f>
        <v>0.95</v>
      </c>
    </row>
    <row r="30" spans="1:4" x14ac:dyDescent="0.45">
      <c r="A30">
        <v>-0.43</v>
      </c>
      <c r="C30">
        <f>J10</f>
        <v>3.5849999999999991</v>
      </c>
      <c r="D30">
        <f>I10</f>
        <v>0.98</v>
      </c>
    </row>
    <row r="31" spans="1:4" x14ac:dyDescent="0.45">
      <c r="A31">
        <v>-0.4</v>
      </c>
      <c r="C31">
        <f>J11</f>
        <v>4.5949999999999989</v>
      </c>
      <c r="D31">
        <f>I10</f>
        <v>0.98</v>
      </c>
    </row>
    <row r="32" spans="1:4" x14ac:dyDescent="0.45">
      <c r="A32">
        <v>-0.39</v>
      </c>
      <c r="C32">
        <f>J11</f>
        <v>4.5949999999999989</v>
      </c>
      <c r="D32">
        <f>I11</f>
        <v>1</v>
      </c>
    </row>
    <row r="33" spans="1:4" x14ac:dyDescent="0.45">
      <c r="A33">
        <v>-0.38</v>
      </c>
      <c r="C33">
        <v>5</v>
      </c>
      <c r="D33">
        <v>1</v>
      </c>
    </row>
    <row r="34" spans="1:4" x14ac:dyDescent="0.45">
      <c r="A34">
        <v>-0.35</v>
      </c>
    </row>
    <row r="35" spans="1:4" x14ac:dyDescent="0.45">
      <c r="A35">
        <v>-0.3</v>
      </c>
    </row>
    <row r="36" spans="1:4" x14ac:dyDescent="0.45">
      <c r="A36">
        <v>-0.28999999999999998</v>
      </c>
    </row>
    <row r="37" spans="1:4" x14ac:dyDescent="0.45">
      <c r="A37">
        <v>-0.27</v>
      </c>
    </row>
    <row r="38" spans="1:4" x14ac:dyDescent="0.45">
      <c r="A38">
        <v>-0.15</v>
      </c>
    </row>
    <row r="39" spans="1:4" x14ac:dyDescent="0.45">
      <c r="A39">
        <v>-0.11</v>
      </c>
    </row>
    <row r="40" spans="1:4" x14ac:dyDescent="0.45">
      <c r="A40">
        <v>-0.09</v>
      </c>
    </row>
    <row r="41" spans="1:4" x14ac:dyDescent="0.45">
      <c r="A41">
        <v>0.02</v>
      </c>
    </row>
    <row r="42" spans="1:4" x14ac:dyDescent="0.45">
      <c r="A42">
        <v>0.02</v>
      </c>
    </row>
    <row r="43" spans="1:4" x14ac:dyDescent="0.45">
      <c r="A43">
        <v>7.0000000000000007E-2</v>
      </c>
    </row>
    <row r="44" spans="1:4" x14ac:dyDescent="0.45">
      <c r="A44">
        <v>0.08</v>
      </c>
      <c r="C44" s="2" t="b">
        <v>0</v>
      </c>
    </row>
    <row r="45" spans="1:4" x14ac:dyDescent="0.45">
      <c r="A45">
        <v>0.2</v>
      </c>
    </row>
    <row r="46" spans="1:4" x14ac:dyDescent="0.45">
      <c r="A46">
        <v>0.28000000000000003</v>
      </c>
    </row>
    <row r="47" spans="1:4" x14ac:dyDescent="0.45">
      <c r="A47">
        <v>0.33</v>
      </c>
    </row>
    <row r="48" spans="1:4" x14ac:dyDescent="0.45">
      <c r="A48">
        <v>0.35</v>
      </c>
    </row>
    <row r="49" spans="1:1" x14ac:dyDescent="0.45">
      <c r="A49">
        <v>0.38</v>
      </c>
    </row>
    <row r="50" spans="1:1" x14ac:dyDescent="0.45">
      <c r="A50">
        <v>0.38</v>
      </c>
    </row>
    <row r="51" spans="1:1" x14ac:dyDescent="0.45">
      <c r="A51">
        <v>0.39</v>
      </c>
    </row>
    <row r="52" spans="1:1" x14ac:dyDescent="0.45">
      <c r="A52">
        <v>0.42</v>
      </c>
    </row>
    <row r="53" spans="1:1" x14ac:dyDescent="0.45">
      <c r="A53">
        <v>0.43</v>
      </c>
    </row>
    <row r="54" spans="1:1" x14ac:dyDescent="0.45">
      <c r="A54">
        <v>0.43</v>
      </c>
    </row>
    <row r="55" spans="1:1" x14ac:dyDescent="0.45">
      <c r="A55">
        <v>0.45</v>
      </c>
    </row>
    <row r="56" spans="1:1" x14ac:dyDescent="0.45">
      <c r="A56">
        <v>0.46</v>
      </c>
    </row>
    <row r="57" spans="1:1" x14ac:dyDescent="0.45">
      <c r="A57">
        <v>0.46</v>
      </c>
    </row>
    <row r="58" spans="1:1" x14ac:dyDescent="0.45">
      <c r="A58">
        <v>0.47</v>
      </c>
    </row>
    <row r="59" spans="1:1" x14ac:dyDescent="0.45">
      <c r="A59">
        <v>0.5</v>
      </c>
    </row>
    <row r="60" spans="1:1" x14ac:dyDescent="0.45">
      <c r="A60">
        <v>0.72</v>
      </c>
    </row>
    <row r="61" spans="1:1" x14ac:dyDescent="0.45">
      <c r="A61">
        <v>0.75</v>
      </c>
    </row>
    <row r="62" spans="1:1" x14ac:dyDescent="0.45">
      <c r="A62">
        <v>0.76</v>
      </c>
    </row>
    <row r="63" spans="1:1" x14ac:dyDescent="0.45">
      <c r="A63">
        <v>0.77</v>
      </c>
    </row>
    <row r="64" spans="1:1" x14ac:dyDescent="0.45">
      <c r="A64">
        <v>0.8</v>
      </c>
    </row>
    <row r="65" spans="1:1" x14ac:dyDescent="0.45">
      <c r="A65">
        <v>0.83</v>
      </c>
    </row>
    <row r="66" spans="1:1" x14ac:dyDescent="0.45">
      <c r="A66">
        <v>0.88</v>
      </c>
    </row>
    <row r="67" spans="1:1" x14ac:dyDescent="0.45">
      <c r="A67">
        <v>0.88</v>
      </c>
    </row>
    <row r="68" spans="1:1" x14ac:dyDescent="0.45">
      <c r="A68">
        <v>0.93</v>
      </c>
    </row>
    <row r="69" spans="1:1" x14ac:dyDescent="0.45">
      <c r="A69">
        <v>0.95</v>
      </c>
    </row>
    <row r="70" spans="1:1" x14ac:dyDescent="0.45">
      <c r="A70">
        <v>1.03</v>
      </c>
    </row>
    <row r="71" spans="1:1" x14ac:dyDescent="0.45">
      <c r="A71">
        <v>1.04</v>
      </c>
    </row>
    <row r="72" spans="1:1" x14ac:dyDescent="0.45">
      <c r="A72">
        <v>1.1000000000000001</v>
      </c>
    </row>
    <row r="73" spans="1:1" x14ac:dyDescent="0.45">
      <c r="A73">
        <v>1.1299999999999999</v>
      </c>
    </row>
    <row r="74" spans="1:1" x14ac:dyDescent="0.45">
      <c r="A74">
        <v>1.1499999999999999</v>
      </c>
    </row>
    <row r="75" spans="1:1" x14ac:dyDescent="0.45">
      <c r="A75">
        <v>1.32</v>
      </c>
    </row>
    <row r="76" spans="1:1" x14ac:dyDescent="0.45">
      <c r="A76">
        <v>1.35</v>
      </c>
    </row>
    <row r="77" spans="1:1" x14ac:dyDescent="0.45">
      <c r="A77">
        <v>1.65</v>
      </c>
    </row>
    <row r="78" spans="1:1" x14ac:dyDescent="0.45">
      <c r="A78">
        <v>1.68</v>
      </c>
    </row>
    <row r="79" spans="1:1" x14ac:dyDescent="0.45">
      <c r="A79">
        <v>1.73</v>
      </c>
    </row>
    <row r="80" spans="1:1" x14ac:dyDescent="0.45">
      <c r="A80">
        <v>1.86</v>
      </c>
    </row>
    <row r="81" spans="1:1" x14ac:dyDescent="0.45">
      <c r="A81">
        <v>1.87</v>
      </c>
    </row>
    <row r="82" spans="1:1" x14ac:dyDescent="0.45">
      <c r="A82">
        <v>2.11</v>
      </c>
    </row>
    <row r="83" spans="1:1" x14ac:dyDescent="0.45">
      <c r="A83">
        <v>2.14</v>
      </c>
    </row>
    <row r="84" spans="1:1" x14ac:dyDescent="0.45">
      <c r="A84">
        <v>2.19</v>
      </c>
    </row>
    <row r="85" spans="1:1" x14ac:dyDescent="0.45">
      <c r="A85">
        <v>2.2000000000000002</v>
      </c>
    </row>
    <row r="86" spans="1:1" x14ac:dyDescent="0.45">
      <c r="A86">
        <v>2.2599999999999998</v>
      </c>
    </row>
    <row r="87" spans="1:1" x14ac:dyDescent="0.45">
      <c r="A87">
        <v>2.3199999999999998</v>
      </c>
    </row>
    <row r="88" spans="1:1" x14ac:dyDescent="0.45">
      <c r="A88">
        <v>2.33</v>
      </c>
    </row>
    <row r="89" spans="1:1" x14ac:dyDescent="0.45">
      <c r="A89">
        <v>2.39</v>
      </c>
    </row>
    <row r="90" spans="1:1" x14ac:dyDescent="0.45">
      <c r="A90">
        <v>2.61</v>
      </c>
    </row>
    <row r="91" spans="1:1" x14ac:dyDescent="0.45">
      <c r="A91">
        <v>2.79</v>
      </c>
    </row>
    <row r="92" spans="1:1" x14ac:dyDescent="0.45">
      <c r="A92">
        <v>2.8</v>
      </c>
    </row>
    <row r="93" spans="1:1" x14ac:dyDescent="0.45">
      <c r="A93">
        <v>2.81</v>
      </c>
    </row>
    <row r="94" spans="1:1" x14ac:dyDescent="0.45">
      <c r="A94">
        <v>2.83</v>
      </c>
    </row>
    <row r="95" spans="1:1" x14ac:dyDescent="0.45">
      <c r="A95">
        <v>3.02</v>
      </c>
    </row>
    <row r="96" spans="1:1" x14ac:dyDescent="0.45">
      <c r="A96">
        <v>3.09</v>
      </c>
    </row>
    <row r="97" spans="1:1" x14ac:dyDescent="0.45">
      <c r="A97">
        <v>3.37</v>
      </c>
    </row>
    <row r="98" spans="1:1" x14ac:dyDescent="0.45">
      <c r="A98">
        <v>3.79</v>
      </c>
    </row>
    <row r="99" spans="1:1" x14ac:dyDescent="0.45">
      <c r="A99">
        <v>4.3099999999999996</v>
      </c>
    </row>
    <row r="100" spans="1:1" x14ac:dyDescent="0.45">
      <c r="A100">
        <v>5.01</v>
      </c>
    </row>
  </sheetData>
  <mergeCells count="1">
    <mergeCell ref="R1:T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9735-9478-456D-8368-4361C3505E3B}">
  <dimension ref="A1:H32"/>
  <sheetViews>
    <sheetView tabSelected="1" zoomScale="130" zoomScaleNormal="130" workbookViewId="0">
      <selection activeCell="H15" sqref="H15"/>
    </sheetView>
  </sheetViews>
  <sheetFormatPr defaultRowHeight="14.25" x14ac:dyDescent="0.45"/>
  <sheetData>
    <row r="1" spans="1:8" x14ac:dyDescent="0.45">
      <c r="A1" t="s">
        <v>16</v>
      </c>
      <c r="B1" t="s">
        <v>17</v>
      </c>
      <c r="C1" t="s">
        <v>20</v>
      </c>
      <c r="D1" t="s">
        <v>21</v>
      </c>
      <c r="E1" t="s">
        <v>22</v>
      </c>
      <c r="F1" t="s">
        <v>23</v>
      </c>
    </row>
    <row r="2" spans="1:8" x14ac:dyDescent="0.45">
      <c r="A2">
        <v>-5</v>
      </c>
      <c r="B2" s="4" t="s">
        <v>19</v>
      </c>
      <c r="C2">
        <v>-1</v>
      </c>
    </row>
    <row r="3" spans="1:8" x14ac:dyDescent="0.45">
      <c r="A3">
        <v>-3.99</v>
      </c>
      <c r="B3">
        <f>(A3-$A$16)/$B$17</f>
        <v>-2.3367355194507908</v>
      </c>
      <c r="C3">
        <f>2*_xlfn.NORM.DIST(B3,0,1,TRUE)-1</f>
        <v>-0.98054705956334443</v>
      </c>
      <c r="D3">
        <f>ABS(C2-C3)/2</f>
        <v>9.7264702183277874E-3</v>
      </c>
      <c r="E3">
        <f>D3*100</f>
        <v>0.97264702183277874</v>
      </c>
      <c r="F3">
        <v>1</v>
      </c>
      <c r="G3">
        <f>POWER(F3-E3, 2)/E3</f>
        <v>7.692260376294187E-4</v>
      </c>
    </row>
    <row r="4" spans="1:8" x14ac:dyDescent="0.45">
      <c r="A4">
        <v>-2.9800000000000004</v>
      </c>
      <c r="B4">
        <f t="shared" ref="B4:B11" si="0">(A4-$A$16)/$B$17</f>
        <v>-1.7856186516557933</v>
      </c>
      <c r="C4">
        <f t="shared" ref="C4:C11" si="1">2*_xlfn.NORM.DIST(B4,0,1,TRUE)-1</f>
        <v>-0.9258389751605991</v>
      </c>
      <c r="D4">
        <f t="shared" ref="D4:D12" si="2">ABS(C3-C4)/2</f>
        <v>2.7354042201372664E-2</v>
      </c>
      <c r="E4">
        <f t="shared" ref="E4:E12" si="3">D4*100</f>
        <v>2.7354042201372666</v>
      </c>
      <c r="F4">
        <v>4</v>
      </c>
      <c r="G4">
        <f t="shared" ref="G4:G12" si="4">POWER(F4-E4, 2)/E4</f>
        <v>0.58463113958579205</v>
      </c>
    </row>
    <row r="5" spans="1:8" x14ac:dyDescent="0.45">
      <c r="A5">
        <v>-1.9700000000000004</v>
      </c>
      <c r="B5">
        <f t="shared" si="0"/>
        <v>-1.2345017838607952</v>
      </c>
      <c r="C5">
        <f t="shared" si="1"/>
        <v>-0.78298401758385838</v>
      </c>
      <c r="D5">
        <f t="shared" si="2"/>
        <v>7.1427478788370358E-2</v>
      </c>
      <c r="E5">
        <f t="shared" si="3"/>
        <v>7.142747878837036</v>
      </c>
      <c r="F5">
        <v>8</v>
      </c>
      <c r="G5">
        <f t="shared" si="4"/>
        <v>0.10288494172050387</v>
      </c>
    </row>
    <row r="6" spans="1:8" x14ac:dyDescent="0.45">
      <c r="A6">
        <v>-0.96000000000000041</v>
      </c>
      <c r="B6">
        <f t="shared" si="0"/>
        <v>-0.68338491606579732</v>
      </c>
      <c r="C6">
        <f t="shared" si="1"/>
        <v>-0.50563635109703398</v>
      </c>
      <c r="D6">
        <f t="shared" si="2"/>
        <v>0.1386738332434122</v>
      </c>
      <c r="E6">
        <f t="shared" si="3"/>
        <v>13.867383324341221</v>
      </c>
      <c r="F6">
        <v>7</v>
      </c>
      <c r="G6">
        <f t="shared" si="4"/>
        <v>3.400854553480102</v>
      </c>
    </row>
    <row r="7" spans="1:8" x14ac:dyDescent="0.45">
      <c r="A7">
        <v>4.99999999999996E-2</v>
      </c>
      <c r="B7">
        <f t="shared" si="0"/>
        <v>-0.13226804827079947</v>
      </c>
      <c r="C7">
        <f t="shared" si="1"/>
        <v>-0.10522772091831456</v>
      </c>
      <c r="D7">
        <f t="shared" si="2"/>
        <v>0.20020431508935971</v>
      </c>
      <c r="E7">
        <f t="shared" si="3"/>
        <v>20.020431508935971</v>
      </c>
      <c r="F7">
        <v>22</v>
      </c>
      <c r="G7">
        <f t="shared" si="4"/>
        <v>0.19573461286608321</v>
      </c>
    </row>
    <row r="8" spans="1:8" x14ac:dyDescent="0.45">
      <c r="A8">
        <v>1.0599999999999996</v>
      </c>
      <c r="B8">
        <f t="shared" si="0"/>
        <v>0.41884881952419839</v>
      </c>
      <c r="C8">
        <f t="shared" si="1"/>
        <v>0.32467337664013085</v>
      </c>
      <c r="D8">
        <f t="shared" si="2"/>
        <v>0.21495054877922271</v>
      </c>
      <c r="E8">
        <f t="shared" si="3"/>
        <v>21.495054877922271</v>
      </c>
      <c r="F8">
        <v>29</v>
      </c>
      <c r="G8">
        <f t="shared" si="4"/>
        <v>2.6203329838087224</v>
      </c>
    </row>
    <row r="9" spans="1:8" x14ac:dyDescent="0.45">
      <c r="A9">
        <v>2.0699999999999994</v>
      </c>
      <c r="B9">
        <f t="shared" si="0"/>
        <v>0.96996568731919619</v>
      </c>
      <c r="C9">
        <f t="shared" si="1"/>
        <v>0.66793640425053891</v>
      </c>
      <c r="D9">
        <f t="shared" si="2"/>
        <v>0.17163151380520403</v>
      </c>
      <c r="E9">
        <f t="shared" si="3"/>
        <v>17.163151380520404</v>
      </c>
      <c r="F9">
        <v>10</v>
      </c>
      <c r="G9">
        <f t="shared" si="4"/>
        <v>2.989587201245997</v>
      </c>
    </row>
    <row r="10" spans="1:8" x14ac:dyDescent="0.45">
      <c r="A10">
        <v>3.0799999999999992</v>
      </c>
      <c r="B10">
        <f t="shared" si="0"/>
        <v>1.5210825551141938</v>
      </c>
      <c r="C10">
        <f t="shared" si="1"/>
        <v>0.87176087837244531</v>
      </c>
      <c r="D10">
        <f t="shared" si="2"/>
        <v>0.1019122370609532</v>
      </c>
      <c r="E10">
        <f t="shared" si="3"/>
        <v>10.19122370609532</v>
      </c>
      <c r="F10">
        <v>14</v>
      </c>
      <c r="G10">
        <f t="shared" si="4"/>
        <v>1.4234577981380037</v>
      </c>
    </row>
    <row r="11" spans="1:8" x14ac:dyDescent="0.45">
      <c r="A11">
        <v>4.089999999999999</v>
      </c>
      <c r="B11">
        <f t="shared" si="0"/>
        <v>2.0721994229091916</v>
      </c>
      <c r="C11">
        <f t="shared" si="1"/>
        <v>0.96175315278306028</v>
      </c>
      <c r="D11">
        <f t="shared" si="2"/>
        <v>4.4996137205307485E-2</v>
      </c>
      <c r="E11">
        <f t="shared" si="3"/>
        <v>4.499613720530748</v>
      </c>
      <c r="F11">
        <v>3</v>
      </c>
      <c r="G11">
        <f t="shared" si="4"/>
        <v>0.49978541503309581</v>
      </c>
    </row>
    <row r="12" spans="1:8" x14ac:dyDescent="0.45">
      <c r="A12">
        <v>5.0999999999999988</v>
      </c>
      <c r="B12" s="5" t="s">
        <v>18</v>
      </c>
      <c r="C12">
        <v>1</v>
      </c>
      <c r="D12">
        <f t="shared" si="2"/>
        <v>1.9123423608469858E-2</v>
      </c>
      <c r="E12">
        <f t="shared" si="3"/>
        <v>1.9123423608469858</v>
      </c>
      <c r="F12">
        <v>2</v>
      </c>
      <c r="G12">
        <f t="shared" si="4"/>
        <v>4.0180366545228968E-3</v>
      </c>
    </row>
    <row r="13" spans="1:8" x14ac:dyDescent="0.45">
      <c r="G13" s="8">
        <f>SUM(G3:G12)</f>
        <v>11.82205590857045</v>
      </c>
      <c r="H13" t="s">
        <v>24</v>
      </c>
    </row>
    <row r="16" spans="1:8" x14ac:dyDescent="0.45">
      <c r="A16" s="1">
        <v>0.29239999999999955</v>
      </c>
      <c r="B16" s="1">
        <v>3.3585772399999994</v>
      </c>
    </row>
    <row r="17" spans="1:5" x14ac:dyDescent="0.45">
      <c r="B17" s="1">
        <v>1.8326421472835333</v>
      </c>
      <c r="E17" s="7">
        <f>2*_xlfn.NORM.DIST(-1.708,0,1,TRUE)-1</f>
        <v>-0.91236365752349213</v>
      </c>
    </row>
    <row r="21" spans="1:5" x14ac:dyDescent="0.45">
      <c r="A21" t="s">
        <v>16</v>
      </c>
      <c r="B21" t="s">
        <v>17</v>
      </c>
    </row>
    <row r="22" spans="1:5" x14ac:dyDescent="0.45">
      <c r="A22">
        <v>-5</v>
      </c>
      <c r="B22" s="4" t="s">
        <v>19</v>
      </c>
    </row>
    <row r="23" spans="1:5" x14ac:dyDescent="0.45">
      <c r="A23">
        <v>-3.99</v>
      </c>
      <c r="B23">
        <f>(A23-$A$16)/$B$17</f>
        <v>-2.3367355194507908</v>
      </c>
      <c r="C23" t="e" vm="1">
        <f>_xleta.LOGNORMDIST</f>
        <v>#VALUE!</v>
      </c>
    </row>
    <row r="24" spans="1:5" x14ac:dyDescent="0.45">
      <c r="A24">
        <v>-2.9800000000000004</v>
      </c>
      <c r="B24">
        <f t="shared" ref="B24:B31" si="5">(A24-$A$16)/$B$17</f>
        <v>-1.7856186516557933</v>
      </c>
    </row>
    <row r="25" spans="1:5" x14ac:dyDescent="0.45">
      <c r="A25">
        <v>-1.9700000000000004</v>
      </c>
      <c r="B25">
        <f t="shared" si="5"/>
        <v>-1.2345017838607952</v>
      </c>
    </row>
    <row r="26" spans="1:5" x14ac:dyDescent="0.45">
      <c r="A26">
        <v>-0.96000000000000041</v>
      </c>
      <c r="B26">
        <f t="shared" si="5"/>
        <v>-0.68338491606579732</v>
      </c>
    </row>
    <row r="27" spans="1:5" x14ac:dyDescent="0.45">
      <c r="A27">
        <v>4.99999999999996E-2</v>
      </c>
      <c r="B27">
        <f t="shared" si="5"/>
        <v>-0.13226804827079947</v>
      </c>
    </row>
    <row r="28" spans="1:5" x14ac:dyDescent="0.45">
      <c r="A28">
        <v>1.0599999999999996</v>
      </c>
      <c r="B28">
        <f t="shared" si="5"/>
        <v>0.41884881952419839</v>
      </c>
    </row>
    <row r="29" spans="1:5" x14ac:dyDescent="0.45">
      <c r="A29">
        <v>2.0699999999999994</v>
      </c>
      <c r="B29">
        <f t="shared" si="5"/>
        <v>0.96996568731919619</v>
      </c>
    </row>
    <row r="30" spans="1:5" x14ac:dyDescent="0.45">
      <c r="A30">
        <v>3.0799999999999992</v>
      </c>
      <c r="B30">
        <f t="shared" si="5"/>
        <v>1.5210825551141938</v>
      </c>
    </row>
    <row r="31" spans="1:5" x14ac:dyDescent="0.45">
      <c r="A31">
        <v>4.089999999999999</v>
      </c>
      <c r="B31">
        <f t="shared" si="5"/>
        <v>2.0721994229091916</v>
      </c>
    </row>
    <row r="32" spans="1:5" x14ac:dyDescent="0.45">
      <c r="A32">
        <v>5.0999999999999988</v>
      </c>
      <c r="B32" s="5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п. 1</vt:lpstr>
      <vt:lpstr>п. 2</vt:lpstr>
      <vt:lpstr>п.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Kulagin</dc:creator>
  <cp:lastModifiedBy>Vyacheslav Kulagin</cp:lastModifiedBy>
  <dcterms:created xsi:type="dcterms:W3CDTF">2025-05-03T10:50:36Z</dcterms:created>
  <dcterms:modified xsi:type="dcterms:W3CDTF">2025-05-04T19:31:50Z</dcterms:modified>
</cp:coreProperties>
</file>