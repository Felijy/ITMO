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math-stat\"/>
    </mc:Choice>
  </mc:AlternateContent>
  <xr:revisionPtr revIDLastSave="0" documentId="13_ncr:1_{6DE73B45-A014-428B-8235-015A58F5E431}" xr6:coauthVersionLast="47" xr6:coauthVersionMax="47" xr10:uidLastSave="{00000000-0000-0000-0000-000000000000}"/>
  <bookViews>
    <workbookView xWindow="-98" yWindow="-98" windowWidth="24196" windowHeight="14476" xr2:uid="{D95CF39B-9B43-4A26-AB24-776E69933F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6" i="1"/>
  <c r="M5" i="1"/>
  <c r="P2" i="1"/>
  <c r="M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B12" i="1"/>
  <c r="C12" i="1"/>
  <c r="D12" i="1"/>
  <c r="E12" i="1"/>
  <c r="F12" i="1"/>
  <c r="G12" i="1"/>
  <c r="H12" i="1"/>
  <c r="I12" i="1"/>
  <c r="J12" i="1"/>
  <c r="A12" i="1"/>
  <c r="M1" i="1"/>
</calcChain>
</file>

<file path=xl/sharedStrings.xml><?xml version="1.0" encoding="utf-8"?>
<sst xmlns="http://schemas.openxmlformats.org/spreadsheetml/2006/main" count="14" uniqueCount="11">
  <si>
    <t>x с палкой</t>
  </si>
  <si>
    <t>s_0^2</t>
  </si>
  <si>
    <t>t2</t>
  </si>
  <si>
    <t>o_vniz</t>
  </si>
  <si>
    <t>s_0</t>
  </si>
  <si>
    <t>o_vverh</t>
  </si>
  <si>
    <t>&lt;-</t>
  </si>
  <si>
    <t>для параметра a</t>
  </si>
  <si>
    <t>c1</t>
  </si>
  <si>
    <t>с2</t>
  </si>
  <si>
    <t>для параметра sigma^2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</si>
</sst>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8DCA-9F0A-4517-8788-3B90AEC5E55B}">
  <dimension ref="A1:P21"/>
  <sheetViews>
    <sheetView tabSelected="1" workbookViewId="0">
      <selection activeCell="L10" sqref="L10:P12"/>
    </sheetView>
  </sheetViews>
  <sheetFormatPr defaultRowHeight="14.25" x14ac:dyDescent="0.45"/>
  <sheetData>
    <row r="1" spans="1:16" x14ac:dyDescent="0.45">
      <c r="A1">
        <v>-2.64</v>
      </c>
      <c r="B1">
        <v>2.2599999999999998</v>
      </c>
      <c r="C1">
        <v>2.39</v>
      </c>
      <c r="D1">
        <v>0.33</v>
      </c>
      <c r="E1">
        <v>-3.74</v>
      </c>
      <c r="F1">
        <v>2.11</v>
      </c>
      <c r="G1">
        <v>2.83</v>
      </c>
      <c r="H1">
        <v>-0.43</v>
      </c>
      <c r="I1">
        <v>2.2000000000000002</v>
      </c>
      <c r="J1">
        <v>-2.25</v>
      </c>
      <c r="L1" t="s">
        <v>0</v>
      </c>
      <c r="M1">
        <f>AVERAGE(A1:J10)</f>
        <v>0.30059999999999998</v>
      </c>
    </row>
    <row r="2" spans="1:16" x14ac:dyDescent="0.45">
      <c r="A2">
        <v>0.88</v>
      </c>
      <c r="B2">
        <v>-0.39</v>
      </c>
      <c r="C2">
        <v>2.19</v>
      </c>
      <c r="D2">
        <v>-0.59</v>
      </c>
      <c r="E2">
        <v>-1.02</v>
      </c>
      <c r="F2">
        <v>0.46</v>
      </c>
      <c r="G2">
        <v>1.1299999999999999</v>
      </c>
      <c r="H2">
        <v>1.04</v>
      </c>
      <c r="I2">
        <v>0.72</v>
      </c>
      <c r="J2">
        <v>2.33</v>
      </c>
      <c r="L2" t="s">
        <v>1</v>
      </c>
      <c r="M2">
        <f>(1/99)*(SUM(A12:J21))</f>
        <v>3.3250663030303031</v>
      </c>
      <c r="O2" t="s">
        <v>4</v>
      </c>
      <c r="P2">
        <f>SQRT(M2)</f>
        <v>1.8234764333630153</v>
      </c>
    </row>
    <row r="3" spans="1:16" x14ac:dyDescent="0.45">
      <c r="A3">
        <v>0.95</v>
      </c>
      <c r="B3">
        <v>0.43</v>
      </c>
      <c r="C3">
        <v>-2.71</v>
      </c>
      <c r="D3">
        <v>1.65</v>
      </c>
      <c r="E3">
        <v>0.5</v>
      </c>
      <c r="F3">
        <v>1.1499999999999999</v>
      </c>
      <c r="G3">
        <v>-0.11</v>
      </c>
      <c r="H3">
        <v>-1.02</v>
      </c>
      <c r="I3">
        <v>-0.53</v>
      </c>
      <c r="J3">
        <v>1.32</v>
      </c>
      <c r="L3" t="s">
        <v>2</v>
      </c>
      <c r="M3">
        <v>1.66</v>
      </c>
    </row>
    <row r="4" spans="1:16" x14ac:dyDescent="0.45">
      <c r="A4">
        <v>0.83</v>
      </c>
      <c r="B4">
        <v>0.75</v>
      </c>
      <c r="C4">
        <v>-0.62</v>
      </c>
      <c r="D4">
        <v>-0.95</v>
      </c>
      <c r="E4">
        <v>-0.45</v>
      </c>
      <c r="F4">
        <v>0.08</v>
      </c>
      <c r="G4">
        <v>0.2</v>
      </c>
      <c r="H4">
        <v>-3.38</v>
      </c>
      <c r="I4">
        <v>-2.16</v>
      </c>
      <c r="J4">
        <v>-0.28999999999999998</v>
      </c>
    </row>
    <row r="5" spans="1:16" x14ac:dyDescent="0.45">
      <c r="A5">
        <v>0.76</v>
      </c>
      <c r="B5">
        <v>0.93</v>
      </c>
      <c r="C5">
        <v>-0.49</v>
      </c>
      <c r="D5">
        <v>-4.99</v>
      </c>
      <c r="E5">
        <v>-1.46</v>
      </c>
      <c r="F5">
        <v>0.45</v>
      </c>
      <c r="G5">
        <v>1.73</v>
      </c>
      <c r="H5">
        <v>-3.44</v>
      </c>
      <c r="I5">
        <v>-1.07</v>
      </c>
      <c r="J5">
        <v>0.42</v>
      </c>
      <c r="L5" t="s">
        <v>3</v>
      </c>
      <c r="M5" s="1">
        <f>$M$1-$M$3*($P$2/SQRT(100))</f>
        <v>-2.0970879382605778E-3</v>
      </c>
      <c r="N5" s="1" t="s">
        <v>6</v>
      </c>
      <c r="O5" s="1" t="s">
        <v>7</v>
      </c>
    </row>
    <row r="6" spans="1:16" x14ac:dyDescent="0.45">
      <c r="A6">
        <v>0.47</v>
      </c>
      <c r="B6">
        <v>-2.78</v>
      </c>
      <c r="C6">
        <v>-3.29</v>
      </c>
      <c r="D6">
        <v>2.14</v>
      </c>
      <c r="E6">
        <v>-0.62</v>
      </c>
      <c r="F6">
        <v>2.79</v>
      </c>
      <c r="G6">
        <v>0.02</v>
      </c>
      <c r="H6">
        <v>-0.4</v>
      </c>
      <c r="I6">
        <v>2.81</v>
      </c>
      <c r="J6">
        <v>0.02</v>
      </c>
      <c r="L6" t="s">
        <v>5</v>
      </c>
      <c r="M6" s="1">
        <f>$M$1+$M$3*($P$2/SQRT(100))</f>
        <v>0.60329708793826053</v>
      </c>
      <c r="N6" s="1"/>
      <c r="O6" s="1"/>
    </row>
    <row r="7" spans="1:16" x14ac:dyDescent="0.45">
      <c r="A7">
        <v>4.3099999999999996</v>
      </c>
      <c r="B7">
        <v>0.38</v>
      </c>
      <c r="C7">
        <v>3.79</v>
      </c>
      <c r="D7">
        <v>2.8</v>
      </c>
      <c r="E7">
        <v>0.35</v>
      </c>
      <c r="F7">
        <v>-2.72</v>
      </c>
      <c r="G7">
        <v>0.28000000000000003</v>
      </c>
      <c r="H7">
        <v>1.68</v>
      </c>
      <c r="I7">
        <v>3.09</v>
      </c>
      <c r="J7">
        <v>1.86</v>
      </c>
    </row>
    <row r="8" spans="1:16" x14ac:dyDescent="0.45">
      <c r="A8">
        <v>0.46</v>
      </c>
      <c r="B8">
        <v>-2.37</v>
      </c>
      <c r="C8">
        <v>3.02</v>
      </c>
      <c r="D8">
        <v>0.43</v>
      </c>
      <c r="E8">
        <v>-1.0900000000000001</v>
      </c>
      <c r="F8">
        <v>0.39</v>
      </c>
      <c r="G8">
        <v>-0.3</v>
      </c>
      <c r="H8">
        <v>1.03</v>
      </c>
      <c r="I8">
        <v>7.0000000000000007E-2</v>
      </c>
      <c r="J8">
        <v>-0.15</v>
      </c>
      <c r="L8" t="s">
        <v>8</v>
      </c>
      <c r="M8">
        <v>83.381600000000006</v>
      </c>
    </row>
    <row r="9" spans="1:16" x14ac:dyDescent="0.45">
      <c r="A9">
        <v>-0.35</v>
      </c>
      <c r="B9">
        <v>-2.08</v>
      </c>
      <c r="C9">
        <v>-0.81</v>
      </c>
      <c r="D9">
        <v>-1.66</v>
      </c>
      <c r="E9">
        <v>3.37</v>
      </c>
      <c r="F9">
        <v>-0.47</v>
      </c>
      <c r="G9">
        <v>1.1000000000000001</v>
      </c>
      <c r="H9">
        <v>0.77</v>
      </c>
      <c r="I9">
        <v>-1.05</v>
      </c>
      <c r="J9">
        <v>2.61</v>
      </c>
      <c r="L9" t="s">
        <v>9</v>
      </c>
      <c r="M9">
        <v>115.7067</v>
      </c>
    </row>
    <row r="10" spans="1:16" x14ac:dyDescent="0.45">
      <c r="A10">
        <v>1.35</v>
      </c>
      <c r="B10">
        <v>-0.38</v>
      </c>
      <c r="C10">
        <v>-0.27</v>
      </c>
      <c r="D10">
        <v>0.88</v>
      </c>
      <c r="E10">
        <v>1.87</v>
      </c>
      <c r="F10">
        <v>5.01</v>
      </c>
      <c r="G10">
        <v>0.38</v>
      </c>
      <c r="H10">
        <v>2.3199999999999998</v>
      </c>
      <c r="I10">
        <v>0.8</v>
      </c>
      <c r="J10">
        <v>-0.09</v>
      </c>
      <c r="L10" t="s">
        <v>3</v>
      </c>
      <c r="M10" s="1">
        <f>SUM(A12:J21)/M9</f>
        <v>2.8449654514388536</v>
      </c>
      <c r="N10" s="1" t="s">
        <v>6</v>
      </c>
      <c r="O10" s="1" t="s">
        <v>10</v>
      </c>
    </row>
    <row r="11" spans="1:16" x14ac:dyDescent="0.45">
      <c r="L11" t="s">
        <v>5</v>
      </c>
      <c r="M11" s="1">
        <f>SUM(A12:J21)/M8</f>
        <v>3.9478921488673757</v>
      </c>
      <c r="N11" s="1"/>
      <c r="O11" s="1"/>
    </row>
    <row r="12" spans="1:16" x14ac:dyDescent="0.45">
      <c r="A12">
        <f>POWER(A1-$M$1,2)</f>
        <v>8.64712836</v>
      </c>
      <c r="B12">
        <f t="shared" ref="B12:J12" si="0">POWER(B1-$M$1,2)</f>
        <v>3.8392483599999991</v>
      </c>
      <c r="C12">
        <f t="shared" si="0"/>
        <v>4.3655923600000017</v>
      </c>
      <c r="D12">
        <f t="shared" si="0"/>
        <v>8.6436000000000217E-4</v>
      </c>
      <c r="E12">
        <f t="shared" si="0"/>
        <v>16.326448360000004</v>
      </c>
      <c r="F12">
        <f t="shared" si="0"/>
        <v>3.2739283599999998</v>
      </c>
      <c r="G12">
        <f t="shared" si="0"/>
        <v>6.3978643599999989</v>
      </c>
      <c r="H12">
        <f t="shared" si="0"/>
        <v>0.53377635999999984</v>
      </c>
      <c r="I12">
        <f t="shared" si="0"/>
        <v>3.607720360000001</v>
      </c>
      <c r="J12">
        <f t="shared" si="0"/>
        <v>6.5055603600000014</v>
      </c>
    </row>
    <row r="13" spans="1:16" x14ac:dyDescent="0.45">
      <c r="A13">
        <f t="shared" ref="A13:J13" si="1">POWER(A2-$M$1,2)</f>
        <v>0.33570436000000003</v>
      </c>
      <c r="B13">
        <f t="shared" si="1"/>
        <v>0.47692836</v>
      </c>
      <c r="C13">
        <f t="shared" si="1"/>
        <v>3.5698323599999999</v>
      </c>
      <c r="D13">
        <f t="shared" si="1"/>
        <v>0.79316835999999991</v>
      </c>
      <c r="E13">
        <f t="shared" si="1"/>
        <v>1.74398436</v>
      </c>
      <c r="F13">
        <f t="shared" si="1"/>
        <v>2.5408360000000012E-2</v>
      </c>
      <c r="G13">
        <f t="shared" si="1"/>
        <v>0.68790435999999988</v>
      </c>
      <c r="H13">
        <f t="shared" si="1"/>
        <v>0.54671236000000012</v>
      </c>
      <c r="I13">
        <f t="shared" si="1"/>
        <v>0.17589636</v>
      </c>
      <c r="J13">
        <f t="shared" si="1"/>
        <v>4.118464359999999</v>
      </c>
    </row>
    <row r="14" spans="1:16" x14ac:dyDescent="0.45">
      <c r="A14">
        <f t="shared" ref="A14:J14" si="2">POWER(A3-$M$1,2)</f>
        <v>0.42172035999999996</v>
      </c>
      <c r="B14">
        <f t="shared" si="2"/>
        <v>1.6744360000000003E-2</v>
      </c>
      <c r="C14">
        <f t="shared" si="2"/>
        <v>9.0637123600000002</v>
      </c>
      <c r="D14">
        <f t="shared" si="2"/>
        <v>1.8208803599999999</v>
      </c>
      <c r="E14">
        <f t="shared" si="2"/>
        <v>3.9760360000000008E-2</v>
      </c>
      <c r="F14">
        <f t="shared" si="2"/>
        <v>0.72148035999999993</v>
      </c>
      <c r="G14">
        <f t="shared" si="2"/>
        <v>0.16859235999999997</v>
      </c>
      <c r="H14">
        <f t="shared" si="2"/>
        <v>1.74398436</v>
      </c>
      <c r="I14">
        <f t="shared" si="2"/>
        <v>0.68989635999999999</v>
      </c>
      <c r="J14">
        <f t="shared" si="2"/>
        <v>1.0391763600000001</v>
      </c>
    </row>
    <row r="15" spans="1:16" x14ac:dyDescent="0.45">
      <c r="A15">
        <f t="shared" ref="A15:J15" si="3">POWER(A4-$M$1,2)</f>
        <v>0.28026435999999999</v>
      </c>
      <c r="B15">
        <f t="shared" si="3"/>
        <v>0.20196036000000003</v>
      </c>
      <c r="C15">
        <f t="shared" si="3"/>
        <v>0.84750435999999996</v>
      </c>
      <c r="D15">
        <f t="shared" si="3"/>
        <v>1.5640003599999999</v>
      </c>
      <c r="E15">
        <f t="shared" si="3"/>
        <v>0.56340035999999993</v>
      </c>
      <c r="F15">
        <f t="shared" si="3"/>
        <v>4.8664359999999983E-2</v>
      </c>
      <c r="G15">
        <f t="shared" si="3"/>
        <v>1.0120359999999993E-2</v>
      </c>
      <c r="H15">
        <f t="shared" si="3"/>
        <v>13.546816360000001</v>
      </c>
      <c r="I15">
        <f t="shared" si="3"/>
        <v>6.0545523600000015</v>
      </c>
      <c r="J15">
        <f t="shared" si="3"/>
        <v>0.34880836000000004</v>
      </c>
    </row>
    <row r="16" spans="1:16" x14ac:dyDescent="0.45">
      <c r="A16">
        <f t="shared" ref="A16:J16" si="4">POWER(A5-$M$1,2)</f>
        <v>0.21104836000000002</v>
      </c>
      <c r="B16">
        <f t="shared" si="4"/>
        <v>0.39614436000000008</v>
      </c>
      <c r="C16">
        <f t="shared" si="4"/>
        <v>0.62504835999999997</v>
      </c>
      <c r="D16">
        <f t="shared" si="4"/>
        <v>27.990448360000006</v>
      </c>
      <c r="E16">
        <f t="shared" si="4"/>
        <v>3.0997123599999998</v>
      </c>
      <c r="F16">
        <f t="shared" si="4"/>
        <v>2.2320360000000011E-2</v>
      </c>
      <c r="G16">
        <f t="shared" si="4"/>
        <v>2.0431843600000001</v>
      </c>
      <c r="H16">
        <f t="shared" si="4"/>
        <v>13.992088359999999</v>
      </c>
      <c r="I16">
        <f t="shared" si="4"/>
        <v>1.87854436</v>
      </c>
      <c r="J16">
        <f t="shared" si="4"/>
        <v>1.4256360000000001E-2</v>
      </c>
    </row>
    <row r="17" spans="1:10" x14ac:dyDescent="0.45">
      <c r="A17">
        <f t="shared" ref="A17:J17" si="5">POWER(A6-$M$1,2)</f>
        <v>2.8696359999999997E-2</v>
      </c>
      <c r="B17">
        <f t="shared" si="5"/>
        <v>9.4900963599999972</v>
      </c>
      <c r="C17">
        <f t="shared" si="5"/>
        <v>12.892408360000001</v>
      </c>
      <c r="D17">
        <f t="shared" si="5"/>
        <v>3.3833923600000007</v>
      </c>
      <c r="E17">
        <f t="shared" si="5"/>
        <v>0.84750435999999996</v>
      </c>
      <c r="F17">
        <f t="shared" si="5"/>
        <v>6.1971123599999993</v>
      </c>
      <c r="G17">
        <f t="shared" si="5"/>
        <v>7.8736359999999977E-2</v>
      </c>
      <c r="H17">
        <f t="shared" si="5"/>
        <v>0.49084035999999998</v>
      </c>
      <c r="I17">
        <f t="shared" si="5"/>
        <v>6.2970883600000018</v>
      </c>
      <c r="J17">
        <f t="shared" si="5"/>
        <v>7.8736359999999977E-2</v>
      </c>
    </row>
    <row r="18" spans="1:10" x14ac:dyDescent="0.45">
      <c r="A18">
        <f t="shared" ref="A18:J18" si="6">POWER(A7-$M$1,2)</f>
        <v>16.075288359999995</v>
      </c>
      <c r="B18">
        <f t="shared" si="6"/>
        <v>6.3043600000000045E-3</v>
      </c>
      <c r="C18">
        <f t="shared" si="6"/>
        <v>12.175912359999998</v>
      </c>
      <c r="D18">
        <f t="shared" si="6"/>
        <v>6.2470003599999977</v>
      </c>
      <c r="E18">
        <f t="shared" si="6"/>
        <v>2.4403599999999999E-3</v>
      </c>
      <c r="F18">
        <f t="shared" si="6"/>
        <v>9.1240243599999999</v>
      </c>
      <c r="G18">
        <f t="shared" si="6"/>
        <v>4.2435999999999803E-4</v>
      </c>
      <c r="H18">
        <f t="shared" si="6"/>
        <v>1.9027443599999998</v>
      </c>
      <c r="I18">
        <f t="shared" si="6"/>
        <v>7.7807523599999984</v>
      </c>
      <c r="J18">
        <f t="shared" si="6"/>
        <v>2.4317283600000006</v>
      </c>
    </row>
    <row r="19" spans="1:10" x14ac:dyDescent="0.45">
      <c r="A19">
        <f t="shared" ref="A19:J19" si="7">POWER(A8-$M$1,2)</f>
        <v>2.5408360000000012E-2</v>
      </c>
      <c r="B19">
        <f t="shared" si="7"/>
        <v>7.1321043600000014</v>
      </c>
      <c r="C19">
        <f t="shared" si="7"/>
        <v>7.3951363600000013</v>
      </c>
      <c r="D19">
        <f t="shared" si="7"/>
        <v>1.6744360000000003E-2</v>
      </c>
      <c r="E19">
        <f t="shared" si="7"/>
        <v>1.9337683600000002</v>
      </c>
      <c r="F19">
        <f t="shared" si="7"/>
        <v>7.9923600000000056E-3</v>
      </c>
      <c r="G19">
        <f t="shared" si="7"/>
        <v>0.36072036000000002</v>
      </c>
      <c r="H19">
        <f t="shared" si="7"/>
        <v>0.53202436000000008</v>
      </c>
      <c r="I19">
        <f t="shared" si="7"/>
        <v>5.3176359999999985E-2</v>
      </c>
      <c r="J19">
        <f t="shared" si="7"/>
        <v>0.20304036</v>
      </c>
    </row>
    <row r="20" spans="1:10" x14ac:dyDescent="0.45">
      <c r="A20">
        <f t="shared" ref="A20:J20" si="8">POWER(A9-$M$1,2)</f>
        <v>0.42328035999999997</v>
      </c>
      <c r="B20">
        <f t="shared" si="8"/>
        <v>5.6672563600000014</v>
      </c>
      <c r="C20">
        <f t="shared" si="8"/>
        <v>1.2334323600000001</v>
      </c>
      <c r="D20">
        <f t="shared" si="8"/>
        <v>3.8439523599999994</v>
      </c>
      <c r="E20">
        <f t="shared" si="8"/>
        <v>9.421216359999999</v>
      </c>
      <c r="F20">
        <f t="shared" si="8"/>
        <v>0.59382435999999994</v>
      </c>
      <c r="G20">
        <f t="shared" si="8"/>
        <v>0.6390403600000002</v>
      </c>
      <c r="H20">
        <f t="shared" si="8"/>
        <v>0.22033636000000004</v>
      </c>
      <c r="I20">
        <f t="shared" si="8"/>
        <v>1.82412036</v>
      </c>
      <c r="J20">
        <f t="shared" si="8"/>
        <v>5.3333283600000003</v>
      </c>
    </row>
    <row r="21" spans="1:10" x14ac:dyDescent="0.45">
      <c r="A21">
        <f t="shared" ref="A21:J21" si="9">POWER(A10-$M$1,2)</f>
        <v>1.1012403600000003</v>
      </c>
      <c r="B21">
        <f t="shared" si="9"/>
        <v>0.46321635999999999</v>
      </c>
      <c r="C21">
        <f t="shared" si="9"/>
        <v>0.32558436000000002</v>
      </c>
      <c r="D21">
        <f t="shared" si="9"/>
        <v>0.33570436000000003</v>
      </c>
      <c r="E21">
        <f t="shared" si="9"/>
        <v>2.4630163600000006</v>
      </c>
      <c r="F21">
        <f t="shared" si="9"/>
        <v>22.178448359999997</v>
      </c>
      <c r="G21">
        <f t="shared" si="9"/>
        <v>6.3043600000000045E-3</v>
      </c>
      <c r="H21">
        <f t="shared" si="9"/>
        <v>4.0779763600000001</v>
      </c>
      <c r="I21">
        <f t="shared" si="9"/>
        <v>0.24940036000000007</v>
      </c>
      <c r="J21">
        <f t="shared" si="9"/>
        <v>0.15256835999999996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2025-04-20T21:58:50Z</dcterms:created>
  <dcterms:modified xsi:type="dcterms:W3CDTF">2025-04-20T22:53:50Z</dcterms:modified>
</cp:coreProperties>
</file>