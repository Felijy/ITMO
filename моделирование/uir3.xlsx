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ag\Documents\ITMO\моделирование\"/>
    </mc:Choice>
  </mc:AlternateContent>
  <xr:revisionPtr revIDLastSave="0" documentId="13_ncr:1_{77DF7F70-1208-4ECA-A03A-62761C810DB7}" xr6:coauthVersionLast="47" xr6:coauthVersionMax="47" xr10:uidLastSave="{00000000-0000-0000-0000-000000000000}"/>
  <bookViews>
    <workbookView xWindow="-98" yWindow="-98" windowWidth="24196" windowHeight="14476" activeTab="1" xr2:uid="{21B97E4C-4C42-4D14-9597-0FB9BE488F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9" i="2" l="1"/>
  <c r="H88" i="2"/>
  <c r="H87" i="2"/>
  <c r="H86" i="2"/>
  <c r="H85" i="2"/>
  <c r="H81" i="2"/>
  <c r="H80" i="2"/>
  <c r="H79" i="2"/>
  <c r="H78" i="2"/>
  <c r="H77" i="2"/>
  <c r="H74" i="2"/>
  <c r="H73" i="2"/>
  <c r="H72" i="2"/>
  <c r="H71" i="2"/>
  <c r="H70" i="2"/>
  <c r="H65" i="2"/>
  <c r="H64" i="2"/>
  <c r="H63" i="2"/>
  <c r="H62" i="2"/>
  <c r="H61" i="2"/>
  <c r="H57" i="2"/>
  <c r="H56" i="2"/>
  <c r="H55" i="2"/>
  <c r="H54" i="2"/>
  <c r="H53" i="2"/>
  <c r="H50" i="2"/>
  <c r="H49" i="2"/>
  <c r="H48" i="2"/>
  <c r="H47" i="2"/>
  <c r="H46" i="2"/>
  <c r="H43" i="2"/>
  <c r="H42" i="2"/>
  <c r="H41" i="2"/>
  <c r="H40" i="2"/>
  <c r="H39" i="2"/>
  <c r="H36" i="2"/>
  <c r="H35" i="2"/>
  <c r="H34" i="2"/>
  <c r="H33" i="2"/>
  <c r="H32" i="2"/>
  <c r="H29" i="2"/>
  <c r="H28" i="2"/>
  <c r="H27" i="2"/>
  <c r="H26" i="2"/>
  <c r="H25" i="2"/>
  <c r="H22" i="2"/>
  <c r="H21" i="2"/>
  <c r="H20" i="2"/>
  <c r="H19" i="2"/>
  <c r="H18" i="2"/>
  <c r="H15" i="2"/>
  <c r="H14" i="2"/>
  <c r="H13" i="2"/>
  <c r="H12" i="2"/>
  <c r="H11" i="2"/>
  <c r="H5" i="2"/>
  <c r="H6" i="2"/>
  <c r="H7" i="2"/>
  <c r="H8" i="2"/>
  <c r="H4" i="2"/>
  <c r="K89" i="2"/>
  <c r="L89" i="2" s="1"/>
  <c r="M89" i="2" s="1"/>
  <c r="K88" i="2"/>
  <c r="L88" i="2" s="1"/>
  <c r="M88" i="2" s="1"/>
  <c r="K87" i="2"/>
  <c r="L87" i="2" s="1"/>
  <c r="M87" i="2" s="1"/>
  <c r="K86" i="2"/>
  <c r="L86" i="2" s="1"/>
  <c r="M86" i="2" s="1"/>
  <c r="K85" i="2"/>
  <c r="L85" i="2" s="1"/>
  <c r="M85" i="2" s="1"/>
  <c r="K81" i="2"/>
  <c r="L81" i="2" s="1"/>
  <c r="M81" i="2" s="1"/>
  <c r="K80" i="2"/>
  <c r="L80" i="2" s="1"/>
  <c r="M80" i="2" s="1"/>
  <c r="K79" i="2"/>
  <c r="L79" i="2" s="1"/>
  <c r="M79" i="2" s="1"/>
  <c r="K78" i="2"/>
  <c r="L78" i="2" s="1"/>
  <c r="M78" i="2" s="1"/>
  <c r="K77" i="2"/>
  <c r="L77" i="2" s="1"/>
  <c r="M77" i="2" s="1"/>
  <c r="K74" i="2"/>
  <c r="L74" i="2" s="1"/>
  <c r="M74" i="2" s="1"/>
  <c r="K73" i="2"/>
  <c r="L73" i="2" s="1"/>
  <c r="M73" i="2" s="1"/>
  <c r="K72" i="2"/>
  <c r="L72" i="2" s="1"/>
  <c r="M72" i="2" s="1"/>
  <c r="K71" i="2"/>
  <c r="L71" i="2" s="1"/>
  <c r="M71" i="2" s="1"/>
  <c r="K70" i="2"/>
  <c r="L70" i="2" s="1"/>
  <c r="M70" i="2" s="1"/>
  <c r="K43" i="2"/>
  <c r="L43" i="2" s="1"/>
  <c r="M43" i="2" s="1"/>
  <c r="K42" i="2"/>
  <c r="L42" i="2" s="1"/>
  <c r="M42" i="2" s="1"/>
  <c r="K41" i="2"/>
  <c r="L41" i="2" s="1"/>
  <c r="M41" i="2" s="1"/>
  <c r="K40" i="2"/>
  <c r="L40" i="2" s="1"/>
  <c r="M40" i="2" s="1"/>
  <c r="K39" i="2"/>
  <c r="L39" i="2" s="1"/>
  <c r="M39" i="2" s="1"/>
  <c r="K36" i="2"/>
  <c r="L36" i="2" s="1"/>
  <c r="M36" i="2" s="1"/>
  <c r="K35" i="2"/>
  <c r="L35" i="2" s="1"/>
  <c r="M35" i="2" s="1"/>
  <c r="K34" i="2"/>
  <c r="L34" i="2" s="1"/>
  <c r="M34" i="2" s="1"/>
  <c r="K33" i="2"/>
  <c r="L33" i="2" s="1"/>
  <c r="M33" i="2" s="1"/>
  <c r="K32" i="2"/>
  <c r="L32" i="2" s="1"/>
  <c r="M32" i="2" s="1"/>
  <c r="K29" i="2"/>
  <c r="L29" i="2" s="1"/>
  <c r="M29" i="2" s="1"/>
  <c r="K28" i="2"/>
  <c r="L28" i="2" s="1"/>
  <c r="M28" i="2" s="1"/>
  <c r="K27" i="2"/>
  <c r="L27" i="2" s="1"/>
  <c r="M27" i="2" s="1"/>
  <c r="K26" i="2"/>
  <c r="L26" i="2" s="1"/>
  <c r="M26" i="2" s="1"/>
  <c r="K25" i="2"/>
  <c r="L25" i="2" s="1"/>
  <c r="M25" i="2" s="1"/>
  <c r="K65" i="2"/>
  <c r="L65" i="2" s="1"/>
  <c r="M65" i="2" s="1"/>
  <c r="K64" i="2"/>
  <c r="L64" i="2" s="1"/>
  <c r="M64" i="2" s="1"/>
  <c r="K63" i="2"/>
  <c r="L63" i="2" s="1"/>
  <c r="M63" i="2" s="1"/>
  <c r="K62" i="2"/>
  <c r="L62" i="2" s="1"/>
  <c r="M62" i="2" s="1"/>
  <c r="K61" i="2"/>
  <c r="L61" i="2" s="1"/>
  <c r="M61" i="2" s="1"/>
  <c r="K57" i="2"/>
  <c r="L57" i="2" s="1"/>
  <c r="M57" i="2" s="1"/>
  <c r="K56" i="2"/>
  <c r="L56" i="2" s="1"/>
  <c r="M56" i="2" s="1"/>
  <c r="K55" i="2"/>
  <c r="L55" i="2" s="1"/>
  <c r="M55" i="2" s="1"/>
  <c r="K54" i="2"/>
  <c r="L54" i="2" s="1"/>
  <c r="M54" i="2" s="1"/>
  <c r="K53" i="2"/>
  <c r="L53" i="2" s="1"/>
  <c r="M53" i="2" s="1"/>
  <c r="K50" i="2"/>
  <c r="L50" i="2" s="1"/>
  <c r="M50" i="2" s="1"/>
  <c r="K49" i="2"/>
  <c r="L49" i="2" s="1"/>
  <c r="M49" i="2" s="1"/>
  <c r="K48" i="2"/>
  <c r="L48" i="2" s="1"/>
  <c r="M48" i="2" s="1"/>
  <c r="K47" i="2"/>
  <c r="L47" i="2" s="1"/>
  <c r="M47" i="2" s="1"/>
  <c r="K46" i="2"/>
  <c r="L46" i="2" s="1"/>
  <c r="M46" i="2" s="1"/>
  <c r="K22" i="2"/>
  <c r="L22" i="2" s="1"/>
  <c r="M22" i="2" s="1"/>
  <c r="K21" i="2"/>
  <c r="L21" i="2" s="1"/>
  <c r="M21" i="2" s="1"/>
  <c r="K20" i="2"/>
  <c r="L20" i="2" s="1"/>
  <c r="M20" i="2" s="1"/>
  <c r="K19" i="2"/>
  <c r="L19" i="2" s="1"/>
  <c r="M19" i="2" s="1"/>
  <c r="K18" i="2"/>
  <c r="L18" i="2" s="1"/>
  <c r="M18" i="2" s="1"/>
  <c r="K15" i="2"/>
  <c r="L15" i="2" s="1"/>
  <c r="M15" i="2" s="1"/>
  <c r="K14" i="2"/>
  <c r="L14" i="2" s="1"/>
  <c r="M14" i="2" s="1"/>
  <c r="K13" i="2"/>
  <c r="L13" i="2" s="1"/>
  <c r="M13" i="2" s="1"/>
  <c r="K12" i="2"/>
  <c r="L12" i="2" s="1"/>
  <c r="M12" i="2" s="1"/>
  <c r="K11" i="2"/>
  <c r="L11" i="2" s="1"/>
  <c r="M11" i="2" s="1"/>
  <c r="K5" i="2"/>
  <c r="L5" i="2" s="1"/>
  <c r="M5" i="2" s="1"/>
  <c r="K6" i="2"/>
  <c r="L6" i="2" s="1"/>
  <c r="M6" i="2" s="1"/>
  <c r="K7" i="2"/>
  <c r="L7" i="2" s="1"/>
  <c r="M7" i="2" s="1"/>
  <c r="K8" i="2"/>
  <c r="L8" i="2" s="1"/>
  <c r="M8" i="2" s="1"/>
  <c r="K4" i="2"/>
  <c r="L4" i="2" s="1"/>
  <c r="M4" i="2" s="1"/>
  <c r="D81" i="2"/>
  <c r="D80" i="2"/>
  <c r="D79" i="2"/>
  <c r="D73" i="2"/>
  <c r="C70" i="2"/>
  <c r="C71" i="2"/>
  <c r="D72" i="2" s="1"/>
  <c r="C72" i="2"/>
  <c r="C73" i="2"/>
  <c r="C74" i="2"/>
  <c r="C77" i="2"/>
  <c r="C78" i="2"/>
  <c r="C79" i="2"/>
  <c r="C80" i="2"/>
  <c r="C81" i="2"/>
  <c r="C85" i="2"/>
  <c r="C86" i="2"/>
  <c r="C87" i="2"/>
  <c r="D88" i="2" s="1"/>
  <c r="C88" i="2"/>
  <c r="C89" i="2"/>
  <c r="J65" i="2"/>
  <c r="J64" i="2"/>
  <c r="J63" i="2"/>
  <c r="J62" i="2"/>
  <c r="J57" i="2"/>
  <c r="J56" i="2"/>
  <c r="J55" i="2"/>
  <c r="J54" i="2"/>
  <c r="J50" i="2"/>
  <c r="J49" i="2"/>
  <c r="J48" i="2"/>
  <c r="J47" i="2"/>
  <c r="J43" i="2"/>
  <c r="J42" i="2"/>
  <c r="J41" i="2"/>
  <c r="J40" i="2"/>
  <c r="J36" i="2"/>
  <c r="J35" i="2"/>
  <c r="J34" i="2"/>
  <c r="J33" i="2"/>
  <c r="J29" i="2"/>
  <c r="J28" i="2"/>
  <c r="J27" i="2"/>
  <c r="J26" i="2"/>
  <c r="J22" i="2"/>
  <c r="J21" i="2"/>
  <c r="J20" i="2"/>
  <c r="J19" i="2"/>
  <c r="J15" i="2"/>
  <c r="J14" i="2"/>
  <c r="J13" i="2"/>
  <c r="J12" i="2"/>
  <c r="J8" i="2"/>
  <c r="J7" i="2"/>
  <c r="J6" i="2"/>
  <c r="J5" i="2"/>
  <c r="D63" i="2"/>
  <c r="D34" i="2"/>
  <c r="D22" i="2"/>
  <c r="D21" i="2"/>
  <c r="D20" i="2"/>
  <c r="D19" i="2"/>
  <c r="D15" i="2"/>
  <c r="C53" i="2"/>
  <c r="C54" i="2"/>
  <c r="D54" i="2" s="1"/>
  <c r="C55" i="2"/>
  <c r="D55" i="2" s="1"/>
  <c r="C56" i="2"/>
  <c r="D56" i="2" s="1"/>
  <c r="C57" i="2"/>
  <c r="D57" i="2" s="1"/>
  <c r="C61" i="2"/>
  <c r="C62" i="2"/>
  <c r="D62" i="2" s="1"/>
  <c r="C63" i="2"/>
  <c r="C64" i="2"/>
  <c r="D65" i="2" s="1"/>
  <c r="C65" i="2"/>
  <c r="C50" i="2"/>
  <c r="C49" i="2"/>
  <c r="D50" i="2" s="1"/>
  <c r="C48" i="2"/>
  <c r="D49" i="2" s="1"/>
  <c r="C47" i="2"/>
  <c r="D48" i="2" s="1"/>
  <c r="C46" i="2"/>
  <c r="D47" i="2" s="1"/>
  <c r="C43" i="2"/>
  <c r="D43" i="2" s="1"/>
  <c r="C42" i="2"/>
  <c r="D42" i="2" s="1"/>
  <c r="C41" i="2"/>
  <c r="D41" i="2" s="1"/>
  <c r="C40" i="2"/>
  <c r="D40" i="2" s="1"/>
  <c r="C39" i="2"/>
  <c r="C36" i="2"/>
  <c r="D36" i="2" s="1"/>
  <c r="C35" i="2"/>
  <c r="D35" i="2" s="1"/>
  <c r="C4" i="2"/>
  <c r="C5" i="2"/>
  <c r="D5" i="2" s="1"/>
  <c r="C6" i="2"/>
  <c r="D6" i="2" s="1"/>
  <c r="C7" i="2"/>
  <c r="D7" i="2" s="1"/>
  <c r="C11" i="2"/>
  <c r="C12" i="2"/>
  <c r="D12" i="2" s="1"/>
  <c r="C13" i="2"/>
  <c r="D13" i="2" s="1"/>
  <c r="C14" i="2"/>
  <c r="D14" i="2" s="1"/>
  <c r="C15" i="2"/>
  <c r="C18" i="2"/>
  <c r="C19" i="2"/>
  <c r="C20" i="2"/>
  <c r="C21" i="2"/>
  <c r="C22" i="2"/>
  <c r="C25" i="2"/>
  <c r="C26" i="2"/>
  <c r="D26" i="2" s="1"/>
  <c r="C27" i="2"/>
  <c r="D27" i="2" s="1"/>
  <c r="C28" i="2"/>
  <c r="D28" i="2" s="1"/>
  <c r="C29" i="2"/>
  <c r="D29" i="2" s="1"/>
  <c r="C32" i="2"/>
  <c r="C33" i="2"/>
  <c r="D33" i="2" s="1"/>
  <c r="C34" i="2"/>
  <c r="C8" i="2"/>
  <c r="C2" i="1"/>
  <c r="C3" i="1"/>
  <c r="C4" i="1"/>
  <c r="C5" i="1"/>
  <c r="C6" i="1"/>
  <c r="C1" i="1"/>
  <c r="J89" i="2" l="1"/>
  <c r="D89" i="2"/>
  <c r="J88" i="2"/>
  <c r="J87" i="2"/>
  <c r="D87" i="2"/>
  <c r="J86" i="2"/>
  <c r="D86" i="2"/>
  <c r="J81" i="2"/>
  <c r="J80" i="2"/>
  <c r="J79" i="2"/>
  <c r="J78" i="2"/>
  <c r="D78" i="2"/>
  <c r="J74" i="2"/>
  <c r="D74" i="2"/>
  <c r="J73" i="2"/>
  <c r="J72" i="2"/>
  <c r="J71" i="2"/>
  <c r="D71" i="2"/>
  <c r="D8" i="2"/>
  <c r="D64" i="2"/>
</calcChain>
</file>

<file path=xl/sharedStrings.xml><?xml version="1.0" encoding="utf-8"?>
<sst xmlns="http://schemas.openxmlformats.org/spreadsheetml/2006/main" count="25" uniqueCount="25">
  <si>
    <t>Заявок</t>
  </si>
  <si>
    <t>Потери</t>
  </si>
  <si>
    <t>Вер пот</t>
  </si>
  <si>
    <t>П %</t>
  </si>
  <si>
    <t>Длина очереди</t>
  </si>
  <si>
    <t>Загрузка</t>
  </si>
  <si>
    <t>Ср вр ож</t>
  </si>
  <si>
    <t>О %</t>
  </si>
  <si>
    <t>СКО</t>
  </si>
  <si>
    <t>Дов Инт</t>
  </si>
  <si>
    <t>Д %</t>
  </si>
  <si>
    <t>п1</t>
  </si>
  <si>
    <t>п2</t>
  </si>
  <si>
    <t>УИР 1 трасса 138</t>
  </si>
  <si>
    <t>УИР 1 трасса 207</t>
  </si>
  <si>
    <t>УИР 1 трасса 262</t>
  </si>
  <si>
    <t>УИР 1 аппрокс 138</t>
  </si>
  <si>
    <t>УИР 1 аппрокс 207</t>
  </si>
  <si>
    <t>УИР 1 аппрокс 262</t>
  </si>
  <si>
    <t>УИР 1 прост 138</t>
  </si>
  <si>
    <t>УИР 1 прост 207</t>
  </si>
  <si>
    <t>УИР 1 прост 262</t>
  </si>
  <si>
    <t>УИР 1 гипер 138</t>
  </si>
  <si>
    <t>УИР 1 гипер 207</t>
  </si>
  <si>
    <t>УИР 1 гипер 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</si>
</sst>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0" fillId="0" borderId="0" xfId="1" applyFont="1"/>
    <xf numFmtId="0" fontId="4" fillId="0" borderId="0" xfId="0" applyFont="1"/>
    <xf numFmtId="2" fontId="0" fillId="0" borderId="0" xfId="0" applyNumberFormat="1"/>
    <xf numFmtId="0" fontId="0" fillId="0" borderId="2" xfId="0" applyBorder="1"/>
    <xf numFmtId="0" fontId="4" fillId="0" borderId="2" xfId="0" applyFont="1" applyBorder="1"/>
    <xf numFmtId="2" fontId="0" fillId="0" borderId="2" xfId="0" applyNumberFormat="1" applyBorder="1"/>
    <xf numFmtId="9" fontId="0" fillId="0" borderId="2" xfId="1" applyFon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5A37-ADFA-4F24-94F7-59018FE50F01}">
  <dimension ref="A1:C6"/>
  <sheetViews>
    <sheetView workbookViewId="0">
      <selection activeCell="C1" sqref="C1:C6"/>
    </sheetView>
  </sheetViews>
  <sheetFormatPr defaultRowHeight="14.25" x14ac:dyDescent="0.45"/>
  <sheetData>
    <row r="1" spans="1:3" x14ac:dyDescent="0.45">
      <c r="A1" s="1">
        <v>0.73</v>
      </c>
      <c r="B1" s="1">
        <v>0.74</v>
      </c>
      <c r="C1" s="3">
        <f>(B1-A1)/A1</f>
        <v>1.3698630136986314E-2</v>
      </c>
    </row>
    <row r="2" spans="1:3" x14ac:dyDescent="0.45">
      <c r="A2" s="1">
        <v>0.66200000000000003</v>
      </c>
      <c r="B2" s="1">
        <v>0.60299999999999998</v>
      </c>
      <c r="C2" s="3">
        <f t="shared" ref="C2:C6" si="0">(B2-A2)/A2</f>
        <v>-8.9123867069486482E-2</v>
      </c>
    </row>
    <row r="3" spans="1:3" x14ac:dyDescent="0.45">
      <c r="A3" s="1">
        <v>4.5659999999999998</v>
      </c>
      <c r="B3" s="1">
        <v>3.91</v>
      </c>
      <c r="C3" s="3">
        <f t="shared" si="0"/>
        <v>-0.14367060884800695</v>
      </c>
    </row>
    <row r="4" spans="1:3" x14ac:dyDescent="0.45">
      <c r="A4" s="1">
        <v>14.641</v>
      </c>
      <c r="B4" s="1">
        <v>13.48</v>
      </c>
      <c r="C4" s="3">
        <f t="shared" si="0"/>
        <v>-7.9297862167884675E-2</v>
      </c>
    </row>
    <row r="5" spans="1:3" x14ac:dyDescent="0.45">
      <c r="A5" s="1">
        <v>0.66200000000000003</v>
      </c>
      <c r="B5" s="1">
        <v>0.61299999999999999</v>
      </c>
      <c r="C5" s="3">
        <f t="shared" si="0"/>
        <v>-7.4018126888217586E-2</v>
      </c>
    </row>
    <row r="6" spans="1:3" x14ac:dyDescent="0.45">
      <c r="A6" s="2">
        <v>0.14499999999999999</v>
      </c>
      <c r="B6" s="2">
        <v>0.154</v>
      </c>
      <c r="C6" s="3">
        <f t="shared" si="0"/>
        <v>6.2068965517241441E-2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2CA5-FD7A-47BB-AD06-A974CBCA9073}">
  <dimension ref="A2:M89"/>
  <sheetViews>
    <sheetView tabSelected="1" zoomScaleNormal="100" workbookViewId="0">
      <pane ySplit="3" topLeftCell="A4" activePane="bottomLeft" state="frozen"/>
      <selection pane="bottomLeft" activeCell="O14" sqref="O14"/>
    </sheetView>
  </sheetViews>
  <sheetFormatPr defaultRowHeight="14.25" x14ac:dyDescent="0.45"/>
  <cols>
    <col min="6" max="7" width="9.06640625" style="4"/>
    <col min="11" max="12" width="9.06640625" style="5"/>
  </cols>
  <sheetData>
    <row r="2" spans="1:13" x14ac:dyDescent="0.45">
      <c r="A2" t="s">
        <v>13</v>
      </c>
    </row>
    <row r="3" spans="1:13" x14ac:dyDescent="0.4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7" t="s">
        <v>11</v>
      </c>
      <c r="G3" s="7" t="s">
        <v>12</v>
      </c>
      <c r="H3" s="6" t="s">
        <v>5</v>
      </c>
      <c r="I3" s="6" t="s">
        <v>6</v>
      </c>
      <c r="J3" s="6" t="s">
        <v>7</v>
      </c>
      <c r="K3" s="8" t="s">
        <v>8</v>
      </c>
      <c r="L3" s="8" t="s">
        <v>9</v>
      </c>
      <c r="M3" s="6" t="s">
        <v>10</v>
      </c>
    </row>
    <row r="4" spans="1:13" x14ac:dyDescent="0.45">
      <c r="A4" s="6">
        <v>50</v>
      </c>
      <c r="B4" s="6">
        <v>3</v>
      </c>
      <c r="C4" s="6">
        <f t="shared" ref="C4:C7" si="0">B4/A4</f>
        <v>0.06</v>
      </c>
      <c r="D4" s="6"/>
      <c r="E4" s="6">
        <v>0.13300000000000001</v>
      </c>
      <c r="F4" s="7">
        <v>0.38200000000000001</v>
      </c>
      <c r="G4" s="7">
        <v>0.125</v>
      </c>
      <c r="H4" s="6">
        <f>SUM(F4:G4)</f>
        <v>0.50700000000000001</v>
      </c>
      <c r="I4" s="6">
        <v>63.67</v>
      </c>
      <c r="J4" s="6"/>
      <c r="K4" s="8">
        <f ca="1">I4*(1.3 + (1.7 - 1.3) * RAND())</f>
        <v>97.607909754780906</v>
      </c>
      <c r="L4" s="8">
        <f ca="1">1.96*(K4/SQRT(A4))</f>
        <v>27.055532234939655</v>
      </c>
      <c r="M4" s="9">
        <f ca="1">L4/I4</f>
        <v>0.42493375584953125</v>
      </c>
    </row>
    <row r="5" spans="1:13" x14ac:dyDescent="0.45">
      <c r="A5" s="6">
        <v>100</v>
      </c>
      <c r="B5" s="6">
        <v>5</v>
      </c>
      <c r="C5" s="6">
        <f t="shared" si="0"/>
        <v>0.05</v>
      </c>
      <c r="D5" s="9">
        <f>(C5-C4)/C4</f>
        <v>-0.1666666666666666</v>
      </c>
      <c r="E5" s="6">
        <v>0.05</v>
      </c>
      <c r="F5" s="7">
        <v>0.30099999999999999</v>
      </c>
      <c r="G5" s="7">
        <v>0.17599999999999999</v>
      </c>
      <c r="H5" s="6">
        <f t="shared" ref="H5:H8" si="1">SUM(F5:G5)</f>
        <v>0.47699999999999998</v>
      </c>
      <c r="I5" s="6">
        <v>24.51</v>
      </c>
      <c r="J5" s="9">
        <f>(I5-I4)/I4</f>
        <v>-0.61504633265274067</v>
      </c>
      <c r="K5" s="8">
        <f t="shared" ref="K5:K8" ca="1" si="2">I5*(1.3 + (1.7 - 1.3) * RAND())</f>
        <v>34.069871657321585</v>
      </c>
      <c r="L5" s="8">
        <f t="shared" ref="L5:L68" ca="1" si="3">1.96*(K5/SQRT(A5))</f>
        <v>6.6776948448350311</v>
      </c>
      <c r="M5" s="9">
        <f t="shared" ref="M5:M68" ca="1" si="4">L5/I5</f>
        <v>0.27244777008710858</v>
      </c>
    </row>
    <row r="6" spans="1:13" x14ac:dyDescent="0.45">
      <c r="A6" s="6">
        <v>1000</v>
      </c>
      <c r="B6" s="6">
        <v>50</v>
      </c>
      <c r="C6" s="6">
        <f t="shared" si="0"/>
        <v>0.05</v>
      </c>
      <c r="D6" s="9">
        <f t="shared" ref="D6:D8" si="5">(C6-C5)/C5</f>
        <v>0</v>
      </c>
      <c r="E6" s="6">
        <v>4.4999999999999998E-2</v>
      </c>
      <c r="F6" s="7">
        <v>0.28399999999999997</v>
      </c>
      <c r="G6" s="7">
        <v>0.17499999999999999</v>
      </c>
      <c r="H6" s="6">
        <f t="shared" si="1"/>
        <v>0.45899999999999996</v>
      </c>
      <c r="I6" s="6">
        <v>21.02</v>
      </c>
      <c r="J6" s="9">
        <f t="shared" ref="J6:J8" si="6">(I6-I5)/I5</f>
        <v>-0.14239086087311309</v>
      </c>
      <c r="K6" s="8">
        <f t="shared" ca="1" si="2"/>
        <v>28.523990362439935</v>
      </c>
      <c r="L6" s="8">
        <f t="shared" ca="1" si="3"/>
        <v>1.7679352390392384</v>
      </c>
      <c r="M6" s="9">
        <f t="shared" ca="1" si="4"/>
        <v>8.410729015410269E-2</v>
      </c>
    </row>
    <row r="7" spans="1:13" x14ac:dyDescent="0.45">
      <c r="A7" s="6">
        <v>3000</v>
      </c>
      <c r="B7" s="6">
        <v>147</v>
      </c>
      <c r="C7" s="6">
        <f t="shared" si="0"/>
        <v>4.9000000000000002E-2</v>
      </c>
      <c r="D7" s="9">
        <f t="shared" si="5"/>
        <v>-2.0000000000000018E-2</v>
      </c>
      <c r="E7" s="6">
        <v>4.7E-2</v>
      </c>
      <c r="F7" s="7">
        <v>0.29399999999999998</v>
      </c>
      <c r="G7" s="7">
        <v>0.17299999999999999</v>
      </c>
      <c r="H7" s="6">
        <f t="shared" si="1"/>
        <v>0.46699999999999997</v>
      </c>
      <c r="I7" s="6">
        <v>22.21</v>
      </c>
      <c r="J7" s="9">
        <f t="shared" si="6"/>
        <v>5.6612749762131369E-2</v>
      </c>
      <c r="K7" s="8">
        <f t="shared" ca="1" si="2"/>
        <v>29.752125270437276</v>
      </c>
      <c r="L7" s="8">
        <f t="shared" ca="1" si="3"/>
        <v>1.0646661294300817</v>
      </c>
      <c r="M7" s="9">
        <f t="shared" ca="1" si="4"/>
        <v>4.7936340811800163E-2</v>
      </c>
    </row>
    <row r="8" spans="1:13" x14ac:dyDescent="0.45">
      <c r="A8" s="6">
        <v>5000</v>
      </c>
      <c r="B8" s="6">
        <v>244</v>
      </c>
      <c r="C8" s="6">
        <f>B8/A8</f>
        <v>4.8800000000000003E-2</v>
      </c>
      <c r="D8" s="9">
        <f t="shared" si="5"/>
        <v>-4.0816326530611997E-3</v>
      </c>
      <c r="E8" s="6">
        <v>4.2999999999999997E-2</v>
      </c>
      <c r="F8" s="7">
        <v>0.29099999999999998</v>
      </c>
      <c r="G8" s="7">
        <v>0.17199999999999999</v>
      </c>
      <c r="H8" s="6">
        <f t="shared" si="1"/>
        <v>0.46299999999999997</v>
      </c>
      <c r="I8" s="6">
        <v>20.309999999999999</v>
      </c>
      <c r="J8" s="9">
        <f t="shared" si="6"/>
        <v>-8.5547050877982977E-2</v>
      </c>
      <c r="K8" s="8">
        <f t="shared" ca="1" si="2"/>
        <v>27.630736185895525</v>
      </c>
      <c r="L8" s="8">
        <f t="shared" ca="1" si="3"/>
        <v>0.76588493230795129</v>
      </c>
      <c r="M8" s="9">
        <f t="shared" ca="1" si="4"/>
        <v>3.7709745559229513E-2</v>
      </c>
    </row>
    <row r="9" spans="1:13" x14ac:dyDescent="0.45">
      <c r="M9" s="3"/>
    </row>
    <row r="10" spans="1:13" x14ac:dyDescent="0.45">
      <c r="A10" t="s">
        <v>14</v>
      </c>
      <c r="M10" s="3"/>
    </row>
    <row r="11" spans="1:13" x14ac:dyDescent="0.45">
      <c r="A11">
        <v>50</v>
      </c>
      <c r="B11">
        <v>3</v>
      </c>
      <c r="C11">
        <f t="shared" ref="C9:C72" si="7">B11/A11</f>
        <v>0.06</v>
      </c>
      <c r="E11">
        <v>1.9E-2</v>
      </c>
      <c r="F11" s="4">
        <v>0.39800000000000002</v>
      </c>
      <c r="G11" s="4">
        <v>0.17100000000000001</v>
      </c>
      <c r="H11">
        <f>SUM(F11:G11)</f>
        <v>0.56900000000000006</v>
      </c>
      <c r="I11">
        <v>8.85</v>
      </c>
      <c r="K11" s="5">
        <f ca="1">I11*(1.3 + (1.7 - 1.3) * RAND())</f>
        <v>13.981669834927247</v>
      </c>
      <c r="L11" s="5">
        <f t="shared" ca="1" si="3"/>
        <v>3.8755211526146733</v>
      </c>
      <c r="M11" s="3">
        <f t="shared" ca="1" si="4"/>
        <v>0.43791199464572583</v>
      </c>
    </row>
    <row r="12" spans="1:13" x14ac:dyDescent="0.45">
      <c r="A12">
        <v>100</v>
      </c>
      <c r="B12">
        <v>15</v>
      </c>
      <c r="C12">
        <f t="shared" si="7"/>
        <v>0.15</v>
      </c>
      <c r="D12" s="3">
        <f>(C12-C11)/C11</f>
        <v>1.5</v>
      </c>
      <c r="E12">
        <v>0.122</v>
      </c>
      <c r="F12" s="4">
        <v>0.41</v>
      </c>
      <c r="G12" s="4">
        <v>0.28199999999999997</v>
      </c>
      <c r="H12">
        <f t="shared" ref="H12:H15" si="8">SUM(F12:G12)</f>
        <v>0.69199999999999995</v>
      </c>
      <c r="I12">
        <v>58.68</v>
      </c>
      <c r="J12" s="3">
        <f>(I12-I11)/I11</f>
        <v>5.6305084745762715</v>
      </c>
      <c r="K12" s="5">
        <f t="shared" ref="K12:K15" ca="1" si="9">I12*(1.3 + (1.7 - 1.3) * RAND())</f>
        <v>94.645861922347621</v>
      </c>
      <c r="L12" s="5">
        <f t="shared" ca="1" si="3"/>
        <v>18.550588936780134</v>
      </c>
      <c r="M12" s="3">
        <f t="shared" ca="1" si="4"/>
        <v>0.31613137247409906</v>
      </c>
    </row>
    <row r="13" spans="1:13" x14ac:dyDescent="0.45">
      <c r="A13">
        <v>1000</v>
      </c>
      <c r="B13">
        <v>101</v>
      </c>
      <c r="C13">
        <f t="shared" si="7"/>
        <v>0.10100000000000001</v>
      </c>
      <c r="D13" s="3">
        <f t="shared" ref="D13:D15" si="10">(C13-C12)/C12</f>
        <v>-0.32666666666666661</v>
      </c>
      <c r="E13">
        <v>9.5000000000000001E-2</v>
      </c>
      <c r="F13" s="4">
        <v>0.42599999999999999</v>
      </c>
      <c r="G13" s="4">
        <v>0.23699999999999999</v>
      </c>
      <c r="H13">
        <f t="shared" si="8"/>
        <v>0.66300000000000003</v>
      </c>
      <c r="I13">
        <v>46.53</v>
      </c>
      <c r="J13" s="3">
        <f t="shared" ref="J13:J15" si="11">(I13-I12)/I12</f>
        <v>-0.20705521472392635</v>
      </c>
      <c r="K13" s="5">
        <f t="shared" ca="1" si="9"/>
        <v>72.532164882959904</v>
      </c>
      <c r="L13" s="5">
        <f t="shared" ca="1" si="3"/>
        <v>4.4955901551994577</v>
      </c>
      <c r="M13" s="3">
        <f t="shared" ca="1" si="4"/>
        <v>9.6617024612066574E-2</v>
      </c>
    </row>
    <row r="14" spans="1:13" x14ac:dyDescent="0.45">
      <c r="A14">
        <v>3000</v>
      </c>
      <c r="B14">
        <v>330</v>
      </c>
      <c r="C14">
        <f t="shared" si="7"/>
        <v>0.11</v>
      </c>
      <c r="D14" s="3">
        <f t="shared" si="10"/>
        <v>8.9108910891089049E-2</v>
      </c>
      <c r="E14">
        <v>0.114</v>
      </c>
      <c r="F14" s="4">
        <v>0.42</v>
      </c>
      <c r="G14" s="4">
        <v>0.23100000000000001</v>
      </c>
      <c r="H14">
        <f t="shared" si="8"/>
        <v>0.65100000000000002</v>
      </c>
      <c r="I14">
        <v>55.17</v>
      </c>
      <c r="J14" s="3">
        <f t="shared" si="11"/>
        <v>0.18568665377176016</v>
      </c>
      <c r="K14" s="5">
        <f t="shared" ca="1" si="9"/>
        <v>89.346259386308162</v>
      </c>
      <c r="L14" s="5">
        <f t="shared" ca="1" si="3"/>
        <v>3.1972148307131256</v>
      </c>
      <c r="M14" s="3">
        <f t="shared" ca="1" si="4"/>
        <v>5.7952054209047046E-2</v>
      </c>
    </row>
    <row r="15" spans="1:13" x14ac:dyDescent="0.45">
      <c r="A15">
        <v>5000</v>
      </c>
      <c r="B15">
        <v>543</v>
      </c>
      <c r="C15">
        <f t="shared" si="7"/>
        <v>0.1086</v>
      </c>
      <c r="D15" s="3">
        <f t="shared" si="10"/>
        <v>-1.2727272727272714E-2</v>
      </c>
      <c r="E15">
        <v>0.1</v>
      </c>
      <c r="F15" s="4">
        <v>0.41199999999999998</v>
      </c>
      <c r="G15" s="4">
        <v>0.26200000000000001</v>
      </c>
      <c r="H15">
        <f t="shared" si="8"/>
        <v>0.67399999999999993</v>
      </c>
      <c r="I15">
        <v>49.83</v>
      </c>
      <c r="J15" s="3">
        <f t="shared" si="11"/>
        <v>-9.6791734638390484E-2</v>
      </c>
      <c r="K15" s="5">
        <f t="shared" ca="1" si="9"/>
        <v>81.007014837021757</v>
      </c>
      <c r="L15" s="5">
        <f t="shared" ca="1" si="3"/>
        <v>2.2453998929855441</v>
      </c>
      <c r="M15" s="3">
        <f t="shared" ca="1" si="4"/>
        <v>4.5061205959974801E-2</v>
      </c>
    </row>
    <row r="16" spans="1:13" x14ac:dyDescent="0.45">
      <c r="M16" s="3"/>
    </row>
    <row r="17" spans="1:13" x14ac:dyDescent="0.45">
      <c r="A17" t="s">
        <v>15</v>
      </c>
      <c r="M17" s="3"/>
    </row>
    <row r="18" spans="1:13" x14ac:dyDescent="0.45">
      <c r="A18">
        <v>50</v>
      </c>
      <c r="B18">
        <v>6</v>
      </c>
      <c r="C18">
        <f t="shared" si="7"/>
        <v>0.12</v>
      </c>
      <c r="E18">
        <v>9.9000000000000005E-2</v>
      </c>
      <c r="F18" s="4">
        <v>0.45300000000000001</v>
      </c>
      <c r="G18" s="4">
        <v>0.23799999999999999</v>
      </c>
      <c r="H18">
        <f>SUM(F18:G18)</f>
        <v>0.69100000000000006</v>
      </c>
      <c r="I18">
        <v>47.92</v>
      </c>
      <c r="K18" s="5">
        <f ca="1">I18*(1.3 + (1.7 - 1.3) * RAND())</f>
        <v>76.41793181257836</v>
      </c>
      <c r="L18" s="5">
        <f t="shared" ca="1" si="3"/>
        <v>21.181970013258738</v>
      </c>
      <c r="M18" s="3">
        <f t="shared" ca="1" si="4"/>
        <v>0.44202775486766982</v>
      </c>
    </row>
    <row r="19" spans="1:13" x14ac:dyDescent="0.45">
      <c r="A19">
        <v>100</v>
      </c>
      <c r="B19">
        <v>17</v>
      </c>
      <c r="C19">
        <f t="shared" si="7"/>
        <v>0.17</v>
      </c>
      <c r="D19" s="3">
        <f>(C19-C18)/C18</f>
        <v>0.4166666666666668</v>
      </c>
      <c r="E19">
        <v>0.193</v>
      </c>
      <c r="F19" s="4">
        <v>0.59399999999999997</v>
      </c>
      <c r="G19" s="4">
        <v>0.252</v>
      </c>
      <c r="H19">
        <f t="shared" ref="H19:H22" si="12">SUM(F19:G19)</f>
        <v>0.84599999999999997</v>
      </c>
      <c r="I19">
        <v>91.69</v>
      </c>
      <c r="J19" s="3">
        <f>(I19-I18)/I18</f>
        <v>0.91339732888146896</v>
      </c>
      <c r="K19" s="5">
        <f t="shared" ref="K19:K22" ca="1" si="13">I19*(1.3 + (1.7 - 1.3) * RAND())</f>
        <v>123.47014666743172</v>
      </c>
      <c r="L19" s="5">
        <f t="shared" ca="1" si="3"/>
        <v>24.200148746816616</v>
      </c>
      <c r="M19" s="3">
        <f t="shared" ca="1" si="4"/>
        <v>0.26393443938070255</v>
      </c>
    </row>
    <row r="20" spans="1:13" x14ac:dyDescent="0.45">
      <c r="A20">
        <v>1000</v>
      </c>
      <c r="B20">
        <v>151</v>
      </c>
      <c r="C20">
        <f t="shared" si="7"/>
        <v>0.151</v>
      </c>
      <c r="D20" s="3">
        <f t="shared" ref="D20:D22" si="14">(C20-C19)/C19</f>
        <v>-0.11176470588235303</v>
      </c>
      <c r="E20">
        <v>0.158</v>
      </c>
      <c r="F20" s="4">
        <v>0.46500000000000002</v>
      </c>
      <c r="G20" s="4">
        <v>0.28999999999999998</v>
      </c>
      <c r="H20">
        <f t="shared" si="12"/>
        <v>0.755</v>
      </c>
      <c r="I20">
        <v>81.55</v>
      </c>
      <c r="J20" s="3">
        <f t="shared" ref="J20:J22" si="15">(I20-I19)/I19</f>
        <v>-0.1105900316283128</v>
      </c>
      <c r="K20" s="5">
        <f t="shared" ca="1" si="13"/>
        <v>128.73614494593386</v>
      </c>
      <c r="L20" s="5">
        <f t="shared" ca="1" si="3"/>
        <v>7.9791489302870113</v>
      </c>
      <c r="M20" s="3">
        <f t="shared" ca="1" si="4"/>
        <v>9.7843641082612037E-2</v>
      </c>
    </row>
    <row r="21" spans="1:13" x14ac:dyDescent="0.45">
      <c r="A21">
        <v>3000</v>
      </c>
      <c r="B21">
        <v>491</v>
      </c>
      <c r="C21">
        <f t="shared" si="7"/>
        <v>0.16366666666666665</v>
      </c>
      <c r="D21" s="3">
        <f t="shared" si="14"/>
        <v>8.3885209713024239E-2</v>
      </c>
      <c r="E21">
        <v>0.16</v>
      </c>
      <c r="F21" s="4">
        <v>0.49199999999999999</v>
      </c>
      <c r="G21" s="4">
        <v>0.28999999999999998</v>
      </c>
      <c r="H21">
        <f t="shared" si="12"/>
        <v>0.78200000000000003</v>
      </c>
      <c r="I21">
        <v>84.08</v>
      </c>
      <c r="J21" s="3">
        <f t="shared" si="15"/>
        <v>3.1023911710607005E-2</v>
      </c>
      <c r="K21" s="5">
        <f t="shared" ca="1" si="13"/>
        <v>129.66675138960571</v>
      </c>
      <c r="L21" s="5">
        <f t="shared" ca="1" si="3"/>
        <v>4.6400651067074232</v>
      </c>
      <c r="M21" s="3">
        <f t="shared" ca="1" si="4"/>
        <v>5.518631192563539E-2</v>
      </c>
    </row>
    <row r="22" spans="1:13" x14ac:dyDescent="0.45">
      <c r="A22">
        <v>5000</v>
      </c>
      <c r="B22">
        <v>800</v>
      </c>
      <c r="C22">
        <f t="shared" si="7"/>
        <v>0.16</v>
      </c>
      <c r="D22" s="3">
        <f t="shared" si="14"/>
        <v>-2.2403258655804389E-2</v>
      </c>
      <c r="E22">
        <v>0.16</v>
      </c>
      <c r="F22" s="4">
        <v>0.49</v>
      </c>
      <c r="G22" s="4">
        <v>0.3</v>
      </c>
      <c r="H22">
        <f t="shared" si="12"/>
        <v>0.79</v>
      </c>
      <c r="I22">
        <v>83.32</v>
      </c>
      <c r="J22" s="3">
        <f t="shared" si="15"/>
        <v>-9.0390104662227064E-3</v>
      </c>
      <c r="K22" s="5">
        <f t="shared" ca="1" si="13"/>
        <v>117.25969429282902</v>
      </c>
      <c r="L22" s="5">
        <f t="shared" ca="1" si="3"/>
        <v>3.2502728997773795</v>
      </c>
      <c r="M22" s="3">
        <f t="shared" ca="1" si="4"/>
        <v>3.9009516319939749E-2</v>
      </c>
    </row>
    <row r="23" spans="1:13" x14ac:dyDescent="0.45">
      <c r="M23" s="3"/>
    </row>
    <row r="24" spans="1:13" x14ac:dyDescent="0.45">
      <c r="A24" t="s">
        <v>16</v>
      </c>
      <c r="M24" s="3"/>
    </row>
    <row r="25" spans="1:13" x14ac:dyDescent="0.45">
      <c r="A25">
        <v>50</v>
      </c>
      <c r="B25">
        <v>4</v>
      </c>
      <c r="C25">
        <f t="shared" si="7"/>
        <v>0.08</v>
      </c>
      <c r="E25">
        <v>3.9E-2</v>
      </c>
      <c r="F25" s="4">
        <v>0.27400000000000002</v>
      </c>
      <c r="G25" s="4">
        <v>0.106</v>
      </c>
      <c r="H25">
        <f>SUM(F25:G25)</f>
        <v>0.38</v>
      </c>
      <c r="I25">
        <v>18.670000000000002</v>
      </c>
      <c r="K25" s="5">
        <f ca="1">I25*(2 + (2.5 - 2) * RAND())</f>
        <v>37.936307455381176</v>
      </c>
      <c r="L25" s="5">
        <f t="shared" ca="1" si="3"/>
        <v>10.5154079399121</v>
      </c>
      <c r="M25" s="3">
        <f t="shared" ca="1" si="4"/>
        <v>0.56322484948645413</v>
      </c>
    </row>
    <row r="26" spans="1:13" x14ac:dyDescent="0.45">
      <c r="A26">
        <v>100</v>
      </c>
      <c r="B26">
        <v>10</v>
      </c>
      <c r="C26">
        <f t="shared" si="7"/>
        <v>0.1</v>
      </c>
      <c r="D26" s="3">
        <f>(C26-C25)/C25</f>
        <v>0.25000000000000006</v>
      </c>
      <c r="E26">
        <v>9.5000000000000001E-2</v>
      </c>
      <c r="F26" s="4">
        <v>0.32200000000000001</v>
      </c>
      <c r="G26" s="4">
        <v>0.14599999999999999</v>
      </c>
      <c r="H26">
        <f t="shared" ref="H26:H29" si="16">SUM(F26:G26)</f>
        <v>0.46799999999999997</v>
      </c>
      <c r="I26">
        <v>46.83</v>
      </c>
      <c r="J26" s="3">
        <f>(I26-I25)/I25</f>
        <v>1.5083020889126939</v>
      </c>
      <c r="K26" s="5">
        <f t="shared" ref="K26:K29" ca="1" si="17">I26*(2 + (2.5 - 2) * RAND())</f>
        <v>104.97600075272518</v>
      </c>
      <c r="L26" s="5">
        <f t="shared" ca="1" si="3"/>
        <v>20.575296147534136</v>
      </c>
      <c r="M26" s="3">
        <f t="shared" ca="1" si="4"/>
        <v>0.43936143812799777</v>
      </c>
    </row>
    <row r="27" spans="1:13" x14ac:dyDescent="0.45">
      <c r="A27">
        <v>1000</v>
      </c>
      <c r="B27">
        <v>61</v>
      </c>
      <c r="C27">
        <f t="shared" si="7"/>
        <v>6.0999999999999999E-2</v>
      </c>
      <c r="D27" s="3">
        <f t="shared" ref="D27:D29" si="18">(C27-C26)/C26</f>
        <v>-0.39000000000000007</v>
      </c>
      <c r="E27">
        <v>5.0999999999999997E-2</v>
      </c>
      <c r="F27" s="4">
        <v>0.27700000000000002</v>
      </c>
      <c r="G27" s="4">
        <v>0.17100000000000001</v>
      </c>
      <c r="H27">
        <f t="shared" si="16"/>
        <v>0.44800000000000006</v>
      </c>
      <c r="I27">
        <v>23.56</v>
      </c>
      <c r="J27" s="3">
        <f t="shared" ref="J27:J29" si="19">(I27-I26)/I26</f>
        <v>-0.49690369421311126</v>
      </c>
      <c r="K27" s="5">
        <f t="shared" ca="1" si="17"/>
        <v>55.411175933224762</v>
      </c>
      <c r="L27" s="5">
        <f t="shared" ca="1" si="3"/>
        <v>3.4344202660350094</v>
      </c>
      <c r="M27" s="3">
        <f t="shared" ca="1" si="4"/>
        <v>0.14577335594376101</v>
      </c>
    </row>
    <row r="28" spans="1:13" x14ac:dyDescent="0.45">
      <c r="A28">
        <v>3000</v>
      </c>
      <c r="B28">
        <v>214</v>
      </c>
      <c r="C28">
        <f t="shared" si="7"/>
        <v>7.1333333333333332E-2</v>
      </c>
      <c r="D28" s="3">
        <f t="shared" si="18"/>
        <v>0.16939890710382513</v>
      </c>
      <c r="E28">
        <v>5.2999999999999999E-2</v>
      </c>
      <c r="F28" s="4">
        <v>0.27900000000000003</v>
      </c>
      <c r="G28" s="4">
        <v>0.17299999999999999</v>
      </c>
      <c r="H28">
        <f t="shared" si="16"/>
        <v>0.45200000000000001</v>
      </c>
      <c r="I28">
        <v>25.9</v>
      </c>
      <c r="J28" s="3">
        <f t="shared" si="19"/>
        <v>9.9320882852292014E-2</v>
      </c>
      <c r="K28" s="5">
        <f t="shared" ca="1" si="17"/>
        <v>59.641538627014057</v>
      </c>
      <c r="L28" s="5">
        <f t="shared" ca="1" si="3"/>
        <v>2.1342450499283112</v>
      </c>
      <c r="M28" s="3">
        <f t="shared" ca="1" si="4"/>
        <v>8.2403283781015885E-2</v>
      </c>
    </row>
    <row r="29" spans="1:13" x14ac:dyDescent="0.45">
      <c r="A29">
        <v>5000</v>
      </c>
      <c r="B29">
        <v>337</v>
      </c>
      <c r="C29">
        <f t="shared" si="7"/>
        <v>6.7400000000000002E-2</v>
      </c>
      <c r="D29" s="3">
        <f t="shared" si="18"/>
        <v>-5.5140186915887811E-2</v>
      </c>
      <c r="E29">
        <v>5.0999999999999997E-2</v>
      </c>
      <c r="F29" s="4">
        <v>0.29099999999999998</v>
      </c>
      <c r="G29" s="4">
        <v>0.17599999999999999</v>
      </c>
      <c r="H29">
        <f t="shared" si="16"/>
        <v>0.46699999999999997</v>
      </c>
      <c r="I29">
        <v>23.97</v>
      </c>
      <c r="J29" s="3">
        <f t="shared" si="19"/>
        <v>-7.4517374517374516E-2</v>
      </c>
      <c r="K29" s="5">
        <f t="shared" ca="1" si="17"/>
        <v>50.436937359487331</v>
      </c>
      <c r="L29" s="5">
        <f t="shared" ca="1" si="3"/>
        <v>1.3980405768236448</v>
      </c>
      <c r="M29" s="3">
        <f t="shared" ca="1" si="4"/>
        <v>5.8324596446543385E-2</v>
      </c>
    </row>
    <row r="30" spans="1:13" x14ac:dyDescent="0.45">
      <c r="M30" s="3"/>
    </row>
    <row r="31" spans="1:13" x14ac:dyDescent="0.45">
      <c r="A31" t="s">
        <v>17</v>
      </c>
      <c r="M31" s="3"/>
    </row>
    <row r="32" spans="1:13" x14ac:dyDescent="0.45">
      <c r="A32">
        <v>50</v>
      </c>
      <c r="B32">
        <v>5</v>
      </c>
      <c r="C32">
        <f t="shared" si="7"/>
        <v>0.1</v>
      </c>
      <c r="E32">
        <v>6.7000000000000004E-2</v>
      </c>
      <c r="F32" s="4">
        <v>0.33100000000000002</v>
      </c>
      <c r="G32" s="4">
        <v>0.22600000000000001</v>
      </c>
      <c r="H32">
        <f>SUM(F32:G32)</f>
        <v>0.55700000000000005</v>
      </c>
      <c r="I32">
        <v>32.44</v>
      </c>
      <c r="K32" s="5">
        <f t="shared" ref="K32:K36" ca="1" si="20">I32*(2 + (2.5 - 2) * RAND())</f>
        <v>72.518704944516088</v>
      </c>
      <c r="L32" s="5">
        <f t="shared" ca="1" si="3"/>
        <v>20.101159467420427</v>
      </c>
      <c r="M32" s="3">
        <f t="shared" ca="1" si="4"/>
        <v>0.61964116730642504</v>
      </c>
    </row>
    <row r="33" spans="1:13" x14ac:dyDescent="0.45">
      <c r="A33">
        <v>100</v>
      </c>
      <c r="B33">
        <v>17</v>
      </c>
      <c r="C33">
        <f t="shared" si="7"/>
        <v>0.17</v>
      </c>
      <c r="D33" s="3">
        <f>(C33-C32)/C32</f>
        <v>0.70000000000000007</v>
      </c>
      <c r="E33">
        <v>0.122</v>
      </c>
      <c r="F33" s="4">
        <v>0.42299999999999999</v>
      </c>
      <c r="G33" s="4">
        <v>0.215</v>
      </c>
      <c r="H33">
        <f t="shared" ref="H33:H36" si="21">SUM(F33:G33)</f>
        <v>0.63800000000000001</v>
      </c>
      <c r="I33">
        <v>61.5</v>
      </c>
      <c r="J33" s="3">
        <f>(I33-I32)/I32</f>
        <v>0.8958076448828608</v>
      </c>
      <c r="K33" s="5">
        <f t="shared" ca="1" si="20"/>
        <v>143.50192143088995</v>
      </c>
      <c r="L33" s="5">
        <f t="shared" ca="1" si="3"/>
        <v>28.126376600454428</v>
      </c>
      <c r="M33" s="3">
        <f t="shared" ca="1" si="4"/>
        <v>0.45733945691795819</v>
      </c>
    </row>
    <row r="34" spans="1:13" x14ac:dyDescent="0.45">
      <c r="A34">
        <v>1000</v>
      </c>
      <c r="B34">
        <v>116</v>
      </c>
      <c r="C34">
        <f t="shared" si="7"/>
        <v>0.11600000000000001</v>
      </c>
      <c r="D34" s="3">
        <f t="shared" ref="D34:D36" si="22">(C34-C33)/C33</f>
        <v>-0.31764705882352945</v>
      </c>
      <c r="E34">
        <v>0.114</v>
      </c>
      <c r="F34" s="4">
        <v>0.38</v>
      </c>
      <c r="G34" s="4">
        <v>0.254</v>
      </c>
      <c r="H34">
        <f t="shared" si="21"/>
        <v>0.63400000000000001</v>
      </c>
      <c r="I34">
        <v>55.88</v>
      </c>
      <c r="J34" s="3">
        <f t="shared" ref="J34:J36" si="23">(I34-I33)/I33</f>
        <v>-9.1382113821138172E-2</v>
      </c>
      <c r="K34" s="5">
        <f t="shared" ca="1" si="20"/>
        <v>128.71299161696527</v>
      </c>
      <c r="L34" s="5">
        <f t="shared" ca="1" si="3"/>
        <v>7.9777138720898764</v>
      </c>
      <c r="M34" s="3">
        <f t="shared" ca="1" si="4"/>
        <v>0.14276510150482957</v>
      </c>
    </row>
    <row r="35" spans="1:13" x14ac:dyDescent="0.45">
      <c r="A35">
        <v>3000</v>
      </c>
      <c r="B35">
        <v>377</v>
      </c>
      <c r="C35">
        <f t="shared" si="7"/>
        <v>0.12566666666666668</v>
      </c>
      <c r="D35" s="3">
        <f t="shared" si="22"/>
        <v>8.3333333333333356E-2</v>
      </c>
      <c r="E35">
        <v>0.10299999999999999</v>
      </c>
      <c r="F35" s="4">
        <v>0.39800000000000002</v>
      </c>
      <c r="G35" s="4">
        <v>0.24099999999999999</v>
      </c>
      <c r="H35">
        <f t="shared" si="21"/>
        <v>0.63900000000000001</v>
      </c>
      <c r="I35">
        <v>52.58</v>
      </c>
      <c r="J35" s="3">
        <f t="shared" si="23"/>
        <v>-5.9055118110236296E-2</v>
      </c>
      <c r="K35" s="5">
        <f t="shared" ca="1" si="20"/>
        <v>108.16984871726068</v>
      </c>
      <c r="L35" s="5">
        <f t="shared" ca="1" si="3"/>
        <v>3.8708083240451749</v>
      </c>
      <c r="M35" s="3">
        <f t="shared" ca="1" si="4"/>
        <v>7.3617503310102222E-2</v>
      </c>
    </row>
    <row r="36" spans="1:13" x14ac:dyDescent="0.45">
      <c r="A36">
        <v>5000</v>
      </c>
      <c r="B36">
        <v>593</v>
      </c>
      <c r="C36">
        <f t="shared" si="7"/>
        <v>0.1186</v>
      </c>
      <c r="D36" s="3">
        <f t="shared" si="22"/>
        <v>-5.6233421750663225E-2</v>
      </c>
      <c r="E36">
        <v>0.112</v>
      </c>
      <c r="F36" s="4">
        <v>0.41299999999999998</v>
      </c>
      <c r="G36" s="4">
        <v>0.24399999999999999</v>
      </c>
      <c r="H36">
        <f t="shared" si="21"/>
        <v>0.65700000000000003</v>
      </c>
      <c r="I36">
        <v>55.26</v>
      </c>
      <c r="J36" s="3">
        <f t="shared" si="23"/>
        <v>5.0969950551540508E-2</v>
      </c>
      <c r="K36" s="5">
        <f t="shared" ca="1" si="20"/>
        <v>122.95102935323469</v>
      </c>
      <c r="L36" s="5">
        <f t="shared" ca="1" si="3"/>
        <v>3.4080286590939091</v>
      </c>
      <c r="M36" s="3">
        <f t="shared" ca="1" si="4"/>
        <v>6.1672614171080511E-2</v>
      </c>
    </row>
    <row r="37" spans="1:13" x14ac:dyDescent="0.45">
      <c r="M37" s="3"/>
    </row>
    <row r="38" spans="1:13" x14ac:dyDescent="0.45">
      <c r="A38" t="s">
        <v>18</v>
      </c>
      <c r="M38" s="3"/>
    </row>
    <row r="39" spans="1:13" x14ac:dyDescent="0.45">
      <c r="A39">
        <v>50</v>
      </c>
      <c r="B39">
        <v>5</v>
      </c>
      <c r="C39">
        <f t="shared" si="7"/>
        <v>0.1</v>
      </c>
      <c r="E39">
        <v>0.10299999999999999</v>
      </c>
      <c r="F39" s="4">
        <v>0.42399999999999999</v>
      </c>
      <c r="G39" s="4">
        <v>0.26800000000000002</v>
      </c>
      <c r="H39">
        <f>SUM(F39:G39)</f>
        <v>0.69199999999999995</v>
      </c>
      <c r="I39">
        <v>51.06</v>
      </c>
      <c r="K39" s="5">
        <f t="shared" ref="K39:K43" ca="1" si="24">I39*(2 + (2.5 - 2) * RAND())</f>
        <v>109.28864519513186</v>
      </c>
      <c r="L39" s="5">
        <f t="shared" ca="1" si="3"/>
        <v>30.293266912673985</v>
      </c>
      <c r="M39" s="3">
        <f t="shared" ca="1" si="4"/>
        <v>0.59328764027955316</v>
      </c>
    </row>
    <row r="40" spans="1:13" x14ac:dyDescent="0.45">
      <c r="A40">
        <v>100</v>
      </c>
      <c r="B40">
        <v>21</v>
      </c>
      <c r="C40">
        <f t="shared" si="7"/>
        <v>0.21</v>
      </c>
      <c r="D40" s="3">
        <f>(C40-C39)/C39</f>
        <v>1.0999999999999999</v>
      </c>
      <c r="E40">
        <v>0.17899999999999999</v>
      </c>
      <c r="F40" s="4">
        <v>0.47299999999999998</v>
      </c>
      <c r="G40" s="4">
        <v>0.29399999999999998</v>
      </c>
      <c r="H40">
        <f t="shared" ref="H40:H43" si="25">SUM(F40:G40)</f>
        <v>0.7669999999999999</v>
      </c>
      <c r="I40">
        <v>98.43</v>
      </c>
      <c r="J40" s="3">
        <f>(I40-I39)/I39</f>
        <v>0.92773207990599305</v>
      </c>
      <c r="K40" s="5">
        <f t="shared" ca="1" si="24"/>
        <v>197.72036782743461</v>
      </c>
      <c r="L40" s="5">
        <f t="shared" ca="1" si="3"/>
        <v>38.753192094177187</v>
      </c>
      <c r="M40" s="3">
        <f t="shared" ca="1" si="4"/>
        <v>0.39371321847177876</v>
      </c>
    </row>
    <row r="41" spans="1:13" x14ac:dyDescent="0.45">
      <c r="A41">
        <v>1000</v>
      </c>
      <c r="B41">
        <v>157</v>
      </c>
      <c r="C41">
        <f t="shared" si="7"/>
        <v>0.157</v>
      </c>
      <c r="D41" s="3">
        <f t="shared" ref="D41:D43" si="26">(C41-C40)/C40</f>
        <v>-0.25238095238095237</v>
      </c>
      <c r="E41">
        <v>0.152</v>
      </c>
      <c r="F41" s="4">
        <v>0.48399999999999999</v>
      </c>
      <c r="G41" s="4">
        <v>0.28000000000000003</v>
      </c>
      <c r="H41">
        <f t="shared" si="25"/>
        <v>0.76400000000000001</v>
      </c>
      <c r="I41">
        <v>78.56</v>
      </c>
      <c r="J41" s="3">
        <f t="shared" ref="J41:J43" si="27">(I41-I40)/I40</f>
        <v>-0.20186934877577978</v>
      </c>
      <c r="K41" s="5">
        <f t="shared" ca="1" si="24"/>
        <v>171.91796734591352</v>
      </c>
      <c r="L41" s="5">
        <f t="shared" ca="1" si="3"/>
        <v>10.655586011382969</v>
      </c>
      <c r="M41" s="3">
        <f t="shared" ca="1" si="4"/>
        <v>0.13563627814896853</v>
      </c>
    </row>
    <row r="42" spans="1:13" x14ac:dyDescent="0.45">
      <c r="A42">
        <v>3000</v>
      </c>
      <c r="B42">
        <v>493</v>
      </c>
      <c r="C42">
        <f t="shared" si="7"/>
        <v>0.16433333333333333</v>
      </c>
      <c r="D42" s="3">
        <f t="shared" si="26"/>
        <v>4.6709129511677265E-2</v>
      </c>
      <c r="E42">
        <v>0.153</v>
      </c>
      <c r="F42" s="4">
        <v>0.48099999999999998</v>
      </c>
      <c r="G42" s="4">
        <v>0.28899999999999998</v>
      </c>
      <c r="H42">
        <f t="shared" si="25"/>
        <v>0.77</v>
      </c>
      <c r="I42">
        <v>81.349999999999994</v>
      </c>
      <c r="J42" s="3">
        <f t="shared" si="27"/>
        <v>3.5514256619144501E-2</v>
      </c>
      <c r="K42" s="5">
        <f t="shared" ca="1" si="24"/>
        <v>186.48838032786571</v>
      </c>
      <c r="L42" s="5">
        <f t="shared" ca="1" si="3"/>
        <v>6.6734009843874142</v>
      </c>
      <c r="M42" s="3">
        <f t="shared" ca="1" si="4"/>
        <v>8.2033202020742657E-2</v>
      </c>
    </row>
    <row r="43" spans="1:13" x14ac:dyDescent="0.45">
      <c r="A43">
        <v>5000</v>
      </c>
      <c r="B43">
        <v>819</v>
      </c>
      <c r="C43">
        <f t="shared" si="7"/>
        <v>0.1638</v>
      </c>
      <c r="D43" s="3">
        <f t="shared" si="26"/>
        <v>-3.2454361054766539E-3</v>
      </c>
      <c r="E43">
        <v>0.16500000000000001</v>
      </c>
      <c r="F43" s="4">
        <v>0.503</v>
      </c>
      <c r="G43" s="4">
        <v>0.28899999999999998</v>
      </c>
      <c r="H43">
        <f t="shared" si="25"/>
        <v>0.79200000000000004</v>
      </c>
      <c r="I43">
        <v>85.87</v>
      </c>
      <c r="J43" s="3">
        <f t="shared" si="27"/>
        <v>5.5562384757222014E-2</v>
      </c>
      <c r="K43" s="5">
        <f t="shared" ca="1" si="24"/>
        <v>185.79091936330437</v>
      </c>
      <c r="L43" s="5">
        <f t="shared" ca="1" si="3"/>
        <v>5.1498615434152812</v>
      </c>
      <c r="M43" s="3">
        <f t="shared" ca="1" si="4"/>
        <v>5.9972767478924896E-2</v>
      </c>
    </row>
    <row r="44" spans="1:13" x14ac:dyDescent="0.45">
      <c r="M44" s="3"/>
    </row>
    <row r="45" spans="1:13" x14ac:dyDescent="0.45">
      <c r="A45" t="s">
        <v>19</v>
      </c>
      <c r="M45" s="3"/>
    </row>
    <row r="46" spans="1:13" x14ac:dyDescent="0.45">
      <c r="A46">
        <v>50</v>
      </c>
      <c r="B46">
        <v>6</v>
      </c>
      <c r="C46">
        <f t="shared" si="7"/>
        <v>0.12</v>
      </c>
      <c r="E46">
        <v>0.03</v>
      </c>
      <c r="F46" s="4">
        <v>0.255</v>
      </c>
      <c r="G46" s="4">
        <v>0.13300000000000001</v>
      </c>
      <c r="H46">
        <f>SUM(F46:G46)</f>
        <v>0.38800000000000001</v>
      </c>
      <c r="I46">
        <v>12.99</v>
      </c>
      <c r="K46" s="5">
        <f ca="1">I46*(1.3 + (1.7 - 1.3) * RAND())</f>
        <v>17.567009590226977</v>
      </c>
      <c r="L46" s="5">
        <f t="shared" ca="1" si="3"/>
        <v>4.8693266297160944</v>
      </c>
      <c r="M46" s="3">
        <f t="shared" ca="1" si="4"/>
        <v>0.37485193454319432</v>
      </c>
    </row>
    <row r="47" spans="1:13" x14ac:dyDescent="0.45">
      <c r="A47">
        <v>100</v>
      </c>
      <c r="B47">
        <v>6</v>
      </c>
      <c r="C47">
        <f t="shared" si="7"/>
        <v>0.06</v>
      </c>
      <c r="D47" s="3">
        <f>(C47-C46)/C46</f>
        <v>-0.5</v>
      </c>
      <c r="E47">
        <v>8.2000000000000003E-2</v>
      </c>
      <c r="F47" s="4">
        <v>0.29899999999999999</v>
      </c>
      <c r="G47" s="4">
        <v>0.14399999999999999</v>
      </c>
      <c r="H47">
        <f t="shared" ref="H47:H50" si="28">SUM(F47:G47)</f>
        <v>0.44299999999999995</v>
      </c>
      <c r="I47">
        <v>40.03</v>
      </c>
      <c r="J47" s="3">
        <f>(I47-I46)/I46</f>
        <v>2.081601231716705</v>
      </c>
      <c r="K47" s="5">
        <f t="shared" ref="K47:K50" ca="1" si="29">I47*(1.3 + (1.7 - 1.3) * RAND())</f>
        <v>53.749175435839391</v>
      </c>
      <c r="L47" s="5">
        <f t="shared" ca="1" si="3"/>
        <v>10.53483838542452</v>
      </c>
      <c r="M47" s="3">
        <f t="shared" ca="1" si="4"/>
        <v>0.26317357945102471</v>
      </c>
    </row>
    <row r="48" spans="1:13" x14ac:dyDescent="0.45">
      <c r="A48">
        <v>1000</v>
      </c>
      <c r="B48">
        <v>94</v>
      </c>
      <c r="C48">
        <f t="shared" si="7"/>
        <v>9.4E-2</v>
      </c>
      <c r="D48" s="3">
        <f t="shared" ref="D48:D50" si="30">(C48-C47)/C47</f>
        <v>0.56666666666666676</v>
      </c>
      <c r="E48">
        <v>6.9000000000000006E-2</v>
      </c>
      <c r="F48" s="4">
        <v>0.27700000000000002</v>
      </c>
      <c r="G48" s="4">
        <v>0.14799999999999999</v>
      </c>
      <c r="H48">
        <f t="shared" si="28"/>
        <v>0.42500000000000004</v>
      </c>
      <c r="I48">
        <v>33.229999999999997</v>
      </c>
      <c r="J48" s="3">
        <f t="shared" ref="J48:J50" si="31">(I48-I47)/I47</f>
        <v>-0.16987259555333509</v>
      </c>
      <c r="K48" s="5">
        <f t="shared" ca="1" si="29"/>
        <v>49.403797161532395</v>
      </c>
      <c r="L48" s="5">
        <f t="shared" ca="1" si="3"/>
        <v>3.0620790721915161</v>
      </c>
      <c r="M48" s="3">
        <f t="shared" ca="1" si="4"/>
        <v>9.2148031062037811E-2</v>
      </c>
    </row>
    <row r="49" spans="1:13" x14ac:dyDescent="0.45">
      <c r="A49">
        <v>3000</v>
      </c>
      <c r="B49">
        <v>322</v>
      </c>
      <c r="C49">
        <f t="shared" si="7"/>
        <v>0.10733333333333334</v>
      </c>
      <c r="D49" s="3">
        <f t="shared" si="30"/>
        <v>0.14184397163120571</v>
      </c>
      <c r="E49">
        <v>6.6000000000000003E-2</v>
      </c>
      <c r="F49" s="4">
        <v>0.27600000000000002</v>
      </c>
      <c r="G49" s="4">
        <v>0.16200000000000001</v>
      </c>
      <c r="H49">
        <f t="shared" si="28"/>
        <v>0.43800000000000006</v>
      </c>
      <c r="I49">
        <v>32.83</v>
      </c>
      <c r="J49" s="3">
        <f t="shared" si="31"/>
        <v>-1.203731567860363E-2</v>
      </c>
      <c r="K49" s="5">
        <f t="shared" ca="1" si="29"/>
        <v>43.156134583742478</v>
      </c>
      <c r="L49" s="5">
        <f t="shared" ca="1" si="3"/>
        <v>1.5443224425413122</v>
      </c>
      <c r="M49" s="3">
        <f t="shared" ca="1" si="4"/>
        <v>4.7039976927849905E-2</v>
      </c>
    </row>
    <row r="50" spans="1:13" x14ac:dyDescent="0.45">
      <c r="A50">
        <v>5000</v>
      </c>
      <c r="B50">
        <v>539</v>
      </c>
      <c r="C50">
        <f t="shared" si="7"/>
        <v>0.10780000000000001</v>
      </c>
      <c r="D50" s="3">
        <f t="shared" si="30"/>
        <v>4.34782608695656E-3</v>
      </c>
      <c r="E50">
        <v>6.7000000000000004E-2</v>
      </c>
      <c r="F50" s="4">
        <v>0.27900000000000003</v>
      </c>
      <c r="G50" s="4">
        <v>0.16300000000000001</v>
      </c>
      <c r="H50">
        <f t="shared" si="28"/>
        <v>0.44200000000000006</v>
      </c>
      <c r="I50">
        <v>32.880000000000003</v>
      </c>
      <c r="J50" s="3">
        <f t="shared" si="31"/>
        <v>1.5229972586050646E-3</v>
      </c>
      <c r="K50" s="5">
        <f t="shared" ca="1" si="29"/>
        <v>48.589501361568672</v>
      </c>
      <c r="L50" s="5">
        <f t="shared" ca="1" si="3"/>
        <v>1.3468322635637371</v>
      </c>
      <c r="M50" s="3">
        <f t="shared" ca="1" si="4"/>
        <v>4.0962051811549181E-2</v>
      </c>
    </row>
    <row r="51" spans="1:13" x14ac:dyDescent="0.45">
      <c r="M51" s="3"/>
    </row>
    <row r="52" spans="1:13" x14ac:dyDescent="0.45">
      <c r="A52" t="s">
        <v>20</v>
      </c>
      <c r="M52" s="3"/>
    </row>
    <row r="53" spans="1:13" x14ac:dyDescent="0.45">
      <c r="A53">
        <v>50</v>
      </c>
      <c r="B53">
        <v>7</v>
      </c>
      <c r="C53">
        <f t="shared" si="7"/>
        <v>0.14000000000000001</v>
      </c>
      <c r="E53">
        <v>7.0999999999999994E-2</v>
      </c>
      <c r="F53" s="4">
        <v>0.38200000000000001</v>
      </c>
      <c r="G53" s="4">
        <v>0.19900000000000001</v>
      </c>
      <c r="H53">
        <f>SUM(F53:G53)</f>
        <v>0.58099999999999996</v>
      </c>
      <c r="I53">
        <v>30.62</v>
      </c>
      <c r="K53" s="5">
        <f ca="1">I53*(1.3 + (1.7 - 1.3) * RAND())</f>
        <v>42.681378085210412</v>
      </c>
      <c r="L53" s="5">
        <f t="shared" ca="1" si="3"/>
        <v>11.830674414780159</v>
      </c>
      <c r="M53" s="3">
        <f t="shared" ca="1" si="4"/>
        <v>0.3863708169425264</v>
      </c>
    </row>
    <row r="54" spans="1:13" x14ac:dyDescent="0.45">
      <c r="A54">
        <v>100</v>
      </c>
      <c r="B54">
        <v>14</v>
      </c>
      <c r="C54">
        <f t="shared" si="7"/>
        <v>0.14000000000000001</v>
      </c>
      <c r="D54" s="3">
        <f>(C54-C53)/C53</f>
        <v>0</v>
      </c>
      <c r="E54">
        <v>9.8000000000000004E-2</v>
      </c>
      <c r="F54" s="4">
        <v>0.33400000000000002</v>
      </c>
      <c r="G54" s="4">
        <v>0.25700000000000001</v>
      </c>
      <c r="H54">
        <f t="shared" ref="H54:H57" si="32">SUM(F54:G54)</f>
        <v>0.59099999999999997</v>
      </c>
      <c r="I54">
        <v>49.34</v>
      </c>
      <c r="J54" s="3">
        <f>(I54-I53)/I53</f>
        <v>0.61136512083605488</v>
      </c>
      <c r="K54" s="5">
        <f t="shared" ref="K54:K57" ca="1" si="33">I54*(1.3 + (1.7 - 1.3) * RAND())</f>
        <v>78.514948003586667</v>
      </c>
      <c r="L54" s="5">
        <f t="shared" ca="1" si="3"/>
        <v>15.388929808702986</v>
      </c>
      <c r="M54" s="3">
        <f t="shared" ca="1" si="4"/>
        <v>0.31189561833609619</v>
      </c>
    </row>
    <row r="55" spans="1:13" x14ac:dyDescent="0.45">
      <c r="A55">
        <v>1000</v>
      </c>
      <c r="B55">
        <v>153</v>
      </c>
      <c r="C55">
        <f t="shared" si="7"/>
        <v>0.153</v>
      </c>
      <c r="D55" s="3">
        <f t="shared" ref="D55:D57" si="34">(C55-C54)/C54</f>
        <v>9.2857142857142735E-2</v>
      </c>
      <c r="E55">
        <v>0.107</v>
      </c>
      <c r="F55" s="4">
        <v>0.373</v>
      </c>
      <c r="G55" s="4">
        <v>0.22500000000000001</v>
      </c>
      <c r="H55">
        <f t="shared" si="32"/>
        <v>0.59799999999999998</v>
      </c>
      <c r="I55">
        <v>54.1</v>
      </c>
      <c r="J55" s="3">
        <f t="shared" ref="J55:J57" si="35">(I55-I54)/I54</f>
        <v>9.6473449533846733E-2</v>
      </c>
      <c r="K55" s="5">
        <f t="shared" ca="1" si="33"/>
        <v>85.044429953571239</v>
      </c>
      <c r="L55" s="5">
        <f t="shared" ca="1" si="3"/>
        <v>5.2711083788930848</v>
      </c>
      <c r="M55" s="3">
        <f t="shared" ca="1" si="4"/>
        <v>9.7432687225380496E-2</v>
      </c>
    </row>
    <row r="56" spans="1:13" x14ac:dyDescent="0.45">
      <c r="A56">
        <v>3000</v>
      </c>
      <c r="B56">
        <v>467</v>
      </c>
      <c r="C56">
        <f t="shared" si="7"/>
        <v>0.15566666666666668</v>
      </c>
      <c r="D56" s="3">
        <f t="shared" si="34"/>
        <v>1.742919389978221E-2</v>
      </c>
      <c r="E56">
        <v>0.126</v>
      </c>
      <c r="F56" s="4">
        <v>0.39500000000000002</v>
      </c>
      <c r="G56" s="4">
        <v>0.224</v>
      </c>
      <c r="H56">
        <f t="shared" si="32"/>
        <v>0.61899999999999999</v>
      </c>
      <c r="I56">
        <v>66.48</v>
      </c>
      <c r="J56" s="3">
        <f t="shared" si="35"/>
        <v>0.22883548983364144</v>
      </c>
      <c r="K56" s="5">
        <f t="shared" ca="1" si="33"/>
        <v>105.88361166846818</v>
      </c>
      <c r="L56" s="5">
        <f t="shared" ca="1" si="3"/>
        <v>3.7889963819545662</v>
      </c>
      <c r="M56" s="3">
        <f t="shared" ca="1" si="4"/>
        <v>5.6994530414479029E-2</v>
      </c>
    </row>
    <row r="57" spans="1:13" x14ac:dyDescent="0.45">
      <c r="A57">
        <v>5000</v>
      </c>
      <c r="B57">
        <v>814</v>
      </c>
      <c r="C57">
        <f t="shared" si="7"/>
        <v>0.1628</v>
      </c>
      <c r="D57" s="3">
        <f t="shared" si="34"/>
        <v>4.5824411134903584E-2</v>
      </c>
      <c r="E57">
        <v>0.125</v>
      </c>
      <c r="F57" s="4">
        <v>0.39500000000000002</v>
      </c>
      <c r="G57" s="4">
        <v>0.22600000000000001</v>
      </c>
      <c r="H57">
        <f t="shared" si="32"/>
        <v>0.621</v>
      </c>
      <c r="I57">
        <v>64.819999999999993</v>
      </c>
      <c r="J57" s="3">
        <f t="shared" si="35"/>
        <v>-2.496991576413975E-2</v>
      </c>
      <c r="K57" s="5">
        <f t="shared" ca="1" si="33"/>
        <v>90.425621927275131</v>
      </c>
      <c r="L57" s="5">
        <f t="shared" ca="1" si="3"/>
        <v>2.5064703619452584</v>
      </c>
      <c r="M57" s="3">
        <f t="shared" ca="1" si="4"/>
        <v>3.8668163559784925E-2</v>
      </c>
    </row>
    <row r="58" spans="1:13" x14ac:dyDescent="0.45">
      <c r="M58" s="3"/>
    </row>
    <row r="59" spans="1:13" x14ac:dyDescent="0.45">
      <c r="M59" s="3"/>
    </row>
    <row r="60" spans="1:13" x14ac:dyDescent="0.45">
      <c r="A60" t="s">
        <v>21</v>
      </c>
      <c r="M60" s="3"/>
    </row>
    <row r="61" spans="1:13" x14ac:dyDescent="0.45">
      <c r="A61">
        <v>50</v>
      </c>
      <c r="B61">
        <v>7</v>
      </c>
      <c r="C61">
        <f t="shared" si="7"/>
        <v>0.14000000000000001</v>
      </c>
      <c r="E61">
        <v>0.121</v>
      </c>
      <c r="F61" s="4">
        <v>0.47799999999999998</v>
      </c>
      <c r="G61" s="4">
        <v>0.25600000000000001</v>
      </c>
      <c r="H61">
        <f>SUM(F61:G61)</f>
        <v>0.73399999999999999</v>
      </c>
      <c r="I61">
        <v>52.39</v>
      </c>
      <c r="K61" s="5">
        <f ca="1">I61*(1.3 + (1.7 - 1.3) * RAND())</f>
        <v>78.352142900542646</v>
      </c>
      <c r="L61" s="5">
        <f t="shared" ca="1" si="3"/>
        <v>21.718105973664674</v>
      </c>
      <c r="M61" s="3">
        <f t="shared" ca="1" si="4"/>
        <v>0.41454678323467598</v>
      </c>
    </row>
    <row r="62" spans="1:13" x14ac:dyDescent="0.45">
      <c r="A62">
        <v>100</v>
      </c>
      <c r="B62">
        <v>14</v>
      </c>
      <c r="C62">
        <f t="shared" si="7"/>
        <v>0.14000000000000001</v>
      </c>
      <c r="D62" s="3">
        <f>(C62-C61)/C61</f>
        <v>0</v>
      </c>
      <c r="E62">
        <v>0.161</v>
      </c>
      <c r="F62" s="4">
        <v>0.42299999999999999</v>
      </c>
      <c r="G62" s="4">
        <v>0.32600000000000001</v>
      </c>
      <c r="H62">
        <f t="shared" ref="H62:H65" si="36">SUM(F62:G62)</f>
        <v>0.749</v>
      </c>
      <c r="I62">
        <v>81.3</v>
      </c>
      <c r="J62" s="3">
        <f>(I62-I61)/I61</f>
        <v>0.55182286695934335</v>
      </c>
      <c r="K62" s="5">
        <f t="shared" ref="K62:K65" ca="1" si="37">I62*(1.3 + (1.7 - 1.3) * RAND())</f>
        <v>115.35551459538743</v>
      </c>
      <c r="L62" s="5">
        <f t="shared" ca="1" si="3"/>
        <v>22.609680860695935</v>
      </c>
      <c r="M62" s="3">
        <f t="shared" ca="1" si="4"/>
        <v>0.27810185560511608</v>
      </c>
    </row>
    <row r="63" spans="1:13" x14ac:dyDescent="0.45">
      <c r="A63">
        <v>1000</v>
      </c>
      <c r="B63">
        <v>195</v>
      </c>
      <c r="C63">
        <f t="shared" si="7"/>
        <v>0.19500000000000001</v>
      </c>
      <c r="D63" s="3">
        <f t="shared" ref="D63:D65" si="38">(C63-C62)/C62</f>
        <v>0.39285714285714279</v>
      </c>
      <c r="E63">
        <v>0.155</v>
      </c>
      <c r="F63" s="4">
        <v>0.46</v>
      </c>
      <c r="G63" s="4">
        <v>0.252</v>
      </c>
      <c r="H63">
        <f t="shared" si="36"/>
        <v>0.71199999999999997</v>
      </c>
      <c r="I63">
        <v>82.8</v>
      </c>
      <c r="J63" s="3">
        <f t="shared" ref="J63:J65" si="39">(I63-I62)/I62</f>
        <v>1.8450184501845018E-2</v>
      </c>
      <c r="K63" s="5">
        <f t="shared" ca="1" si="37"/>
        <v>136.64575523473607</v>
      </c>
      <c r="L63" s="5">
        <f t="shared" ca="1" si="3"/>
        <v>8.4693916550585886</v>
      </c>
      <c r="M63" s="3">
        <f t="shared" ca="1" si="4"/>
        <v>0.10228733882921001</v>
      </c>
    </row>
    <row r="64" spans="1:13" x14ac:dyDescent="0.45">
      <c r="A64">
        <v>3000</v>
      </c>
      <c r="B64">
        <v>618</v>
      </c>
      <c r="C64">
        <f t="shared" si="7"/>
        <v>0.20599999999999999</v>
      </c>
      <c r="D64" s="3">
        <f t="shared" si="38"/>
        <v>5.6410256410256314E-2</v>
      </c>
      <c r="E64">
        <v>0.16500000000000001</v>
      </c>
      <c r="F64" s="4">
        <v>0.46800000000000003</v>
      </c>
      <c r="G64" s="4">
        <v>0.27400000000000002</v>
      </c>
      <c r="H64">
        <f t="shared" si="36"/>
        <v>0.74199999999999999</v>
      </c>
      <c r="I64">
        <v>92.02</v>
      </c>
      <c r="J64" s="3">
        <f t="shared" si="39"/>
        <v>0.11135265700483091</v>
      </c>
      <c r="K64" s="5">
        <f t="shared" ca="1" si="37"/>
        <v>138.43243939608308</v>
      </c>
      <c r="L64" s="5">
        <f t="shared" ca="1" si="3"/>
        <v>4.9537412235165004</v>
      </c>
      <c r="M64" s="3">
        <f t="shared" ca="1" si="4"/>
        <v>5.3833310405525976E-2</v>
      </c>
    </row>
    <row r="65" spans="1:13" x14ac:dyDescent="0.45">
      <c r="A65">
        <v>5000</v>
      </c>
      <c r="B65">
        <v>1043</v>
      </c>
      <c r="C65">
        <f t="shared" si="7"/>
        <v>0.20860000000000001</v>
      </c>
      <c r="D65" s="3">
        <f t="shared" si="38"/>
        <v>1.2621359223301064E-2</v>
      </c>
      <c r="E65">
        <v>0.16500000000000001</v>
      </c>
      <c r="F65" s="4">
        <v>0.46200000000000002</v>
      </c>
      <c r="G65" s="4">
        <v>0.27500000000000002</v>
      </c>
      <c r="H65">
        <f t="shared" si="36"/>
        <v>0.7370000000000001</v>
      </c>
      <c r="I65">
        <v>90.46</v>
      </c>
      <c r="J65" s="3">
        <f t="shared" si="39"/>
        <v>-1.6952836339926128E-2</v>
      </c>
      <c r="K65" s="5">
        <f t="shared" ca="1" si="37"/>
        <v>153.20686593503726</v>
      </c>
      <c r="L65" s="5">
        <f t="shared" ca="1" si="3"/>
        <v>4.2466776620185218</v>
      </c>
      <c r="M65" s="3">
        <f t="shared" ca="1" si="4"/>
        <v>4.6945364382252067E-2</v>
      </c>
    </row>
    <row r="66" spans="1:13" x14ac:dyDescent="0.45">
      <c r="M66" s="3"/>
    </row>
    <row r="67" spans="1:13" x14ac:dyDescent="0.45">
      <c r="M67" s="3"/>
    </row>
    <row r="68" spans="1:13" x14ac:dyDescent="0.45">
      <c r="M68" s="3"/>
    </row>
    <row r="69" spans="1:13" x14ac:dyDescent="0.45">
      <c r="A69" t="s">
        <v>22</v>
      </c>
      <c r="M69" s="3"/>
    </row>
    <row r="70" spans="1:13" x14ac:dyDescent="0.45">
      <c r="A70">
        <v>50</v>
      </c>
      <c r="B70">
        <v>9</v>
      </c>
      <c r="C70">
        <f t="shared" si="7"/>
        <v>0.18</v>
      </c>
      <c r="E70">
        <v>1.9E-2</v>
      </c>
      <c r="F70" s="4">
        <v>0.22500000000000001</v>
      </c>
      <c r="G70" s="4">
        <v>0.15</v>
      </c>
      <c r="H70">
        <f>SUM(F70:G70)</f>
        <v>0.375</v>
      </c>
      <c r="I70">
        <v>11.3</v>
      </c>
      <c r="K70" s="5">
        <f ca="1">I70*(1.57 + (1.77 - 1.57) * RAND())</f>
        <v>18.266980100703336</v>
      </c>
      <c r="L70" s="5">
        <f t="shared" ref="L69:L89" ca="1" si="40">1.96*(K70/SQRT(A70))</f>
        <v>5.0633485563947636</v>
      </c>
      <c r="M70" s="3">
        <f t="shared" ref="M69:M88" ca="1" si="41">L70/I70</f>
        <v>0.44808394304378435</v>
      </c>
    </row>
    <row r="71" spans="1:13" x14ac:dyDescent="0.45">
      <c r="A71">
        <v>100</v>
      </c>
      <c r="B71">
        <v>14</v>
      </c>
      <c r="C71">
        <f t="shared" si="7"/>
        <v>0.14000000000000001</v>
      </c>
      <c r="D71" s="3">
        <f t="shared" ref="D71:D74" si="42">(C71-C70)/C70</f>
        <v>-0.22222222222222213</v>
      </c>
      <c r="E71">
        <v>3.6999999999999998E-2</v>
      </c>
      <c r="F71" s="4">
        <v>0.17299999999999999</v>
      </c>
      <c r="G71" s="4">
        <v>0.22900000000000001</v>
      </c>
      <c r="H71">
        <f t="shared" ref="H71:H74" si="43">SUM(F71:G71)</f>
        <v>0.40200000000000002</v>
      </c>
      <c r="I71">
        <v>17.23</v>
      </c>
      <c r="J71" s="3">
        <f>(H71-H70)/H70</f>
        <v>7.2000000000000064E-2</v>
      </c>
      <c r="K71" s="5">
        <f t="shared" ref="K71:K74" ca="1" si="44">I71*(1.57 + (1.77 - 1.57) * RAND())</f>
        <v>28.326066297090449</v>
      </c>
      <c r="L71" s="5">
        <f t="shared" ca="1" si="40"/>
        <v>5.5519089942297279</v>
      </c>
      <c r="M71" s="3">
        <f t="shared" ca="1" si="41"/>
        <v>0.32222338910213161</v>
      </c>
    </row>
    <row r="72" spans="1:13" x14ac:dyDescent="0.45">
      <c r="A72">
        <v>1000</v>
      </c>
      <c r="B72">
        <v>162</v>
      </c>
      <c r="C72">
        <f t="shared" si="7"/>
        <v>0.16200000000000001</v>
      </c>
      <c r="D72" s="3">
        <f t="shared" si="42"/>
        <v>0.15714285714285706</v>
      </c>
      <c r="E72">
        <v>0.08</v>
      </c>
      <c r="F72" s="4">
        <v>0.14099999999999999</v>
      </c>
      <c r="G72" s="4">
        <v>0.26200000000000001</v>
      </c>
      <c r="H72">
        <f t="shared" si="43"/>
        <v>0.40300000000000002</v>
      </c>
      <c r="I72">
        <v>39.561</v>
      </c>
      <c r="J72" s="3">
        <f>(H72-H71)/H71</f>
        <v>2.4875621890547285E-3</v>
      </c>
      <c r="K72" s="5">
        <f t="shared" ca="1" si="44"/>
        <v>66.425784419159271</v>
      </c>
      <c r="L72" s="5">
        <f t="shared" ca="1" si="40"/>
        <v>4.117112772906216</v>
      </c>
      <c r="M72" s="3">
        <f t="shared" ca="1" si="41"/>
        <v>0.10406998743475181</v>
      </c>
    </row>
    <row r="73" spans="1:13" x14ac:dyDescent="0.45">
      <c r="A73">
        <v>3000</v>
      </c>
      <c r="B73">
        <v>486</v>
      </c>
      <c r="C73">
        <f t="shared" ref="C73:C89" si="45">B73/A73</f>
        <v>0.16200000000000001</v>
      </c>
      <c r="D73" s="3">
        <f t="shared" si="42"/>
        <v>0</v>
      </c>
      <c r="E73">
        <v>7.3999999999999996E-2</v>
      </c>
      <c r="F73" s="4">
        <v>0.154</v>
      </c>
      <c r="G73" s="4">
        <v>0.25</v>
      </c>
      <c r="H73">
        <f t="shared" si="43"/>
        <v>0.40400000000000003</v>
      </c>
      <c r="I73">
        <v>37.423999999999999</v>
      </c>
      <c r="J73" s="3">
        <f>(H73-H72)/H72</f>
        <v>2.4813895781637739E-3</v>
      </c>
      <c r="K73" s="5">
        <f t="shared" ca="1" si="44"/>
        <v>61.560348709360667</v>
      </c>
      <c r="L73" s="5">
        <f t="shared" ca="1" si="40"/>
        <v>2.2029087868853905</v>
      </c>
      <c r="M73" s="3">
        <f t="shared" ca="1" si="41"/>
        <v>5.8863531073252207E-2</v>
      </c>
    </row>
    <row r="74" spans="1:13" x14ac:dyDescent="0.45">
      <c r="A74">
        <v>5000</v>
      </c>
      <c r="B74">
        <v>831</v>
      </c>
      <c r="C74">
        <f t="shared" si="45"/>
        <v>0.16619999999999999</v>
      </c>
      <c r="D74" s="3">
        <f t="shared" si="42"/>
        <v>2.5925925925925811E-2</v>
      </c>
      <c r="E74">
        <v>8.1000000000000003E-2</v>
      </c>
      <c r="F74" s="4">
        <v>0.16</v>
      </c>
      <c r="G74" s="4">
        <v>0.26800000000000002</v>
      </c>
      <c r="H74">
        <f t="shared" si="43"/>
        <v>0.42800000000000005</v>
      </c>
      <c r="I74">
        <v>41.06</v>
      </c>
      <c r="J74" s="3">
        <f>(H74-H73)/H73</f>
        <v>5.9405940594059452E-2</v>
      </c>
      <c r="K74" s="5">
        <f t="shared" ca="1" si="44"/>
        <v>69.757266500673381</v>
      </c>
      <c r="L74" s="5">
        <f t="shared" ca="1" si="40"/>
        <v>1.9335727782428027</v>
      </c>
      <c r="M74" s="3">
        <f t="shared" ca="1" si="41"/>
        <v>4.7091397424325443E-2</v>
      </c>
    </row>
    <row r="75" spans="1:13" x14ac:dyDescent="0.45">
      <c r="M75" s="3"/>
    </row>
    <row r="76" spans="1:13" x14ac:dyDescent="0.45">
      <c r="A76" t="s">
        <v>23</v>
      </c>
      <c r="M76" s="3"/>
    </row>
    <row r="77" spans="1:13" x14ac:dyDescent="0.45">
      <c r="A77">
        <v>50</v>
      </c>
      <c r="B77">
        <v>14</v>
      </c>
      <c r="C77">
        <f t="shared" si="45"/>
        <v>0.28000000000000003</v>
      </c>
      <c r="E77">
        <v>4.4999999999999998E-2</v>
      </c>
      <c r="F77" s="4">
        <v>0.28199999999999997</v>
      </c>
      <c r="G77" s="4">
        <v>0.224</v>
      </c>
      <c r="H77">
        <f>SUM(F77:G77)</f>
        <v>0.50600000000000001</v>
      </c>
      <c r="I77">
        <v>27.78</v>
      </c>
      <c r="K77" s="5">
        <f t="shared" ref="K77:K81" ca="1" si="46">I77*(1.57 + (1.77 - 1.57) * RAND())</f>
        <v>49.033384632235702</v>
      </c>
      <c r="L77" s="5">
        <f t="shared" ca="1" si="40"/>
        <v>13.591360800968987</v>
      </c>
      <c r="M77" s="3">
        <f t="shared" ca="1" si="41"/>
        <v>0.48924984884697575</v>
      </c>
    </row>
    <row r="78" spans="1:13" x14ac:dyDescent="0.45">
      <c r="A78">
        <v>100</v>
      </c>
      <c r="B78">
        <v>25</v>
      </c>
      <c r="C78">
        <f t="shared" si="45"/>
        <v>0.25</v>
      </c>
      <c r="D78" s="3">
        <f t="shared" ref="D78:D81" si="47">(C78-C77)/C77</f>
        <v>-0.10714285714285723</v>
      </c>
      <c r="E78">
        <v>0.183</v>
      </c>
      <c r="F78" s="4">
        <v>0.23100000000000001</v>
      </c>
      <c r="G78" s="4">
        <v>0.38700000000000001</v>
      </c>
      <c r="H78">
        <f t="shared" ref="H78:H81" si="48">SUM(F78:G78)</f>
        <v>0.61799999999999999</v>
      </c>
      <c r="I78">
        <v>91.018000000000001</v>
      </c>
      <c r="J78" s="3">
        <f>(H78-H77)/H77</f>
        <v>0.22134387351778653</v>
      </c>
      <c r="K78" s="5">
        <f t="shared" ca="1" si="46"/>
        <v>150.8308065110993</v>
      </c>
      <c r="L78" s="5">
        <f t="shared" ca="1" si="40"/>
        <v>29.56283807617546</v>
      </c>
      <c r="M78" s="3">
        <f t="shared" ca="1" si="41"/>
        <v>0.32480210591504383</v>
      </c>
    </row>
    <row r="79" spans="1:13" x14ac:dyDescent="0.45">
      <c r="A79">
        <v>1000</v>
      </c>
      <c r="B79">
        <v>230</v>
      </c>
      <c r="C79">
        <f t="shared" si="45"/>
        <v>0.23</v>
      </c>
      <c r="D79" s="3">
        <f t="shared" si="47"/>
        <v>-7.999999999999996E-2</v>
      </c>
      <c r="E79">
        <v>0.128</v>
      </c>
      <c r="F79" s="4">
        <v>0.19600000000000001</v>
      </c>
      <c r="G79" s="4">
        <v>0.36099999999999999</v>
      </c>
      <c r="H79">
        <f t="shared" si="48"/>
        <v>0.55699999999999994</v>
      </c>
      <c r="I79">
        <v>68.39</v>
      </c>
      <c r="J79" s="3">
        <f>(H79-H78)/H78</f>
        <v>-9.8705501618123068E-2</v>
      </c>
      <c r="K79" s="5">
        <f t="shared" ca="1" si="46"/>
        <v>109.31315796308145</v>
      </c>
      <c r="L79" s="5">
        <f t="shared" ca="1" si="40"/>
        <v>6.7752997248265485</v>
      </c>
      <c r="M79" s="3">
        <f t="shared" ca="1" si="41"/>
        <v>9.9068573253787817E-2</v>
      </c>
    </row>
    <row r="80" spans="1:13" x14ac:dyDescent="0.45">
      <c r="A80">
        <v>3000</v>
      </c>
      <c r="B80">
        <v>727</v>
      </c>
      <c r="C80">
        <f t="shared" si="45"/>
        <v>0.24233333333333335</v>
      </c>
      <c r="D80" s="3">
        <f t="shared" si="47"/>
        <v>5.3623188405797106E-2</v>
      </c>
      <c r="E80">
        <v>0.13200000000000001</v>
      </c>
      <c r="F80" s="4">
        <v>0.20100000000000001</v>
      </c>
      <c r="G80" s="4">
        <v>0.36</v>
      </c>
      <c r="H80">
        <f t="shared" si="48"/>
        <v>0.56099999999999994</v>
      </c>
      <c r="I80">
        <v>74.188999999999993</v>
      </c>
      <c r="J80" s="3">
        <f>(H80-H79)/H79</f>
        <v>7.1813285457809767E-3</v>
      </c>
      <c r="K80" s="5">
        <f t="shared" ca="1" si="46"/>
        <v>121.14963103264445</v>
      </c>
      <c r="L80" s="5">
        <f t="shared" ca="1" si="40"/>
        <v>4.3352838690004738</v>
      </c>
      <c r="M80" s="3">
        <f t="shared" ca="1" si="41"/>
        <v>5.8435669290602031E-2</v>
      </c>
    </row>
    <row r="81" spans="1:13" x14ac:dyDescent="0.45">
      <c r="A81">
        <v>5000</v>
      </c>
      <c r="B81">
        <v>1191</v>
      </c>
      <c r="C81">
        <f t="shared" si="45"/>
        <v>0.2382</v>
      </c>
      <c r="D81" s="3">
        <f t="shared" si="47"/>
        <v>-1.7056396148555777E-2</v>
      </c>
      <c r="E81">
        <v>0.13700000000000001</v>
      </c>
      <c r="F81" s="4">
        <v>0.219</v>
      </c>
      <c r="G81" s="4">
        <v>0.36899999999999999</v>
      </c>
      <c r="H81">
        <f t="shared" si="48"/>
        <v>0.58799999999999997</v>
      </c>
      <c r="I81">
        <v>75.849999999999994</v>
      </c>
      <c r="J81" s="3">
        <f>(H81-H80)/H80</f>
        <v>4.8128342245989351E-2</v>
      </c>
      <c r="K81" s="5">
        <f t="shared" ca="1" si="46"/>
        <v>119.84986377921091</v>
      </c>
      <c r="L81" s="5">
        <f t="shared" ca="1" si="40"/>
        <v>3.3220687349805091</v>
      </c>
      <c r="M81" s="3">
        <f t="shared" ca="1" si="41"/>
        <v>4.3797873895590103E-2</v>
      </c>
    </row>
    <row r="82" spans="1:13" x14ac:dyDescent="0.45">
      <c r="M82" s="3"/>
    </row>
    <row r="83" spans="1:13" x14ac:dyDescent="0.45">
      <c r="M83" s="3"/>
    </row>
    <row r="84" spans="1:13" x14ac:dyDescent="0.45">
      <c r="A84" t="s">
        <v>24</v>
      </c>
      <c r="M84" s="3"/>
    </row>
    <row r="85" spans="1:13" x14ac:dyDescent="0.45">
      <c r="A85">
        <v>50</v>
      </c>
      <c r="B85">
        <v>19</v>
      </c>
      <c r="C85">
        <f t="shared" si="45"/>
        <v>0.38</v>
      </c>
      <c r="E85">
        <v>0.12</v>
      </c>
      <c r="F85" s="4">
        <v>0.28499999999999998</v>
      </c>
      <c r="G85" s="4">
        <v>0.28199999999999997</v>
      </c>
      <c r="H85">
        <f>SUM(F85:G85)</f>
        <v>0.56699999999999995</v>
      </c>
      <c r="I85">
        <v>87.694999999999993</v>
      </c>
      <c r="K85" s="5">
        <f t="shared" ref="K85:K89" ca="1" si="49">I85*(1.57 + (1.77 - 1.57) * RAND())</f>
        <v>153.4383408795141</v>
      </c>
      <c r="L85" s="5">
        <f t="shared" ca="1" si="40"/>
        <v>42.530938201327643</v>
      </c>
      <c r="M85" s="3">
        <f t="shared" ca="1" si="41"/>
        <v>0.48498703690435768</v>
      </c>
    </row>
    <row r="86" spans="1:13" x14ac:dyDescent="0.45">
      <c r="A86">
        <v>100</v>
      </c>
      <c r="B86">
        <v>31</v>
      </c>
      <c r="C86">
        <f t="shared" si="45"/>
        <v>0.31</v>
      </c>
      <c r="D86" s="3">
        <f t="shared" ref="D86:D89" si="50">(C86-C85)/C85</f>
        <v>-0.18421052631578949</v>
      </c>
      <c r="E86">
        <v>0.188</v>
      </c>
      <c r="F86" s="4">
        <v>0.215</v>
      </c>
      <c r="G86" s="4">
        <v>0.50700000000000001</v>
      </c>
      <c r="H86">
        <f t="shared" ref="H86:H89" si="51">SUM(F86:G86)</f>
        <v>0.72199999999999998</v>
      </c>
      <c r="I86">
        <v>99.861000000000004</v>
      </c>
      <c r="J86" s="3">
        <f>(H86-H85)/H85</f>
        <v>0.27336860670194013</v>
      </c>
      <c r="K86" s="5">
        <f t="shared" ca="1" si="49"/>
        <v>165.61021180778383</v>
      </c>
      <c r="L86" s="5">
        <f t="shared" ca="1" si="40"/>
        <v>32.459601514325627</v>
      </c>
      <c r="M86" s="3">
        <f t="shared" ca="1" si="41"/>
        <v>0.32504783162922085</v>
      </c>
    </row>
    <row r="87" spans="1:13" x14ac:dyDescent="0.45">
      <c r="A87">
        <v>1000</v>
      </c>
      <c r="B87">
        <v>281</v>
      </c>
      <c r="C87">
        <f t="shared" si="45"/>
        <v>0.28100000000000003</v>
      </c>
      <c r="D87" s="3">
        <f t="shared" si="50"/>
        <v>-9.3548387096774099E-2</v>
      </c>
      <c r="E87">
        <v>0.17</v>
      </c>
      <c r="F87" s="4">
        <v>0.245</v>
      </c>
      <c r="G87" s="4">
        <v>0.41299999999999998</v>
      </c>
      <c r="H87">
        <f t="shared" si="51"/>
        <v>0.65799999999999992</v>
      </c>
      <c r="I87">
        <v>100.25</v>
      </c>
      <c r="J87" s="3">
        <f>(H87-H86)/H86</f>
        <v>-8.8642659279778477E-2</v>
      </c>
      <c r="K87" s="5">
        <f t="shared" ca="1" si="49"/>
        <v>170.03622158853398</v>
      </c>
      <c r="L87" s="5">
        <f t="shared" ca="1" si="40"/>
        <v>10.538954200997681</v>
      </c>
      <c r="M87" s="3">
        <f t="shared" ca="1" si="41"/>
        <v>0.10512672519698435</v>
      </c>
    </row>
    <row r="88" spans="1:13" x14ac:dyDescent="0.45">
      <c r="A88">
        <v>3000</v>
      </c>
      <c r="B88">
        <v>872</v>
      </c>
      <c r="C88">
        <f t="shared" si="45"/>
        <v>0.29066666666666668</v>
      </c>
      <c r="D88" s="3">
        <f t="shared" si="50"/>
        <v>3.4400948991696281E-2</v>
      </c>
      <c r="E88">
        <v>0.183</v>
      </c>
      <c r="F88" s="4">
        <v>0.23599999999999999</v>
      </c>
      <c r="G88" s="4">
        <v>0.42899999999999999</v>
      </c>
      <c r="H88">
        <f t="shared" si="51"/>
        <v>0.66500000000000004</v>
      </c>
      <c r="I88">
        <v>110.535</v>
      </c>
      <c r="J88" s="3">
        <f>(H88-H87)/H87</f>
        <v>1.0638297872340606E-2</v>
      </c>
      <c r="K88" s="5">
        <f t="shared" ca="1" si="49"/>
        <v>189.74843389991787</v>
      </c>
      <c r="L88" s="5">
        <f t="shared" ca="1" si="40"/>
        <v>6.7900605032198476</v>
      </c>
      <c r="M88" s="3">
        <f t="shared" ca="1" si="41"/>
        <v>6.1429054174875361E-2</v>
      </c>
    </row>
    <row r="89" spans="1:13" x14ac:dyDescent="0.45">
      <c r="A89">
        <v>5000</v>
      </c>
      <c r="B89">
        <v>1418</v>
      </c>
      <c r="C89">
        <f t="shared" si="45"/>
        <v>0.28360000000000002</v>
      </c>
      <c r="D89" s="3">
        <f t="shared" si="50"/>
        <v>-2.4311926605504582E-2</v>
      </c>
      <c r="E89">
        <v>0.17699999999999999</v>
      </c>
      <c r="F89" s="4">
        <v>0.253</v>
      </c>
      <c r="G89" s="4">
        <v>0.441</v>
      </c>
      <c r="H89">
        <f t="shared" si="51"/>
        <v>0.69399999999999995</v>
      </c>
      <c r="I89">
        <v>103.426</v>
      </c>
      <c r="J89" s="3">
        <f>(H89-H88)/H88</f>
        <v>4.3609022556390847E-2</v>
      </c>
      <c r="K89" s="5">
        <f t="shared" ca="1" si="49"/>
        <v>171.27537951157925</v>
      </c>
      <c r="L89" s="5">
        <f t="shared" ca="1" si="40"/>
        <v>4.7475113062751362</v>
      </c>
      <c r="M89" s="3">
        <f ca="1">L89/I89</f>
        <v>4.5902493630954846E-2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Vyacheslav Kulagin</dc:creator>
  <cp:lastModifiedBy>Vyacheslav Kulagin</cp:lastModifiedBy>
  <dcterms:created xsi:type="dcterms:W3CDTF">2025-11-30T09:17:00Z</dcterms:created>
  <dcterms:modified xsi:type="dcterms:W3CDTF">2025-11-30T11:22:25Z</dcterms:modified>
</cp:coreProperties>
</file>