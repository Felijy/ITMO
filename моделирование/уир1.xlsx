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моделирование\"/>
    </mc:Choice>
  </mc:AlternateContent>
  <xr:revisionPtr revIDLastSave="0" documentId="13_ncr:1_{7B73FE37-4D21-4794-8B8B-99BCDCABFA1D}" xr6:coauthVersionLast="47" xr6:coauthVersionMax="47" xr10:uidLastSave="{00000000-0000-0000-0000-000000000000}"/>
  <bookViews>
    <workbookView xWindow="-98" yWindow="-98" windowWidth="24196" windowHeight="14476" tabRatio="793" activeTab="16" xr2:uid="{574432A8-4D7C-4B05-9C2B-65B5BC5DC3BA}"/>
  </bookViews>
  <sheets>
    <sheet name="сравнение" sheetId="18" r:id="rId1"/>
    <sheet name="Лист1 ген" sheetId="17" r:id="rId2"/>
    <sheet name="10 ген" sheetId="16" r:id="rId3"/>
    <sheet name="20 ген" sheetId="15" r:id="rId4"/>
    <sheet name="50 ген" sheetId="14" r:id="rId5"/>
    <sheet name="100 ген" sheetId="13" r:id="rId6"/>
    <sheet name="200 ген" sheetId="12" r:id="rId7"/>
    <sheet name="300 ген" sheetId="11" r:id="rId8"/>
    <sheet name="ген" sheetId="10" r:id="rId9"/>
    <sheet name="300" sheetId="7" r:id="rId10"/>
    <sheet name="200" sheetId="6" r:id="rId11"/>
    <sheet name="100" sheetId="5" r:id="rId12"/>
    <sheet name="50" sheetId="4" r:id="rId13"/>
    <sheet name="20" sheetId="3" r:id="rId14"/>
    <sheet name="10" sheetId="2" r:id="rId15"/>
    <sheet name="Лист1" sheetId="1" r:id="rId16"/>
    <sheet name="Лист8" sheetId="8" r:id="rId17"/>
    <sheet name="Лист2" sheetId="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18" l="1"/>
  <c r="C73" i="18"/>
  <c r="D73" i="18"/>
  <c r="E73" i="18"/>
  <c r="F73" i="18"/>
  <c r="G73" i="18"/>
  <c r="H73" i="18"/>
  <c r="I73" i="18"/>
  <c r="J73" i="18"/>
  <c r="K73" i="18"/>
  <c r="L73" i="18"/>
  <c r="M73" i="18"/>
  <c r="N73" i="18"/>
  <c r="O73" i="18"/>
  <c r="A73" i="18"/>
  <c r="T1" i="18"/>
  <c r="B69" i="18"/>
  <c r="C69" i="18"/>
  <c r="D69" i="18"/>
  <c r="E69" i="18"/>
  <c r="F69" i="18"/>
  <c r="G69" i="18"/>
  <c r="H69" i="18"/>
  <c r="I69" i="18"/>
  <c r="J69" i="18"/>
  <c r="K69" i="18"/>
  <c r="L69" i="18"/>
  <c r="M69" i="18"/>
  <c r="N69" i="18"/>
  <c r="O69" i="18"/>
  <c r="A69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A63" i="18"/>
  <c r="O10" i="16"/>
  <c r="O9" i="16"/>
  <c r="O8" i="16"/>
  <c r="O7" i="16"/>
  <c r="O6" i="16"/>
  <c r="O5" i="16"/>
  <c r="O4" i="16"/>
  <c r="O10" i="15"/>
  <c r="O9" i="15"/>
  <c r="O8" i="15"/>
  <c r="O7" i="15"/>
  <c r="O6" i="15"/>
  <c r="O5" i="15"/>
  <c r="O4" i="15"/>
  <c r="O8" i="12"/>
  <c r="P8" i="12"/>
  <c r="P9" i="12"/>
  <c r="O9" i="12" s="1"/>
  <c r="P10" i="12"/>
  <c r="O10" i="12" s="1"/>
  <c r="P8" i="13"/>
  <c r="O8" i="13" s="1"/>
  <c r="P9" i="13"/>
  <c r="O9" i="13" s="1"/>
  <c r="O10" i="13"/>
  <c r="P10" i="13"/>
  <c r="P8" i="14"/>
  <c r="O8" i="14" s="1"/>
  <c r="O9" i="14"/>
  <c r="P9" i="14"/>
  <c r="P10" i="14"/>
  <c r="O10" i="14" s="1"/>
  <c r="P8" i="15"/>
  <c r="P9" i="15"/>
  <c r="P10" i="15"/>
  <c r="P8" i="16"/>
  <c r="P9" i="16"/>
  <c r="P10" i="16"/>
  <c r="S303" i="17"/>
  <c r="T302" i="17" s="1"/>
  <c r="U301" i="17" s="1"/>
  <c r="V300" i="17" s="1"/>
  <c r="W299" i="17" s="1"/>
  <c r="X298" i="17" s="1"/>
  <c r="Y297" i="17" s="1"/>
  <c r="Z296" i="17" s="1"/>
  <c r="AA295" i="17" s="1"/>
  <c r="AB294" i="17" s="1"/>
  <c r="AC293" i="17" s="1"/>
  <c r="AD292" i="17" s="1"/>
  <c r="AE291" i="17" s="1"/>
  <c r="AF290" i="17" s="1"/>
  <c r="AG289" i="17" s="1"/>
  <c r="R303" i="17"/>
  <c r="S302" i="17"/>
  <c r="R302" i="17"/>
  <c r="T301" i="17"/>
  <c r="U300" i="17" s="1"/>
  <c r="V299" i="17" s="1"/>
  <c r="W298" i="17" s="1"/>
  <c r="X297" i="17" s="1"/>
  <c r="Y296" i="17" s="1"/>
  <c r="Z295" i="17" s="1"/>
  <c r="AA294" i="17" s="1"/>
  <c r="AB293" i="17" s="1"/>
  <c r="AC292" i="17" s="1"/>
  <c r="AD291" i="17" s="1"/>
  <c r="AE290" i="17" s="1"/>
  <c r="AF289" i="17" s="1"/>
  <c r="AG288" i="17" s="1"/>
  <c r="S301" i="17"/>
  <c r="T300" i="17" s="1"/>
  <c r="U299" i="17" s="1"/>
  <c r="V298" i="17" s="1"/>
  <c r="W297" i="17" s="1"/>
  <c r="X296" i="17" s="1"/>
  <c r="Y295" i="17" s="1"/>
  <c r="Z294" i="17" s="1"/>
  <c r="AA293" i="17" s="1"/>
  <c r="AB292" i="17" s="1"/>
  <c r="AC291" i="17" s="1"/>
  <c r="AD290" i="17" s="1"/>
  <c r="AE289" i="17" s="1"/>
  <c r="AF288" i="17" s="1"/>
  <c r="AG287" i="17" s="1"/>
  <c r="R301" i="17"/>
  <c r="S300" i="17"/>
  <c r="R300" i="17"/>
  <c r="T299" i="17"/>
  <c r="S299" i="17"/>
  <c r="T298" i="17" s="1"/>
  <c r="U297" i="17" s="1"/>
  <c r="V296" i="17" s="1"/>
  <c r="W295" i="17" s="1"/>
  <c r="X294" i="17" s="1"/>
  <c r="Y293" i="17" s="1"/>
  <c r="Z292" i="17" s="1"/>
  <c r="AA291" i="17" s="1"/>
  <c r="AB290" i="17" s="1"/>
  <c r="AC289" i="17" s="1"/>
  <c r="AD288" i="17" s="1"/>
  <c r="AE287" i="17" s="1"/>
  <c r="AF286" i="17" s="1"/>
  <c r="AG285" i="17" s="1"/>
  <c r="R299" i="17"/>
  <c r="U298" i="17"/>
  <c r="V297" i="17" s="1"/>
  <c r="W296" i="17" s="1"/>
  <c r="X295" i="17" s="1"/>
  <c r="Y294" i="17" s="1"/>
  <c r="Z293" i="17" s="1"/>
  <c r="AA292" i="17" s="1"/>
  <c r="AB291" i="17" s="1"/>
  <c r="AC290" i="17" s="1"/>
  <c r="AD289" i="17" s="1"/>
  <c r="AE288" i="17" s="1"/>
  <c r="AF287" i="17" s="1"/>
  <c r="AG286" i="17" s="1"/>
  <c r="S298" i="17"/>
  <c r="T297" i="17" s="1"/>
  <c r="U296" i="17" s="1"/>
  <c r="V295" i="17" s="1"/>
  <c r="W294" i="17" s="1"/>
  <c r="X293" i="17" s="1"/>
  <c r="Y292" i="17" s="1"/>
  <c r="Z291" i="17" s="1"/>
  <c r="AA290" i="17" s="1"/>
  <c r="AB289" i="17" s="1"/>
  <c r="AC288" i="17" s="1"/>
  <c r="AD287" i="17" s="1"/>
  <c r="AE286" i="17" s="1"/>
  <c r="AF285" i="17" s="1"/>
  <c r="AG284" i="17" s="1"/>
  <c r="R298" i="17"/>
  <c r="S297" i="17"/>
  <c r="T296" i="17" s="1"/>
  <c r="U295" i="17" s="1"/>
  <c r="V294" i="17" s="1"/>
  <c r="W293" i="17" s="1"/>
  <c r="X292" i="17" s="1"/>
  <c r="Y291" i="17" s="1"/>
  <c r="Z290" i="17" s="1"/>
  <c r="AA289" i="17" s="1"/>
  <c r="AB288" i="17" s="1"/>
  <c r="AC287" i="17" s="1"/>
  <c r="AD286" i="17" s="1"/>
  <c r="AE285" i="17" s="1"/>
  <c r="AF284" i="17" s="1"/>
  <c r="AG283" i="17" s="1"/>
  <c r="R297" i="17"/>
  <c r="S296" i="17"/>
  <c r="T295" i="17" s="1"/>
  <c r="R296" i="17"/>
  <c r="S295" i="17"/>
  <c r="R295" i="17"/>
  <c r="U294" i="17"/>
  <c r="T294" i="17"/>
  <c r="U293" i="17" s="1"/>
  <c r="V292" i="17" s="1"/>
  <c r="W291" i="17" s="1"/>
  <c r="X290" i="17" s="1"/>
  <c r="Y289" i="17" s="1"/>
  <c r="Z288" i="17" s="1"/>
  <c r="AA287" i="17" s="1"/>
  <c r="AB286" i="17" s="1"/>
  <c r="AC285" i="17" s="1"/>
  <c r="AD284" i="17" s="1"/>
  <c r="AE283" i="17" s="1"/>
  <c r="AF282" i="17" s="1"/>
  <c r="AG281" i="17" s="1"/>
  <c r="S294" i="17"/>
  <c r="T293" i="17" s="1"/>
  <c r="U292" i="17" s="1"/>
  <c r="V291" i="17" s="1"/>
  <c r="W290" i="17" s="1"/>
  <c r="X289" i="17" s="1"/>
  <c r="Y288" i="17" s="1"/>
  <c r="Z287" i="17" s="1"/>
  <c r="AA286" i="17" s="1"/>
  <c r="AB285" i="17" s="1"/>
  <c r="AC284" i="17" s="1"/>
  <c r="AD283" i="17" s="1"/>
  <c r="AE282" i="17" s="1"/>
  <c r="AF281" i="17" s="1"/>
  <c r="AG280" i="17" s="1"/>
  <c r="R294" i="17"/>
  <c r="V293" i="17"/>
  <c r="W292" i="17" s="1"/>
  <c r="X291" i="17" s="1"/>
  <c r="Y290" i="17" s="1"/>
  <c r="Z289" i="17" s="1"/>
  <c r="AA288" i="17" s="1"/>
  <c r="AB287" i="17" s="1"/>
  <c r="AC286" i="17" s="1"/>
  <c r="AD285" i="17" s="1"/>
  <c r="AE284" i="17" s="1"/>
  <c r="AF283" i="17" s="1"/>
  <c r="AG282" i="17" s="1"/>
  <c r="S293" i="17"/>
  <c r="T292" i="17" s="1"/>
  <c r="R293" i="17"/>
  <c r="S292" i="17"/>
  <c r="R292" i="17"/>
  <c r="U291" i="17"/>
  <c r="V290" i="17" s="1"/>
  <c r="W289" i="17" s="1"/>
  <c r="X288" i="17" s="1"/>
  <c r="Y287" i="17" s="1"/>
  <c r="Z286" i="17" s="1"/>
  <c r="AA285" i="17" s="1"/>
  <c r="AB284" i="17" s="1"/>
  <c r="AC283" i="17" s="1"/>
  <c r="AD282" i="17" s="1"/>
  <c r="AE281" i="17" s="1"/>
  <c r="AF280" i="17" s="1"/>
  <c r="AG279" i="17" s="1"/>
  <c r="T291" i="17"/>
  <c r="S291" i="17"/>
  <c r="T290" i="17" s="1"/>
  <c r="U289" i="17" s="1"/>
  <c r="V288" i="17" s="1"/>
  <c r="W287" i="17" s="1"/>
  <c r="R291" i="17"/>
  <c r="U290" i="17"/>
  <c r="V289" i="17" s="1"/>
  <c r="W288" i="17" s="1"/>
  <c r="X287" i="17" s="1"/>
  <c r="Y286" i="17" s="1"/>
  <c r="Z285" i="17" s="1"/>
  <c r="AA284" i="17" s="1"/>
  <c r="AB283" i="17" s="1"/>
  <c r="AC282" i="17" s="1"/>
  <c r="AD281" i="17" s="1"/>
  <c r="AE280" i="17" s="1"/>
  <c r="AF279" i="17" s="1"/>
  <c r="AG278" i="17" s="1"/>
  <c r="S290" i="17"/>
  <c r="T289" i="17" s="1"/>
  <c r="U288" i="17" s="1"/>
  <c r="V287" i="17" s="1"/>
  <c r="W286" i="17" s="1"/>
  <c r="X285" i="17" s="1"/>
  <c r="Y284" i="17" s="1"/>
  <c r="Z283" i="17" s="1"/>
  <c r="AA282" i="17" s="1"/>
  <c r="AB281" i="17" s="1"/>
  <c r="AC280" i="17" s="1"/>
  <c r="AD279" i="17" s="1"/>
  <c r="AE278" i="17" s="1"/>
  <c r="AF277" i="17" s="1"/>
  <c r="AG276" i="17" s="1"/>
  <c r="R290" i="17"/>
  <c r="S289" i="17"/>
  <c r="R289" i="17"/>
  <c r="T288" i="17"/>
  <c r="U287" i="17" s="1"/>
  <c r="V286" i="17" s="1"/>
  <c r="W285" i="17" s="1"/>
  <c r="X284" i="17" s="1"/>
  <c r="Y283" i="17" s="1"/>
  <c r="Z282" i="17" s="1"/>
  <c r="AA281" i="17" s="1"/>
  <c r="AB280" i="17" s="1"/>
  <c r="AC279" i="17" s="1"/>
  <c r="AD278" i="17" s="1"/>
  <c r="AE277" i="17" s="1"/>
  <c r="AF276" i="17" s="1"/>
  <c r="AG275" i="17" s="1"/>
  <c r="S288" i="17"/>
  <c r="T287" i="17" s="1"/>
  <c r="U286" i="17" s="1"/>
  <c r="V285" i="17" s="1"/>
  <c r="W284" i="17" s="1"/>
  <c r="X283" i="17" s="1"/>
  <c r="R288" i="17"/>
  <c r="S287" i="17"/>
  <c r="R287" i="17"/>
  <c r="X286" i="17"/>
  <c r="Y285" i="17" s="1"/>
  <c r="Z284" i="17" s="1"/>
  <c r="AA283" i="17" s="1"/>
  <c r="AB282" i="17" s="1"/>
  <c r="AC281" i="17" s="1"/>
  <c r="AD280" i="17" s="1"/>
  <c r="AE279" i="17" s="1"/>
  <c r="AF278" i="17" s="1"/>
  <c r="AG277" i="17" s="1"/>
  <c r="T286" i="17"/>
  <c r="U285" i="17" s="1"/>
  <c r="V284" i="17" s="1"/>
  <c r="W283" i="17" s="1"/>
  <c r="X282" i="17" s="1"/>
  <c r="Y281" i="17" s="1"/>
  <c r="Z280" i="17" s="1"/>
  <c r="AA279" i="17" s="1"/>
  <c r="AB278" i="17" s="1"/>
  <c r="AC277" i="17" s="1"/>
  <c r="AD276" i="17" s="1"/>
  <c r="AE275" i="17" s="1"/>
  <c r="AF274" i="17" s="1"/>
  <c r="AG273" i="17" s="1"/>
  <c r="S286" i="17"/>
  <c r="T285" i="17" s="1"/>
  <c r="U284" i="17" s="1"/>
  <c r="V283" i="17" s="1"/>
  <c r="W282" i="17" s="1"/>
  <c r="X281" i="17" s="1"/>
  <c r="Y280" i="17" s="1"/>
  <c r="Z279" i="17" s="1"/>
  <c r="AA278" i="17" s="1"/>
  <c r="AB277" i="17" s="1"/>
  <c r="AC276" i="17" s="1"/>
  <c r="AD275" i="17" s="1"/>
  <c r="AE274" i="17" s="1"/>
  <c r="AF273" i="17" s="1"/>
  <c r="AG272" i="17" s="1"/>
  <c r="R286" i="17"/>
  <c r="S285" i="17"/>
  <c r="R285" i="17"/>
  <c r="T284" i="17"/>
  <c r="U283" i="17" s="1"/>
  <c r="V282" i="17" s="1"/>
  <c r="W281" i="17" s="1"/>
  <c r="X280" i="17" s="1"/>
  <c r="Y279" i="17" s="1"/>
  <c r="Z278" i="17" s="1"/>
  <c r="AA277" i="17" s="1"/>
  <c r="AB276" i="17" s="1"/>
  <c r="AC275" i="17" s="1"/>
  <c r="AD274" i="17" s="1"/>
  <c r="AE273" i="17" s="1"/>
  <c r="AF272" i="17" s="1"/>
  <c r="AG271" i="17" s="1"/>
  <c r="S284" i="17"/>
  <c r="T283" i="17" s="1"/>
  <c r="U282" i="17" s="1"/>
  <c r="V281" i="17" s="1"/>
  <c r="W280" i="17" s="1"/>
  <c r="X279" i="17" s="1"/>
  <c r="Y278" i="17" s="1"/>
  <c r="Z277" i="17" s="1"/>
  <c r="AA276" i="17" s="1"/>
  <c r="AB275" i="17" s="1"/>
  <c r="AC274" i="17" s="1"/>
  <c r="AD273" i="17" s="1"/>
  <c r="AE272" i="17" s="1"/>
  <c r="AF271" i="17" s="1"/>
  <c r="AG270" i="17" s="1"/>
  <c r="R284" i="17"/>
  <c r="S283" i="17"/>
  <c r="T282" i="17" s="1"/>
  <c r="U281" i="17" s="1"/>
  <c r="V280" i="17" s="1"/>
  <c r="W279" i="17" s="1"/>
  <c r="X278" i="17" s="1"/>
  <c r="Y277" i="17" s="1"/>
  <c r="Z276" i="17" s="1"/>
  <c r="AA275" i="17" s="1"/>
  <c r="AB274" i="17" s="1"/>
  <c r="AC273" i="17" s="1"/>
  <c r="AD272" i="17" s="1"/>
  <c r="AE271" i="17" s="1"/>
  <c r="AF270" i="17" s="1"/>
  <c r="AG269" i="17" s="1"/>
  <c r="R283" i="17"/>
  <c r="Y282" i="17"/>
  <c r="Z281" i="17" s="1"/>
  <c r="AA280" i="17" s="1"/>
  <c r="AB279" i="17" s="1"/>
  <c r="AC278" i="17" s="1"/>
  <c r="AD277" i="17" s="1"/>
  <c r="AE276" i="17" s="1"/>
  <c r="AF275" i="17" s="1"/>
  <c r="AG274" i="17" s="1"/>
  <c r="S282" i="17"/>
  <c r="T281" i="17" s="1"/>
  <c r="U280" i="17" s="1"/>
  <c r="V279" i="17" s="1"/>
  <c r="W278" i="17" s="1"/>
  <c r="X277" i="17" s="1"/>
  <c r="Y276" i="17" s="1"/>
  <c r="Z275" i="17" s="1"/>
  <c r="AA274" i="17" s="1"/>
  <c r="AB273" i="17" s="1"/>
  <c r="AC272" i="17" s="1"/>
  <c r="AD271" i="17" s="1"/>
  <c r="AE270" i="17" s="1"/>
  <c r="AF269" i="17" s="1"/>
  <c r="AG268" i="17" s="1"/>
  <c r="R282" i="17"/>
  <c r="S281" i="17"/>
  <c r="T280" i="17" s="1"/>
  <c r="U279" i="17" s="1"/>
  <c r="V278" i="17" s="1"/>
  <c r="W277" i="17" s="1"/>
  <c r="X276" i="17" s="1"/>
  <c r="Y275" i="17" s="1"/>
  <c r="Z274" i="17" s="1"/>
  <c r="AA273" i="17" s="1"/>
  <c r="AB272" i="17" s="1"/>
  <c r="AC271" i="17" s="1"/>
  <c r="AD270" i="17" s="1"/>
  <c r="AE269" i="17" s="1"/>
  <c r="AF268" i="17" s="1"/>
  <c r="AG267" i="17" s="1"/>
  <c r="R281" i="17"/>
  <c r="S280" i="17"/>
  <c r="R280" i="17"/>
  <c r="T279" i="17"/>
  <c r="U278" i="17" s="1"/>
  <c r="S279" i="17"/>
  <c r="T278" i="17" s="1"/>
  <c r="U277" i="17" s="1"/>
  <c r="V276" i="17" s="1"/>
  <c r="W275" i="17" s="1"/>
  <c r="X274" i="17" s="1"/>
  <c r="Y273" i="17" s="1"/>
  <c r="Z272" i="17" s="1"/>
  <c r="AA271" i="17" s="1"/>
  <c r="AB270" i="17" s="1"/>
  <c r="AC269" i="17" s="1"/>
  <c r="AD268" i="17" s="1"/>
  <c r="AE267" i="17" s="1"/>
  <c r="AF266" i="17" s="1"/>
  <c r="AG265" i="17" s="1"/>
  <c r="R279" i="17"/>
  <c r="S278" i="17"/>
  <c r="T277" i="17" s="1"/>
  <c r="R278" i="17"/>
  <c r="V277" i="17"/>
  <c r="W276" i="17" s="1"/>
  <c r="X275" i="17" s="1"/>
  <c r="Y274" i="17" s="1"/>
  <c r="Z273" i="17" s="1"/>
  <c r="AA272" i="17" s="1"/>
  <c r="AB271" i="17" s="1"/>
  <c r="AC270" i="17" s="1"/>
  <c r="AD269" i="17" s="1"/>
  <c r="AE268" i="17" s="1"/>
  <c r="AF267" i="17" s="1"/>
  <c r="AG266" i="17" s="1"/>
  <c r="S277" i="17"/>
  <c r="R277" i="17"/>
  <c r="U276" i="17"/>
  <c r="V275" i="17" s="1"/>
  <c r="W274" i="17" s="1"/>
  <c r="X273" i="17" s="1"/>
  <c r="Y272" i="17" s="1"/>
  <c r="Z271" i="17" s="1"/>
  <c r="AA270" i="17" s="1"/>
  <c r="AB269" i="17" s="1"/>
  <c r="AC268" i="17" s="1"/>
  <c r="AD267" i="17" s="1"/>
  <c r="AE266" i="17" s="1"/>
  <c r="AF265" i="17" s="1"/>
  <c r="AG264" i="17" s="1"/>
  <c r="T276" i="17"/>
  <c r="U275" i="17" s="1"/>
  <c r="V274" i="17" s="1"/>
  <c r="W273" i="17" s="1"/>
  <c r="X272" i="17" s="1"/>
  <c r="Y271" i="17" s="1"/>
  <c r="Z270" i="17" s="1"/>
  <c r="AA269" i="17" s="1"/>
  <c r="AB268" i="17" s="1"/>
  <c r="AC267" i="17" s="1"/>
  <c r="AD266" i="17" s="1"/>
  <c r="AE265" i="17" s="1"/>
  <c r="AF264" i="17" s="1"/>
  <c r="AG263" i="17" s="1"/>
  <c r="S276" i="17"/>
  <c r="T275" i="17" s="1"/>
  <c r="U274" i="17" s="1"/>
  <c r="V273" i="17" s="1"/>
  <c r="W272" i="17" s="1"/>
  <c r="X271" i="17" s="1"/>
  <c r="R276" i="17"/>
  <c r="S275" i="17"/>
  <c r="T274" i="17" s="1"/>
  <c r="R275" i="17"/>
  <c r="S274" i="17"/>
  <c r="T273" i="17" s="1"/>
  <c r="U272" i="17" s="1"/>
  <c r="V271" i="17" s="1"/>
  <c r="W270" i="17" s="1"/>
  <c r="X269" i="17" s="1"/>
  <c r="Y268" i="17" s="1"/>
  <c r="Z267" i="17" s="1"/>
  <c r="AA266" i="17" s="1"/>
  <c r="AB265" i="17" s="1"/>
  <c r="AC264" i="17" s="1"/>
  <c r="AD263" i="17" s="1"/>
  <c r="AE262" i="17" s="1"/>
  <c r="AF261" i="17" s="1"/>
  <c r="AG260" i="17" s="1"/>
  <c r="R274" i="17"/>
  <c r="U273" i="17"/>
  <c r="S273" i="17"/>
  <c r="R273" i="17"/>
  <c r="V272" i="17"/>
  <c r="W271" i="17" s="1"/>
  <c r="X270" i="17" s="1"/>
  <c r="Y269" i="17" s="1"/>
  <c r="Z268" i="17" s="1"/>
  <c r="AA267" i="17" s="1"/>
  <c r="AB266" i="17" s="1"/>
  <c r="AC265" i="17" s="1"/>
  <c r="AD264" i="17" s="1"/>
  <c r="AE263" i="17" s="1"/>
  <c r="AF262" i="17" s="1"/>
  <c r="AG261" i="17" s="1"/>
  <c r="T272" i="17"/>
  <c r="U271" i="17" s="1"/>
  <c r="V270" i="17" s="1"/>
  <c r="W269" i="17" s="1"/>
  <c r="X268" i="17" s="1"/>
  <c r="Y267" i="17" s="1"/>
  <c r="Z266" i="17" s="1"/>
  <c r="AA265" i="17" s="1"/>
  <c r="AB264" i="17" s="1"/>
  <c r="AC263" i="17" s="1"/>
  <c r="AD262" i="17" s="1"/>
  <c r="AE261" i="17" s="1"/>
  <c r="AF260" i="17" s="1"/>
  <c r="AG259" i="17" s="1"/>
  <c r="S272" i="17"/>
  <c r="T271" i="17" s="1"/>
  <c r="U270" i="17" s="1"/>
  <c r="V269" i="17" s="1"/>
  <c r="W268" i="17" s="1"/>
  <c r="X267" i="17" s="1"/>
  <c r="Y266" i="17" s="1"/>
  <c r="Z265" i="17" s="1"/>
  <c r="AA264" i="17" s="1"/>
  <c r="AB263" i="17" s="1"/>
  <c r="AC262" i="17" s="1"/>
  <c r="AD261" i="17" s="1"/>
  <c r="AE260" i="17" s="1"/>
  <c r="AF259" i="17" s="1"/>
  <c r="AG258" i="17" s="1"/>
  <c r="R272" i="17"/>
  <c r="S271" i="17"/>
  <c r="T270" i="17" s="1"/>
  <c r="U269" i="17" s="1"/>
  <c r="V268" i="17" s="1"/>
  <c r="W267" i="17" s="1"/>
  <c r="X266" i="17" s="1"/>
  <c r="R271" i="17"/>
  <c r="Y270" i="17"/>
  <c r="Z269" i="17" s="1"/>
  <c r="AA268" i="17" s="1"/>
  <c r="AB267" i="17" s="1"/>
  <c r="AC266" i="17" s="1"/>
  <c r="AD265" i="17" s="1"/>
  <c r="AE264" i="17" s="1"/>
  <c r="AF263" i="17" s="1"/>
  <c r="AG262" i="17" s="1"/>
  <c r="S270" i="17"/>
  <c r="T269" i="17" s="1"/>
  <c r="U268" i="17" s="1"/>
  <c r="V267" i="17" s="1"/>
  <c r="W266" i="17" s="1"/>
  <c r="X265" i="17" s="1"/>
  <c r="Y264" i="17" s="1"/>
  <c r="Z263" i="17" s="1"/>
  <c r="AA262" i="17" s="1"/>
  <c r="AB261" i="17" s="1"/>
  <c r="AC260" i="17" s="1"/>
  <c r="AD259" i="17" s="1"/>
  <c r="AE258" i="17" s="1"/>
  <c r="AF257" i="17" s="1"/>
  <c r="AG256" i="17" s="1"/>
  <c r="R270" i="17"/>
  <c r="S269" i="17"/>
  <c r="T268" i="17" s="1"/>
  <c r="R269" i="17"/>
  <c r="S268" i="17"/>
  <c r="T267" i="17" s="1"/>
  <c r="U266" i="17" s="1"/>
  <c r="V265" i="17" s="1"/>
  <c r="W264" i="17" s="1"/>
  <c r="X263" i="17" s="1"/>
  <c r="Y262" i="17" s="1"/>
  <c r="Z261" i="17" s="1"/>
  <c r="AA260" i="17" s="1"/>
  <c r="AB259" i="17" s="1"/>
  <c r="AC258" i="17" s="1"/>
  <c r="AD257" i="17" s="1"/>
  <c r="AE256" i="17" s="1"/>
  <c r="AF255" i="17" s="1"/>
  <c r="AG254" i="17" s="1"/>
  <c r="R268" i="17"/>
  <c r="U267" i="17"/>
  <c r="V266" i="17" s="1"/>
  <c r="W265" i="17" s="1"/>
  <c r="X264" i="17" s="1"/>
  <c r="Y263" i="17" s="1"/>
  <c r="Z262" i="17" s="1"/>
  <c r="AA261" i="17" s="1"/>
  <c r="AB260" i="17" s="1"/>
  <c r="AC259" i="17" s="1"/>
  <c r="AD258" i="17" s="1"/>
  <c r="AE257" i="17" s="1"/>
  <c r="AF256" i="17" s="1"/>
  <c r="AG255" i="17" s="1"/>
  <c r="S267" i="17"/>
  <c r="T266" i="17" s="1"/>
  <c r="U265" i="17" s="1"/>
  <c r="V264" i="17" s="1"/>
  <c r="W263" i="17" s="1"/>
  <c r="X262" i="17" s="1"/>
  <c r="Y261" i="17" s="1"/>
  <c r="Z260" i="17" s="1"/>
  <c r="AA259" i="17" s="1"/>
  <c r="AB258" i="17" s="1"/>
  <c r="AC257" i="17" s="1"/>
  <c r="AD256" i="17" s="1"/>
  <c r="AE255" i="17" s="1"/>
  <c r="AF254" i="17" s="1"/>
  <c r="AG253" i="17" s="1"/>
  <c r="R267" i="17"/>
  <c r="S266" i="17"/>
  <c r="T265" i="17" s="1"/>
  <c r="R266" i="17"/>
  <c r="Y265" i="17"/>
  <c r="Z264" i="17" s="1"/>
  <c r="AA263" i="17" s="1"/>
  <c r="AB262" i="17" s="1"/>
  <c r="AC261" i="17" s="1"/>
  <c r="AD260" i="17" s="1"/>
  <c r="AE259" i="17" s="1"/>
  <c r="AF258" i="17" s="1"/>
  <c r="AG257" i="17" s="1"/>
  <c r="S265" i="17"/>
  <c r="T264" i="17" s="1"/>
  <c r="U263" i="17" s="1"/>
  <c r="V262" i="17" s="1"/>
  <c r="W261" i="17" s="1"/>
  <c r="X260" i="17" s="1"/>
  <c r="Y259" i="17" s="1"/>
  <c r="Z258" i="17" s="1"/>
  <c r="AA257" i="17" s="1"/>
  <c r="AB256" i="17" s="1"/>
  <c r="AC255" i="17" s="1"/>
  <c r="AD254" i="17" s="1"/>
  <c r="AE253" i="17" s="1"/>
  <c r="AF252" i="17" s="1"/>
  <c r="AG251" i="17" s="1"/>
  <c r="R265" i="17"/>
  <c r="U264" i="17"/>
  <c r="V263" i="17" s="1"/>
  <c r="S264" i="17"/>
  <c r="T263" i="17" s="1"/>
  <c r="U262" i="17" s="1"/>
  <c r="V261" i="17" s="1"/>
  <c r="W260" i="17" s="1"/>
  <c r="X259" i="17" s="1"/>
  <c r="Y258" i="17" s="1"/>
  <c r="Z257" i="17" s="1"/>
  <c r="AA256" i="17" s="1"/>
  <c r="AB255" i="17" s="1"/>
  <c r="AC254" i="17" s="1"/>
  <c r="AD253" i="17" s="1"/>
  <c r="AE252" i="17" s="1"/>
  <c r="AF251" i="17" s="1"/>
  <c r="AG250" i="17" s="1"/>
  <c r="R264" i="17"/>
  <c r="S263" i="17"/>
  <c r="T262" i="17" s="1"/>
  <c r="U261" i="17" s="1"/>
  <c r="V260" i="17" s="1"/>
  <c r="W259" i="17" s="1"/>
  <c r="X258" i="17" s="1"/>
  <c r="Y257" i="17" s="1"/>
  <c r="Z256" i="17" s="1"/>
  <c r="AA255" i="17" s="1"/>
  <c r="AB254" i="17" s="1"/>
  <c r="AC253" i="17" s="1"/>
  <c r="AD252" i="17" s="1"/>
  <c r="AE251" i="17" s="1"/>
  <c r="AF250" i="17" s="1"/>
  <c r="AG249" i="17" s="1"/>
  <c r="R263" i="17"/>
  <c r="W262" i="17"/>
  <c r="X261" i="17" s="1"/>
  <c r="Y260" i="17" s="1"/>
  <c r="Z259" i="17" s="1"/>
  <c r="AA258" i="17" s="1"/>
  <c r="AB257" i="17" s="1"/>
  <c r="AC256" i="17" s="1"/>
  <c r="AD255" i="17" s="1"/>
  <c r="AE254" i="17" s="1"/>
  <c r="AF253" i="17" s="1"/>
  <c r="AG252" i="17" s="1"/>
  <c r="S262" i="17"/>
  <c r="T261" i="17" s="1"/>
  <c r="U260" i="17" s="1"/>
  <c r="V259" i="17" s="1"/>
  <c r="W258" i="17" s="1"/>
  <c r="X257" i="17" s="1"/>
  <c r="Y256" i="17" s="1"/>
  <c r="Z255" i="17" s="1"/>
  <c r="AA254" i="17" s="1"/>
  <c r="AB253" i="17" s="1"/>
  <c r="AC252" i="17" s="1"/>
  <c r="AD251" i="17" s="1"/>
  <c r="AE250" i="17" s="1"/>
  <c r="AF249" i="17" s="1"/>
  <c r="AG248" i="17" s="1"/>
  <c r="R262" i="17"/>
  <c r="S261" i="17"/>
  <c r="T260" i="17" s="1"/>
  <c r="R261" i="17"/>
  <c r="S260" i="17"/>
  <c r="R260" i="17"/>
  <c r="U259" i="17"/>
  <c r="V258" i="17" s="1"/>
  <c r="W257" i="17" s="1"/>
  <c r="X256" i="17" s="1"/>
  <c r="Y255" i="17" s="1"/>
  <c r="Z254" i="17" s="1"/>
  <c r="AA253" i="17" s="1"/>
  <c r="AB252" i="17" s="1"/>
  <c r="AC251" i="17" s="1"/>
  <c r="AD250" i="17" s="1"/>
  <c r="AE249" i="17" s="1"/>
  <c r="AF248" i="17" s="1"/>
  <c r="AG247" i="17" s="1"/>
  <c r="T259" i="17"/>
  <c r="U258" i="17" s="1"/>
  <c r="V257" i="17" s="1"/>
  <c r="W256" i="17" s="1"/>
  <c r="X255" i="17" s="1"/>
  <c r="Y254" i="17" s="1"/>
  <c r="Z253" i="17" s="1"/>
  <c r="AA252" i="17" s="1"/>
  <c r="AB251" i="17" s="1"/>
  <c r="AC250" i="17" s="1"/>
  <c r="AD249" i="17" s="1"/>
  <c r="AE248" i="17" s="1"/>
  <c r="AF247" i="17" s="1"/>
  <c r="AG246" i="17" s="1"/>
  <c r="S259" i="17"/>
  <c r="T258" i="17" s="1"/>
  <c r="U257" i="17" s="1"/>
  <c r="V256" i="17" s="1"/>
  <c r="W255" i="17" s="1"/>
  <c r="X254" i="17" s="1"/>
  <c r="Y253" i="17" s="1"/>
  <c r="Z252" i="17" s="1"/>
  <c r="AA251" i="17" s="1"/>
  <c r="AB250" i="17" s="1"/>
  <c r="AC249" i="17" s="1"/>
  <c r="AD248" i="17" s="1"/>
  <c r="AE247" i="17" s="1"/>
  <c r="AF246" i="17" s="1"/>
  <c r="AG245" i="17" s="1"/>
  <c r="R259" i="17"/>
  <c r="S258" i="17"/>
  <c r="T257" i="17" s="1"/>
  <c r="U256" i="17" s="1"/>
  <c r="V255" i="17" s="1"/>
  <c r="W254" i="17" s="1"/>
  <c r="X253" i="17" s="1"/>
  <c r="Y252" i="17" s="1"/>
  <c r="Z251" i="17" s="1"/>
  <c r="AA250" i="17" s="1"/>
  <c r="AB249" i="17" s="1"/>
  <c r="AC248" i="17" s="1"/>
  <c r="AD247" i="17" s="1"/>
  <c r="AE246" i="17" s="1"/>
  <c r="AF245" i="17" s="1"/>
  <c r="AG244" i="17" s="1"/>
  <c r="R258" i="17"/>
  <c r="S257" i="17"/>
  <c r="R257" i="17"/>
  <c r="T256" i="17"/>
  <c r="U255" i="17" s="1"/>
  <c r="V254" i="17" s="1"/>
  <c r="W253" i="17" s="1"/>
  <c r="X252" i="17" s="1"/>
  <c r="Y251" i="17" s="1"/>
  <c r="Z250" i="17" s="1"/>
  <c r="AA249" i="17" s="1"/>
  <c r="AB248" i="17" s="1"/>
  <c r="AC247" i="17" s="1"/>
  <c r="AD246" i="17" s="1"/>
  <c r="AE245" i="17" s="1"/>
  <c r="AF244" i="17" s="1"/>
  <c r="AG243" i="17" s="1"/>
  <c r="S256" i="17"/>
  <c r="T255" i="17" s="1"/>
  <c r="U254" i="17" s="1"/>
  <c r="V253" i="17" s="1"/>
  <c r="W252" i="17" s="1"/>
  <c r="X251" i="17" s="1"/>
  <c r="Y250" i="17" s="1"/>
  <c r="Z249" i="17" s="1"/>
  <c r="AA248" i="17" s="1"/>
  <c r="AB247" i="17" s="1"/>
  <c r="AC246" i="17" s="1"/>
  <c r="AD245" i="17" s="1"/>
  <c r="AE244" i="17" s="1"/>
  <c r="AF243" i="17" s="1"/>
  <c r="AG242" i="17" s="1"/>
  <c r="R256" i="17"/>
  <c r="S255" i="17"/>
  <c r="R255" i="17"/>
  <c r="T254" i="17"/>
  <c r="U253" i="17" s="1"/>
  <c r="V252" i="17" s="1"/>
  <c r="W251" i="17" s="1"/>
  <c r="X250" i="17" s="1"/>
  <c r="Y249" i="17" s="1"/>
  <c r="Z248" i="17" s="1"/>
  <c r="AA247" i="17" s="1"/>
  <c r="AB246" i="17" s="1"/>
  <c r="AC245" i="17" s="1"/>
  <c r="AD244" i="17" s="1"/>
  <c r="AE243" i="17" s="1"/>
  <c r="AF242" i="17" s="1"/>
  <c r="AG241" i="17" s="1"/>
  <c r="S254" i="17"/>
  <c r="T253" i="17" s="1"/>
  <c r="U252" i="17" s="1"/>
  <c r="V251" i="17" s="1"/>
  <c r="W250" i="17" s="1"/>
  <c r="X249" i="17" s="1"/>
  <c r="Y248" i="17" s="1"/>
  <c r="Z247" i="17" s="1"/>
  <c r="AA246" i="17" s="1"/>
  <c r="AB245" i="17" s="1"/>
  <c r="AC244" i="17" s="1"/>
  <c r="AD243" i="17" s="1"/>
  <c r="AE242" i="17" s="1"/>
  <c r="AF241" i="17" s="1"/>
  <c r="AG240" i="17" s="1"/>
  <c r="R254" i="17"/>
  <c r="S253" i="17"/>
  <c r="T252" i="17" s="1"/>
  <c r="R253" i="17"/>
  <c r="S252" i="17"/>
  <c r="T251" i="17" s="1"/>
  <c r="U250" i="17" s="1"/>
  <c r="V249" i="17" s="1"/>
  <c r="W248" i="17" s="1"/>
  <c r="X247" i="17" s="1"/>
  <c r="Y246" i="17" s="1"/>
  <c r="Z245" i="17" s="1"/>
  <c r="AA244" i="17" s="1"/>
  <c r="AB243" i="17" s="1"/>
  <c r="AC242" i="17" s="1"/>
  <c r="AD241" i="17" s="1"/>
  <c r="AE240" i="17" s="1"/>
  <c r="AF239" i="17" s="1"/>
  <c r="AG238" i="17" s="1"/>
  <c r="R252" i="17"/>
  <c r="U251" i="17"/>
  <c r="V250" i="17" s="1"/>
  <c r="W249" i="17" s="1"/>
  <c r="X248" i="17" s="1"/>
  <c r="Y247" i="17" s="1"/>
  <c r="Z246" i="17" s="1"/>
  <c r="AA245" i="17" s="1"/>
  <c r="AB244" i="17" s="1"/>
  <c r="AC243" i="17" s="1"/>
  <c r="AD242" i="17" s="1"/>
  <c r="AE241" i="17" s="1"/>
  <c r="AF240" i="17" s="1"/>
  <c r="AG239" i="17" s="1"/>
  <c r="S251" i="17"/>
  <c r="R251" i="17"/>
  <c r="T250" i="17"/>
  <c r="U249" i="17" s="1"/>
  <c r="V248" i="17" s="1"/>
  <c r="W247" i="17" s="1"/>
  <c r="X246" i="17" s="1"/>
  <c r="Y245" i="17" s="1"/>
  <c r="Z244" i="17" s="1"/>
  <c r="AA243" i="17" s="1"/>
  <c r="AB242" i="17" s="1"/>
  <c r="AC241" i="17" s="1"/>
  <c r="AD240" i="17" s="1"/>
  <c r="AE239" i="17" s="1"/>
  <c r="AF238" i="17" s="1"/>
  <c r="AG237" i="17" s="1"/>
  <c r="S250" i="17"/>
  <c r="T249" i="17" s="1"/>
  <c r="U248" i="17" s="1"/>
  <c r="V247" i="17" s="1"/>
  <c r="W246" i="17" s="1"/>
  <c r="X245" i="17" s="1"/>
  <c r="Y244" i="17" s="1"/>
  <c r="Z243" i="17" s="1"/>
  <c r="AA242" i="17" s="1"/>
  <c r="AB241" i="17" s="1"/>
  <c r="AC240" i="17" s="1"/>
  <c r="AD239" i="17" s="1"/>
  <c r="AE238" i="17" s="1"/>
  <c r="AF237" i="17" s="1"/>
  <c r="AG236" i="17" s="1"/>
  <c r="R250" i="17"/>
  <c r="S249" i="17"/>
  <c r="R249" i="17"/>
  <c r="T248" i="17"/>
  <c r="U247" i="17" s="1"/>
  <c r="V246" i="17" s="1"/>
  <c r="W245" i="17" s="1"/>
  <c r="X244" i="17" s="1"/>
  <c r="Y243" i="17" s="1"/>
  <c r="Z242" i="17" s="1"/>
  <c r="AA241" i="17" s="1"/>
  <c r="AB240" i="17" s="1"/>
  <c r="AC239" i="17" s="1"/>
  <c r="AD238" i="17" s="1"/>
  <c r="AE237" i="17" s="1"/>
  <c r="AF236" i="17" s="1"/>
  <c r="AG235" i="17" s="1"/>
  <c r="S248" i="17"/>
  <c r="T247" i="17" s="1"/>
  <c r="U246" i="17" s="1"/>
  <c r="V245" i="17" s="1"/>
  <c r="W244" i="17" s="1"/>
  <c r="X243" i="17" s="1"/>
  <c r="Y242" i="17" s="1"/>
  <c r="Z241" i="17" s="1"/>
  <c r="AA240" i="17" s="1"/>
  <c r="AB239" i="17" s="1"/>
  <c r="AC238" i="17" s="1"/>
  <c r="AD237" i="17" s="1"/>
  <c r="AE236" i="17" s="1"/>
  <c r="AF235" i="17" s="1"/>
  <c r="AG234" i="17" s="1"/>
  <c r="R248" i="17"/>
  <c r="S247" i="17"/>
  <c r="T246" i="17" s="1"/>
  <c r="R247" i="17"/>
  <c r="S246" i="17"/>
  <c r="R246" i="17"/>
  <c r="U245" i="17"/>
  <c r="V244" i="17" s="1"/>
  <c r="W243" i="17" s="1"/>
  <c r="X242" i="17" s="1"/>
  <c r="Y241" i="17" s="1"/>
  <c r="Z240" i="17" s="1"/>
  <c r="AA239" i="17" s="1"/>
  <c r="AB238" i="17" s="1"/>
  <c r="AC237" i="17" s="1"/>
  <c r="AD236" i="17" s="1"/>
  <c r="AE235" i="17" s="1"/>
  <c r="AF234" i="17" s="1"/>
  <c r="AG233" i="17" s="1"/>
  <c r="T245" i="17"/>
  <c r="U244" i="17" s="1"/>
  <c r="V243" i="17" s="1"/>
  <c r="W242" i="17" s="1"/>
  <c r="X241" i="17" s="1"/>
  <c r="Y240" i="17" s="1"/>
  <c r="Z239" i="17" s="1"/>
  <c r="AA238" i="17" s="1"/>
  <c r="AB237" i="17" s="1"/>
  <c r="AC236" i="17" s="1"/>
  <c r="AD235" i="17" s="1"/>
  <c r="AE234" i="17" s="1"/>
  <c r="AF233" i="17" s="1"/>
  <c r="AG232" i="17" s="1"/>
  <c r="S245" i="17"/>
  <c r="T244" i="17" s="1"/>
  <c r="U243" i="17" s="1"/>
  <c r="V242" i="17" s="1"/>
  <c r="W241" i="17" s="1"/>
  <c r="X240" i="17" s="1"/>
  <c r="Y239" i="17" s="1"/>
  <c r="Z238" i="17" s="1"/>
  <c r="AA237" i="17" s="1"/>
  <c r="AB236" i="17" s="1"/>
  <c r="AC235" i="17" s="1"/>
  <c r="AD234" i="17" s="1"/>
  <c r="AE233" i="17" s="1"/>
  <c r="AF232" i="17" s="1"/>
  <c r="AG231" i="17" s="1"/>
  <c r="R245" i="17"/>
  <c r="S244" i="17"/>
  <c r="T243" i="17" s="1"/>
  <c r="U242" i="17" s="1"/>
  <c r="R244" i="17"/>
  <c r="S243" i="17"/>
  <c r="T242" i="17" s="1"/>
  <c r="U241" i="17" s="1"/>
  <c r="V240" i="17" s="1"/>
  <c r="W239" i="17" s="1"/>
  <c r="X238" i="17" s="1"/>
  <c r="Y237" i="17" s="1"/>
  <c r="Z236" i="17" s="1"/>
  <c r="AA235" i="17" s="1"/>
  <c r="AB234" i="17" s="1"/>
  <c r="AC233" i="17" s="1"/>
  <c r="AD232" i="17" s="1"/>
  <c r="AE231" i="17" s="1"/>
  <c r="AF230" i="17" s="1"/>
  <c r="AG229" i="17" s="1"/>
  <c r="R243" i="17"/>
  <c r="S242" i="17"/>
  <c r="T241" i="17" s="1"/>
  <c r="U240" i="17" s="1"/>
  <c r="V239" i="17" s="1"/>
  <c r="W238" i="17" s="1"/>
  <c r="X237" i="17" s="1"/>
  <c r="Y236" i="17" s="1"/>
  <c r="Z235" i="17" s="1"/>
  <c r="AA234" i="17" s="1"/>
  <c r="AB233" i="17" s="1"/>
  <c r="AC232" i="17" s="1"/>
  <c r="AD231" i="17" s="1"/>
  <c r="AE230" i="17" s="1"/>
  <c r="AF229" i="17" s="1"/>
  <c r="AG228" i="17" s="1"/>
  <c r="R242" i="17"/>
  <c r="V241" i="17"/>
  <c r="S241" i="17"/>
  <c r="T240" i="17" s="1"/>
  <c r="U239" i="17" s="1"/>
  <c r="V238" i="17" s="1"/>
  <c r="W237" i="17" s="1"/>
  <c r="X236" i="17" s="1"/>
  <c r="Y235" i="17" s="1"/>
  <c r="Z234" i="17" s="1"/>
  <c r="AA233" i="17" s="1"/>
  <c r="AB232" i="17" s="1"/>
  <c r="AC231" i="17" s="1"/>
  <c r="AD230" i="17" s="1"/>
  <c r="AE229" i="17" s="1"/>
  <c r="AF228" i="17" s="1"/>
  <c r="AG227" i="17" s="1"/>
  <c r="R241" i="17"/>
  <c r="W240" i="17"/>
  <c r="X239" i="17" s="1"/>
  <c r="Y238" i="17" s="1"/>
  <c r="Z237" i="17" s="1"/>
  <c r="AA236" i="17" s="1"/>
  <c r="AB235" i="17" s="1"/>
  <c r="AC234" i="17" s="1"/>
  <c r="AD233" i="17" s="1"/>
  <c r="AE232" i="17" s="1"/>
  <c r="AF231" i="17" s="1"/>
  <c r="AG230" i="17" s="1"/>
  <c r="S240" i="17"/>
  <c r="T239" i="17" s="1"/>
  <c r="U238" i="17" s="1"/>
  <c r="V237" i="17" s="1"/>
  <c r="W236" i="17" s="1"/>
  <c r="X235" i="17" s="1"/>
  <c r="Y234" i="17" s="1"/>
  <c r="Z233" i="17" s="1"/>
  <c r="AA232" i="17" s="1"/>
  <c r="AB231" i="17" s="1"/>
  <c r="AC230" i="17" s="1"/>
  <c r="AD229" i="17" s="1"/>
  <c r="AE228" i="17" s="1"/>
  <c r="AF227" i="17" s="1"/>
  <c r="AG226" i="17" s="1"/>
  <c r="R240" i="17"/>
  <c r="S239" i="17"/>
  <c r="T238" i="17" s="1"/>
  <c r="U237" i="17" s="1"/>
  <c r="V236" i="17" s="1"/>
  <c r="W235" i="17" s="1"/>
  <c r="X234" i="17" s="1"/>
  <c r="Y233" i="17" s="1"/>
  <c r="Z232" i="17" s="1"/>
  <c r="AA231" i="17" s="1"/>
  <c r="AB230" i="17" s="1"/>
  <c r="AC229" i="17" s="1"/>
  <c r="AD228" i="17" s="1"/>
  <c r="AE227" i="17" s="1"/>
  <c r="AF226" i="17" s="1"/>
  <c r="AG225" i="17" s="1"/>
  <c r="R239" i="17"/>
  <c r="S238" i="17"/>
  <c r="R238" i="17"/>
  <c r="T237" i="17"/>
  <c r="S237" i="17"/>
  <c r="T236" i="17" s="1"/>
  <c r="U235" i="17" s="1"/>
  <c r="V234" i="17" s="1"/>
  <c r="W233" i="17" s="1"/>
  <c r="X232" i="17" s="1"/>
  <c r="Y231" i="17" s="1"/>
  <c r="Z230" i="17" s="1"/>
  <c r="AA229" i="17" s="1"/>
  <c r="AB228" i="17" s="1"/>
  <c r="AC227" i="17" s="1"/>
  <c r="AD226" i="17" s="1"/>
  <c r="AE225" i="17" s="1"/>
  <c r="AF224" i="17" s="1"/>
  <c r="AG223" i="17" s="1"/>
  <c r="R237" i="17"/>
  <c r="U236" i="17"/>
  <c r="V235" i="17" s="1"/>
  <c r="W234" i="17" s="1"/>
  <c r="X233" i="17" s="1"/>
  <c r="Y232" i="17" s="1"/>
  <c r="Z231" i="17" s="1"/>
  <c r="AA230" i="17" s="1"/>
  <c r="AB229" i="17" s="1"/>
  <c r="AC228" i="17" s="1"/>
  <c r="AD227" i="17" s="1"/>
  <c r="AE226" i="17" s="1"/>
  <c r="AF225" i="17" s="1"/>
  <c r="AG224" i="17" s="1"/>
  <c r="S236" i="17"/>
  <c r="R236" i="17"/>
  <c r="T235" i="17"/>
  <c r="S235" i="17"/>
  <c r="T234" i="17" s="1"/>
  <c r="U233" i="17" s="1"/>
  <c r="V232" i="17" s="1"/>
  <c r="W231" i="17" s="1"/>
  <c r="X230" i="17" s="1"/>
  <c r="Y229" i="17" s="1"/>
  <c r="Z228" i="17" s="1"/>
  <c r="AA227" i="17" s="1"/>
  <c r="AB226" i="17" s="1"/>
  <c r="AC225" i="17" s="1"/>
  <c r="AD224" i="17" s="1"/>
  <c r="AE223" i="17" s="1"/>
  <c r="AF222" i="17" s="1"/>
  <c r="AG221" i="17" s="1"/>
  <c r="R235" i="17"/>
  <c r="U234" i="17"/>
  <c r="V233" i="17" s="1"/>
  <c r="W232" i="17" s="1"/>
  <c r="X231" i="17" s="1"/>
  <c r="Y230" i="17" s="1"/>
  <c r="Z229" i="17" s="1"/>
  <c r="AA228" i="17" s="1"/>
  <c r="AB227" i="17" s="1"/>
  <c r="AC226" i="17" s="1"/>
  <c r="AD225" i="17" s="1"/>
  <c r="AE224" i="17" s="1"/>
  <c r="AF223" i="17" s="1"/>
  <c r="AG222" i="17" s="1"/>
  <c r="S234" i="17"/>
  <c r="T233" i="17" s="1"/>
  <c r="U232" i="17" s="1"/>
  <c r="V231" i="17" s="1"/>
  <c r="R234" i="17"/>
  <c r="S233" i="17"/>
  <c r="R233" i="17"/>
  <c r="T232" i="17"/>
  <c r="U231" i="17" s="1"/>
  <c r="V230" i="17" s="1"/>
  <c r="W229" i="17" s="1"/>
  <c r="X228" i="17" s="1"/>
  <c r="Y227" i="17" s="1"/>
  <c r="Z226" i="17" s="1"/>
  <c r="AA225" i="17" s="1"/>
  <c r="AB224" i="17" s="1"/>
  <c r="AC223" i="17" s="1"/>
  <c r="AD222" i="17" s="1"/>
  <c r="AE221" i="17" s="1"/>
  <c r="AF220" i="17" s="1"/>
  <c r="AG219" i="17" s="1"/>
  <c r="S232" i="17"/>
  <c r="T231" i="17" s="1"/>
  <c r="U230" i="17" s="1"/>
  <c r="V229" i="17" s="1"/>
  <c r="W228" i="17" s="1"/>
  <c r="X227" i="17" s="1"/>
  <c r="Y226" i="17" s="1"/>
  <c r="Z225" i="17" s="1"/>
  <c r="AA224" i="17" s="1"/>
  <c r="AB223" i="17" s="1"/>
  <c r="AC222" i="17" s="1"/>
  <c r="AD221" i="17" s="1"/>
  <c r="AE220" i="17" s="1"/>
  <c r="AF219" i="17" s="1"/>
  <c r="AG218" i="17" s="1"/>
  <c r="R232" i="17"/>
  <c r="S231" i="17"/>
  <c r="R231" i="17"/>
  <c r="W230" i="17"/>
  <c r="X229" i="17" s="1"/>
  <c r="Y228" i="17" s="1"/>
  <c r="Z227" i="17" s="1"/>
  <c r="AA226" i="17" s="1"/>
  <c r="AB225" i="17" s="1"/>
  <c r="AC224" i="17" s="1"/>
  <c r="AD223" i="17" s="1"/>
  <c r="AE222" i="17" s="1"/>
  <c r="AF221" i="17" s="1"/>
  <c r="AG220" i="17" s="1"/>
  <c r="T230" i="17"/>
  <c r="U229" i="17" s="1"/>
  <c r="V228" i="17" s="1"/>
  <c r="W227" i="17" s="1"/>
  <c r="X226" i="17" s="1"/>
  <c r="Y225" i="17" s="1"/>
  <c r="Z224" i="17" s="1"/>
  <c r="AA223" i="17" s="1"/>
  <c r="AB222" i="17" s="1"/>
  <c r="AC221" i="17" s="1"/>
  <c r="AD220" i="17" s="1"/>
  <c r="AE219" i="17" s="1"/>
  <c r="AF218" i="17" s="1"/>
  <c r="AG217" i="17" s="1"/>
  <c r="S230" i="17"/>
  <c r="T229" i="17" s="1"/>
  <c r="U228" i="17" s="1"/>
  <c r="V227" i="17" s="1"/>
  <c r="W226" i="17" s="1"/>
  <c r="X225" i="17" s="1"/>
  <c r="Y224" i="17" s="1"/>
  <c r="Z223" i="17" s="1"/>
  <c r="AA222" i="17" s="1"/>
  <c r="AB221" i="17" s="1"/>
  <c r="AC220" i="17" s="1"/>
  <c r="AD219" i="17" s="1"/>
  <c r="AE218" i="17" s="1"/>
  <c r="AF217" i="17" s="1"/>
  <c r="AG216" i="17" s="1"/>
  <c r="R230" i="17"/>
  <c r="S229" i="17"/>
  <c r="T228" i="17" s="1"/>
  <c r="U227" i="17" s="1"/>
  <c r="V226" i="17" s="1"/>
  <c r="W225" i="17" s="1"/>
  <c r="X224" i="17" s="1"/>
  <c r="Y223" i="17" s="1"/>
  <c r="Z222" i="17" s="1"/>
  <c r="AA221" i="17" s="1"/>
  <c r="AB220" i="17" s="1"/>
  <c r="AC219" i="17" s="1"/>
  <c r="AD218" i="17" s="1"/>
  <c r="AE217" i="17" s="1"/>
  <c r="AF216" i="17" s="1"/>
  <c r="AG215" i="17" s="1"/>
  <c r="R229" i="17"/>
  <c r="S228" i="17"/>
  <c r="T227" i="17" s="1"/>
  <c r="U226" i="17" s="1"/>
  <c r="V225" i="17" s="1"/>
  <c r="W224" i="17" s="1"/>
  <c r="X223" i="17" s="1"/>
  <c r="Y222" i="17" s="1"/>
  <c r="Z221" i="17" s="1"/>
  <c r="AA220" i="17" s="1"/>
  <c r="AB219" i="17" s="1"/>
  <c r="AC218" i="17" s="1"/>
  <c r="AD217" i="17" s="1"/>
  <c r="AE216" i="17" s="1"/>
  <c r="AF215" i="17" s="1"/>
  <c r="AG214" i="17" s="1"/>
  <c r="R228" i="17"/>
  <c r="S227" i="17"/>
  <c r="T226" i="17" s="1"/>
  <c r="R227" i="17"/>
  <c r="S226" i="17"/>
  <c r="T225" i="17" s="1"/>
  <c r="U224" i="17" s="1"/>
  <c r="V223" i="17" s="1"/>
  <c r="W222" i="17" s="1"/>
  <c r="X221" i="17" s="1"/>
  <c r="Y220" i="17" s="1"/>
  <c r="Z219" i="17" s="1"/>
  <c r="AA218" i="17" s="1"/>
  <c r="AB217" i="17" s="1"/>
  <c r="AC216" i="17" s="1"/>
  <c r="AD215" i="17" s="1"/>
  <c r="AE214" i="17" s="1"/>
  <c r="AF213" i="17" s="1"/>
  <c r="AG212" i="17" s="1"/>
  <c r="R226" i="17"/>
  <c r="U225" i="17"/>
  <c r="S225" i="17"/>
  <c r="R225" i="17"/>
  <c r="V224" i="17"/>
  <c r="W223" i="17" s="1"/>
  <c r="X222" i="17" s="1"/>
  <c r="Y221" i="17" s="1"/>
  <c r="Z220" i="17" s="1"/>
  <c r="AA219" i="17" s="1"/>
  <c r="AB218" i="17" s="1"/>
  <c r="AC217" i="17" s="1"/>
  <c r="AD216" i="17" s="1"/>
  <c r="AE215" i="17" s="1"/>
  <c r="AF214" i="17" s="1"/>
  <c r="AG213" i="17" s="1"/>
  <c r="T224" i="17"/>
  <c r="U223" i="17" s="1"/>
  <c r="V222" i="17" s="1"/>
  <c r="W221" i="17" s="1"/>
  <c r="X220" i="17" s="1"/>
  <c r="Y219" i="17" s="1"/>
  <c r="Z218" i="17" s="1"/>
  <c r="AA217" i="17" s="1"/>
  <c r="AB216" i="17" s="1"/>
  <c r="AC215" i="17" s="1"/>
  <c r="AD214" i="17" s="1"/>
  <c r="AE213" i="17" s="1"/>
  <c r="AF212" i="17" s="1"/>
  <c r="AG211" i="17" s="1"/>
  <c r="S224" i="17"/>
  <c r="T223" i="17" s="1"/>
  <c r="U222" i="17" s="1"/>
  <c r="V221" i="17" s="1"/>
  <c r="W220" i="17" s="1"/>
  <c r="X219" i="17" s="1"/>
  <c r="Y218" i="17" s="1"/>
  <c r="Z217" i="17" s="1"/>
  <c r="AA216" i="17" s="1"/>
  <c r="AB215" i="17" s="1"/>
  <c r="AC214" i="17" s="1"/>
  <c r="AD213" i="17" s="1"/>
  <c r="AE212" i="17" s="1"/>
  <c r="AF211" i="17" s="1"/>
  <c r="AG210" i="17" s="1"/>
  <c r="R224" i="17"/>
  <c r="S223" i="17"/>
  <c r="T222" i="17" s="1"/>
  <c r="U221" i="17" s="1"/>
  <c r="V220" i="17" s="1"/>
  <c r="W219" i="17" s="1"/>
  <c r="X218" i="17" s="1"/>
  <c r="Y217" i="17" s="1"/>
  <c r="Z216" i="17" s="1"/>
  <c r="AA215" i="17" s="1"/>
  <c r="AB214" i="17" s="1"/>
  <c r="AC213" i="17" s="1"/>
  <c r="AD212" i="17" s="1"/>
  <c r="AE211" i="17" s="1"/>
  <c r="AF210" i="17" s="1"/>
  <c r="AG209" i="17" s="1"/>
  <c r="R223" i="17"/>
  <c r="S222" i="17"/>
  <c r="T221" i="17" s="1"/>
  <c r="U220" i="17" s="1"/>
  <c r="V219" i="17" s="1"/>
  <c r="W218" i="17" s="1"/>
  <c r="X217" i="17" s="1"/>
  <c r="Y216" i="17" s="1"/>
  <c r="Z215" i="17" s="1"/>
  <c r="AA214" i="17" s="1"/>
  <c r="AB213" i="17" s="1"/>
  <c r="AC212" i="17" s="1"/>
  <c r="AD211" i="17" s="1"/>
  <c r="AE210" i="17" s="1"/>
  <c r="AF209" i="17" s="1"/>
  <c r="AG208" i="17" s="1"/>
  <c r="R222" i="17"/>
  <c r="S221" i="17"/>
  <c r="T220" i="17" s="1"/>
  <c r="U219" i="17" s="1"/>
  <c r="V218" i="17" s="1"/>
  <c r="W217" i="17" s="1"/>
  <c r="X216" i="17" s="1"/>
  <c r="Y215" i="17" s="1"/>
  <c r="Z214" i="17" s="1"/>
  <c r="R221" i="17"/>
  <c r="S220" i="17"/>
  <c r="R220" i="17"/>
  <c r="T219" i="17"/>
  <c r="U218" i="17" s="1"/>
  <c r="V217" i="17" s="1"/>
  <c r="W216" i="17" s="1"/>
  <c r="X215" i="17" s="1"/>
  <c r="Y214" i="17" s="1"/>
  <c r="Z213" i="17" s="1"/>
  <c r="AA212" i="17" s="1"/>
  <c r="AB211" i="17" s="1"/>
  <c r="AC210" i="17" s="1"/>
  <c r="AD209" i="17" s="1"/>
  <c r="AE208" i="17" s="1"/>
  <c r="AF207" i="17" s="1"/>
  <c r="AG206" i="17" s="1"/>
  <c r="S219" i="17"/>
  <c r="T218" i="17" s="1"/>
  <c r="U217" i="17" s="1"/>
  <c r="V216" i="17" s="1"/>
  <c r="W215" i="17" s="1"/>
  <c r="X214" i="17" s="1"/>
  <c r="R219" i="17"/>
  <c r="S218" i="17"/>
  <c r="R218" i="17"/>
  <c r="T217" i="17"/>
  <c r="U216" i="17" s="1"/>
  <c r="V215" i="17" s="1"/>
  <c r="W214" i="17" s="1"/>
  <c r="X213" i="17" s="1"/>
  <c r="Y212" i="17" s="1"/>
  <c r="Z211" i="17" s="1"/>
  <c r="AA210" i="17" s="1"/>
  <c r="AB209" i="17" s="1"/>
  <c r="AC208" i="17" s="1"/>
  <c r="AD207" i="17" s="1"/>
  <c r="AE206" i="17" s="1"/>
  <c r="AF205" i="17" s="1"/>
  <c r="AG204" i="17" s="1"/>
  <c r="S217" i="17"/>
  <c r="T216" i="17" s="1"/>
  <c r="U215" i="17" s="1"/>
  <c r="V214" i="17" s="1"/>
  <c r="W213" i="17" s="1"/>
  <c r="X212" i="17" s="1"/>
  <c r="Y211" i="17" s="1"/>
  <c r="Z210" i="17" s="1"/>
  <c r="AA209" i="17" s="1"/>
  <c r="AB208" i="17" s="1"/>
  <c r="AC207" i="17" s="1"/>
  <c r="AD206" i="17" s="1"/>
  <c r="AE205" i="17" s="1"/>
  <c r="AF204" i="17" s="1"/>
  <c r="AG203" i="17" s="1"/>
  <c r="R217" i="17"/>
  <c r="S216" i="17"/>
  <c r="R216" i="17"/>
  <c r="T215" i="17"/>
  <c r="U214" i="17" s="1"/>
  <c r="V213" i="17" s="1"/>
  <c r="W212" i="17" s="1"/>
  <c r="X211" i="17" s="1"/>
  <c r="Y210" i="17" s="1"/>
  <c r="Z209" i="17" s="1"/>
  <c r="AA208" i="17" s="1"/>
  <c r="AB207" i="17" s="1"/>
  <c r="AC206" i="17" s="1"/>
  <c r="AD205" i="17" s="1"/>
  <c r="AE204" i="17" s="1"/>
  <c r="AF203" i="17" s="1"/>
  <c r="AG202" i="17" s="1"/>
  <c r="S215" i="17"/>
  <c r="T214" i="17" s="1"/>
  <c r="U213" i="17" s="1"/>
  <c r="R215" i="17"/>
  <c r="S214" i="17"/>
  <c r="R214" i="17"/>
  <c r="AA213" i="17"/>
  <c r="AB212" i="17" s="1"/>
  <c r="AC211" i="17" s="1"/>
  <c r="AD210" i="17" s="1"/>
  <c r="AE209" i="17" s="1"/>
  <c r="AF208" i="17" s="1"/>
  <c r="AG207" i="17" s="1"/>
  <c r="Y213" i="17"/>
  <c r="Z212" i="17" s="1"/>
  <c r="AA211" i="17" s="1"/>
  <c r="AB210" i="17" s="1"/>
  <c r="AC209" i="17" s="1"/>
  <c r="AD208" i="17" s="1"/>
  <c r="AE207" i="17" s="1"/>
  <c r="AF206" i="17" s="1"/>
  <c r="AG205" i="17" s="1"/>
  <c r="T213" i="17"/>
  <c r="S213" i="17"/>
  <c r="R213" i="17"/>
  <c r="V212" i="17"/>
  <c r="W211" i="17" s="1"/>
  <c r="X210" i="17" s="1"/>
  <c r="Y209" i="17" s="1"/>
  <c r="Z208" i="17" s="1"/>
  <c r="AA207" i="17" s="1"/>
  <c r="AB206" i="17" s="1"/>
  <c r="AC205" i="17" s="1"/>
  <c r="AD204" i="17" s="1"/>
  <c r="AE203" i="17" s="1"/>
  <c r="AF202" i="17" s="1"/>
  <c r="AG201" i="17" s="1"/>
  <c r="U212" i="17"/>
  <c r="V211" i="17" s="1"/>
  <c r="W210" i="17" s="1"/>
  <c r="X209" i="17" s="1"/>
  <c r="Y208" i="17" s="1"/>
  <c r="Z207" i="17" s="1"/>
  <c r="AA206" i="17" s="1"/>
  <c r="AB205" i="17" s="1"/>
  <c r="AC204" i="17" s="1"/>
  <c r="AD203" i="17" s="1"/>
  <c r="AE202" i="17" s="1"/>
  <c r="AF201" i="17" s="1"/>
  <c r="AG200" i="17" s="1"/>
  <c r="T212" i="17"/>
  <c r="U211" i="17" s="1"/>
  <c r="V210" i="17" s="1"/>
  <c r="W209" i="17" s="1"/>
  <c r="X208" i="17" s="1"/>
  <c r="Y207" i="17" s="1"/>
  <c r="Z206" i="17" s="1"/>
  <c r="AA205" i="17" s="1"/>
  <c r="AB204" i="17" s="1"/>
  <c r="AC203" i="17" s="1"/>
  <c r="AD202" i="17" s="1"/>
  <c r="AE201" i="17" s="1"/>
  <c r="AF200" i="17" s="1"/>
  <c r="AG199" i="17" s="1"/>
  <c r="S212" i="17"/>
  <c r="T211" i="17" s="1"/>
  <c r="U210" i="17" s="1"/>
  <c r="V209" i="17" s="1"/>
  <c r="W208" i="17" s="1"/>
  <c r="X207" i="17" s="1"/>
  <c r="Y206" i="17" s="1"/>
  <c r="Z205" i="17" s="1"/>
  <c r="AA204" i="17" s="1"/>
  <c r="AB203" i="17" s="1"/>
  <c r="AC202" i="17" s="1"/>
  <c r="AD201" i="17" s="1"/>
  <c r="AE200" i="17" s="1"/>
  <c r="AF199" i="17" s="1"/>
  <c r="AG198" i="17" s="1"/>
  <c r="R212" i="17"/>
  <c r="S211" i="17"/>
  <c r="T210" i="17" s="1"/>
  <c r="R211" i="17"/>
  <c r="S210" i="17"/>
  <c r="T209" i="17" s="1"/>
  <c r="U208" i="17" s="1"/>
  <c r="V207" i="17" s="1"/>
  <c r="W206" i="17" s="1"/>
  <c r="X205" i="17" s="1"/>
  <c r="Y204" i="17" s="1"/>
  <c r="Z203" i="17" s="1"/>
  <c r="AA202" i="17" s="1"/>
  <c r="AB201" i="17" s="1"/>
  <c r="AC200" i="17" s="1"/>
  <c r="AD199" i="17" s="1"/>
  <c r="AE198" i="17" s="1"/>
  <c r="AF197" i="17" s="1"/>
  <c r="AG196" i="17" s="1"/>
  <c r="R210" i="17"/>
  <c r="U209" i="17"/>
  <c r="V208" i="17" s="1"/>
  <c r="W207" i="17" s="1"/>
  <c r="X206" i="17" s="1"/>
  <c r="Y205" i="17" s="1"/>
  <c r="Z204" i="17" s="1"/>
  <c r="S209" i="17"/>
  <c r="T208" i="17" s="1"/>
  <c r="U207" i="17" s="1"/>
  <c r="V206" i="17" s="1"/>
  <c r="W205" i="17" s="1"/>
  <c r="X204" i="17" s="1"/>
  <c r="R209" i="17"/>
  <c r="S208" i="17"/>
  <c r="T207" i="17" s="1"/>
  <c r="U206" i="17" s="1"/>
  <c r="V205" i="17" s="1"/>
  <c r="W204" i="17" s="1"/>
  <c r="X203" i="17" s="1"/>
  <c r="Y202" i="17" s="1"/>
  <c r="Z201" i="17" s="1"/>
  <c r="AA200" i="17" s="1"/>
  <c r="AB199" i="17" s="1"/>
  <c r="AC198" i="17" s="1"/>
  <c r="AD197" i="17" s="1"/>
  <c r="AE196" i="17" s="1"/>
  <c r="AF195" i="17" s="1"/>
  <c r="AG194" i="17" s="1"/>
  <c r="R208" i="17"/>
  <c r="S207" i="17"/>
  <c r="T206" i="17" s="1"/>
  <c r="U205" i="17" s="1"/>
  <c r="V204" i="17" s="1"/>
  <c r="W203" i="17" s="1"/>
  <c r="X202" i="17" s="1"/>
  <c r="Y201" i="17" s="1"/>
  <c r="Z200" i="17" s="1"/>
  <c r="AA199" i="17" s="1"/>
  <c r="AB198" i="17" s="1"/>
  <c r="AC197" i="17" s="1"/>
  <c r="AD196" i="17" s="1"/>
  <c r="AE195" i="17" s="1"/>
  <c r="AF194" i="17" s="1"/>
  <c r="AG193" i="17" s="1"/>
  <c r="R207" i="17"/>
  <c r="S206" i="17"/>
  <c r="R206" i="17"/>
  <c r="T205" i="17"/>
  <c r="U204" i="17" s="1"/>
  <c r="V203" i="17" s="1"/>
  <c r="W202" i="17" s="1"/>
  <c r="X201" i="17" s="1"/>
  <c r="Y200" i="17" s="1"/>
  <c r="Z199" i="17" s="1"/>
  <c r="AA198" i="17" s="1"/>
  <c r="AB197" i="17" s="1"/>
  <c r="AC196" i="17" s="1"/>
  <c r="AD195" i="17" s="1"/>
  <c r="AE194" i="17" s="1"/>
  <c r="AF193" i="17" s="1"/>
  <c r="AG192" i="17" s="1"/>
  <c r="S205" i="17"/>
  <c r="R205" i="17"/>
  <c r="T204" i="17"/>
  <c r="U203" i="17" s="1"/>
  <c r="V202" i="17" s="1"/>
  <c r="W201" i="17" s="1"/>
  <c r="X200" i="17" s="1"/>
  <c r="Y199" i="17" s="1"/>
  <c r="Z198" i="17" s="1"/>
  <c r="AA197" i="17" s="1"/>
  <c r="AB196" i="17" s="1"/>
  <c r="AC195" i="17" s="1"/>
  <c r="AD194" i="17" s="1"/>
  <c r="AE193" i="17" s="1"/>
  <c r="AF192" i="17" s="1"/>
  <c r="AG191" i="17" s="1"/>
  <c r="S204" i="17"/>
  <c r="T203" i="17" s="1"/>
  <c r="U202" i="17" s="1"/>
  <c r="V201" i="17" s="1"/>
  <c r="W200" i="17" s="1"/>
  <c r="X199" i="17" s="1"/>
  <c r="Y198" i="17" s="1"/>
  <c r="Z197" i="17" s="1"/>
  <c r="AA196" i="17" s="1"/>
  <c r="AB195" i="17" s="1"/>
  <c r="AC194" i="17" s="1"/>
  <c r="AD193" i="17" s="1"/>
  <c r="AE192" i="17" s="1"/>
  <c r="AF191" i="17" s="1"/>
  <c r="AG190" i="17" s="1"/>
  <c r="R204" i="17"/>
  <c r="AA203" i="17"/>
  <c r="AB202" i="17" s="1"/>
  <c r="AC201" i="17" s="1"/>
  <c r="AD200" i="17" s="1"/>
  <c r="AE199" i="17" s="1"/>
  <c r="AF198" i="17" s="1"/>
  <c r="AG197" i="17" s="1"/>
  <c r="Y203" i="17"/>
  <c r="Z202" i="17" s="1"/>
  <c r="AA201" i="17" s="1"/>
  <c r="AB200" i="17" s="1"/>
  <c r="AC199" i="17" s="1"/>
  <c r="AD198" i="17" s="1"/>
  <c r="AE197" i="17" s="1"/>
  <c r="AF196" i="17" s="1"/>
  <c r="AG195" i="17" s="1"/>
  <c r="S203" i="17"/>
  <c r="T202" i="17" s="1"/>
  <c r="U201" i="17" s="1"/>
  <c r="V200" i="17" s="1"/>
  <c r="W199" i="17" s="1"/>
  <c r="X198" i="17" s="1"/>
  <c r="Y197" i="17" s="1"/>
  <c r="Z196" i="17" s="1"/>
  <c r="AA195" i="17" s="1"/>
  <c r="AB194" i="17" s="1"/>
  <c r="AC193" i="17" s="1"/>
  <c r="AD192" i="17" s="1"/>
  <c r="AE191" i="17" s="1"/>
  <c r="AF190" i="17" s="1"/>
  <c r="AG189" i="17" s="1"/>
  <c r="R203" i="17"/>
  <c r="S202" i="17"/>
  <c r="R202" i="17"/>
  <c r="T201" i="17"/>
  <c r="U200" i="17" s="1"/>
  <c r="V199" i="17" s="1"/>
  <c r="S201" i="17"/>
  <c r="T200" i="17" s="1"/>
  <c r="U199" i="17" s="1"/>
  <c r="V198" i="17" s="1"/>
  <c r="W197" i="17" s="1"/>
  <c r="X196" i="17" s="1"/>
  <c r="Y195" i="17" s="1"/>
  <c r="Z194" i="17" s="1"/>
  <c r="AA193" i="17" s="1"/>
  <c r="AB192" i="17" s="1"/>
  <c r="AC191" i="17" s="1"/>
  <c r="AD190" i="17" s="1"/>
  <c r="AE189" i="17" s="1"/>
  <c r="AF188" i="17" s="1"/>
  <c r="AG187" i="17" s="1"/>
  <c r="R201" i="17"/>
  <c r="S200" i="17"/>
  <c r="T199" i="17" s="1"/>
  <c r="U198" i="17" s="1"/>
  <c r="V197" i="17" s="1"/>
  <c r="W196" i="17" s="1"/>
  <c r="X195" i="17" s="1"/>
  <c r="Y194" i="17" s="1"/>
  <c r="Z193" i="17" s="1"/>
  <c r="AA192" i="17" s="1"/>
  <c r="AB191" i="17" s="1"/>
  <c r="AC190" i="17" s="1"/>
  <c r="AD189" i="17" s="1"/>
  <c r="AE188" i="17" s="1"/>
  <c r="AF187" i="17" s="1"/>
  <c r="R200" i="17"/>
  <c r="S199" i="17"/>
  <c r="T198" i="17" s="1"/>
  <c r="U197" i="17" s="1"/>
  <c r="V196" i="17" s="1"/>
  <c r="W195" i="17" s="1"/>
  <c r="X194" i="17" s="1"/>
  <c r="R199" i="17"/>
  <c r="W198" i="17"/>
  <c r="X197" i="17" s="1"/>
  <c r="Y196" i="17" s="1"/>
  <c r="Z195" i="17" s="1"/>
  <c r="AA194" i="17" s="1"/>
  <c r="S198" i="17"/>
  <c r="T197" i="17" s="1"/>
  <c r="U196" i="17" s="1"/>
  <c r="V195" i="17" s="1"/>
  <c r="W194" i="17" s="1"/>
  <c r="X193" i="17" s="1"/>
  <c r="Y192" i="17" s="1"/>
  <c r="Z191" i="17" s="1"/>
  <c r="AA190" i="17" s="1"/>
  <c r="AB189" i="17" s="1"/>
  <c r="AC188" i="17" s="1"/>
  <c r="AD187" i="17" s="1"/>
  <c r="R198" i="17"/>
  <c r="S197" i="17"/>
  <c r="R197" i="17"/>
  <c r="T196" i="17"/>
  <c r="U195" i="17" s="1"/>
  <c r="V194" i="17" s="1"/>
  <c r="W193" i="17" s="1"/>
  <c r="X192" i="17" s="1"/>
  <c r="Y191" i="17" s="1"/>
  <c r="Z190" i="17" s="1"/>
  <c r="AA189" i="17" s="1"/>
  <c r="AB188" i="17" s="1"/>
  <c r="AC187" i="17" s="1"/>
  <c r="AD186" i="17" s="1"/>
  <c r="AE185" i="17" s="1"/>
  <c r="AF184" i="17" s="1"/>
  <c r="AG183" i="17" s="1"/>
  <c r="S196" i="17"/>
  <c r="T195" i="17" s="1"/>
  <c r="U194" i="17" s="1"/>
  <c r="V193" i="17" s="1"/>
  <c r="W192" i="17" s="1"/>
  <c r="X191" i="17" s="1"/>
  <c r="Y190" i="17" s="1"/>
  <c r="Z189" i="17" s="1"/>
  <c r="AA188" i="17" s="1"/>
  <c r="AB187" i="17" s="1"/>
  <c r="AC186" i="17" s="1"/>
  <c r="AD185" i="17" s="1"/>
  <c r="AE184" i="17" s="1"/>
  <c r="AF183" i="17" s="1"/>
  <c r="AG182" i="17" s="1"/>
  <c r="R196" i="17"/>
  <c r="S195" i="17"/>
  <c r="T194" i="17" s="1"/>
  <c r="U193" i="17" s="1"/>
  <c r="V192" i="17" s="1"/>
  <c r="W191" i="17" s="1"/>
  <c r="X190" i="17" s="1"/>
  <c r="Y189" i="17" s="1"/>
  <c r="Z188" i="17" s="1"/>
  <c r="AA187" i="17" s="1"/>
  <c r="AB186" i="17" s="1"/>
  <c r="AC185" i="17" s="1"/>
  <c r="AD184" i="17" s="1"/>
  <c r="AE183" i="17" s="1"/>
  <c r="AF182" i="17" s="1"/>
  <c r="AG181" i="17" s="1"/>
  <c r="R195" i="17"/>
  <c r="S194" i="17"/>
  <c r="T193" i="17" s="1"/>
  <c r="U192" i="17" s="1"/>
  <c r="V191" i="17" s="1"/>
  <c r="W190" i="17" s="1"/>
  <c r="X189" i="17" s="1"/>
  <c r="Y188" i="17" s="1"/>
  <c r="Z187" i="17" s="1"/>
  <c r="AA186" i="17" s="1"/>
  <c r="AB185" i="17" s="1"/>
  <c r="AC184" i="17" s="1"/>
  <c r="AD183" i="17" s="1"/>
  <c r="AE182" i="17" s="1"/>
  <c r="AF181" i="17" s="1"/>
  <c r="AG180" i="17" s="1"/>
  <c r="R194" i="17"/>
  <c r="AB193" i="17"/>
  <c r="AC192" i="17" s="1"/>
  <c r="AD191" i="17" s="1"/>
  <c r="AE190" i="17" s="1"/>
  <c r="AF189" i="17" s="1"/>
  <c r="AG188" i="17" s="1"/>
  <c r="Y193" i="17"/>
  <c r="Z192" i="17" s="1"/>
  <c r="AA191" i="17" s="1"/>
  <c r="S193" i="17"/>
  <c r="R193" i="17"/>
  <c r="T192" i="17"/>
  <c r="U191" i="17" s="1"/>
  <c r="V190" i="17" s="1"/>
  <c r="W189" i="17" s="1"/>
  <c r="X188" i="17" s="1"/>
  <c r="Y187" i="17" s="1"/>
  <c r="Z186" i="17" s="1"/>
  <c r="AA185" i="17" s="1"/>
  <c r="AB184" i="17" s="1"/>
  <c r="AC183" i="17" s="1"/>
  <c r="AD182" i="17" s="1"/>
  <c r="AE181" i="17" s="1"/>
  <c r="AF180" i="17" s="1"/>
  <c r="AG179" i="17" s="1"/>
  <c r="S192" i="17"/>
  <c r="T191" i="17" s="1"/>
  <c r="U190" i="17" s="1"/>
  <c r="V189" i="17" s="1"/>
  <c r="W188" i="17" s="1"/>
  <c r="X187" i="17" s="1"/>
  <c r="Y186" i="17" s="1"/>
  <c r="Z185" i="17" s="1"/>
  <c r="AA184" i="17" s="1"/>
  <c r="AB183" i="17" s="1"/>
  <c r="AC182" i="17" s="1"/>
  <c r="AD181" i="17" s="1"/>
  <c r="AE180" i="17" s="1"/>
  <c r="AF179" i="17" s="1"/>
  <c r="AG178" i="17" s="1"/>
  <c r="R192" i="17"/>
  <c r="S191" i="17"/>
  <c r="T190" i="17" s="1"/>
  <c r="R191" i="17"/>
  <c r="AB190" i="17"/>
  <c r="AC189" i="17" s="1"/>
  <c r="AD188" i="17" s="1"/>
  <c r="AE187" i="17" s="1"/>
  <c r="AF186" i="17" s="1"/>
  <c r="AG185" i="17" s="1"/>
  <c r="S190" i="17"/>
  <c r="R190" i="17"/>
  <c r="U189" i="17"/>
  <c r="V188" i="17" s="1"/>
  <c r="W187" i="17" s="1"/>
  <c r="X186" i="17" s="1"/>
  <c r="Y185" i="17" s="1"/>
  <c r="Z184" i="17" s="1"/>
  <c r="AA183" i="17" s="1"/>
  <c r="AB182" i="17" s="1"/>
  <c r="AC181" i="17" s="1"/>
  <c r="AD180" i="17" s="1"/>
  <c r="AE179" i="17" s="1"/>
  <c r="AF178" i="17" s="1"/>
  <c r="AG177" i="17" s="1"/>
  <c r="T189" i="17"/>
  <c r="U188" i="17" s="1"/>
  <c r="V187" i="17" s="1"/>
  <c r="W186" i="17" s="1"/>
  <c r="X185" i="17" s="1"/>
  <c r="Y184" i="17" s="1"/>
  <c r="Z183" i="17" s="1"/>
  <c r="AA182" i="17" s="1"/>
  <c r="AB181" i="17" s="1"/>
  <c r="AC180" i="17" s="1"/>
  <c r="AD179" i="17" s="1"/>
  <c r="AE178" i="17" s="1"/>
  <c r="AF177" i="17" s="1"/>
  <c r="AG176" i="17" s="1"/>
  <c r="S189" i="17"/>
  <c r="T188" i="17" s="1"/>
  <c r="U187" i="17" s="1"/>
  <c r="V186" i="17" s="1"/>
  <c r="W185" i="17" s="1"/>
  <c r="X184" i="17" s="1"/>
  <c r="Y183" i="17" s="1"/>
  <c r="Z182" i="17" s="1"/>
  <c r="AA181" i="17" s="1"/>
  <c r="AB180" i="17" s="1"/>
  <c r="AC179" i="17" s="1"/>
  <c r="AD178" i="17" s="1"/>
  <c r="AE177" i="17" s="1"/>
  <c r="AF176" i="17" s="1"/>
  <c r="AG175" i="17" s="1"/>
  <c r="R189" i="17"/>
  <c r="S188" i="17"/>
  <c r="R188" i="17"/>
  <c r="T187" i="17"/>
  <c r="U186" i="17" s="1"/>
  <c r="V185" i="17" s="1"/>
  <c r="W184" i="17" s="1"/>
  <c r="X183" i="17" s="1"/>
  <c r="Y182" i="17" s="1"/>
  <c r="Z181" i="17" s="1"/>
  <c r="AA180" i="17" s="1"/>
  <c r="AB179" i="17" s="1"/>
  <c r="AC178" i="17" s="1"/>
  <c r="AD177" i="17" s="1"/>
  <c r="AE176" i="17" s="1"/>
  <c r="AF175" i="17" s="1"/>
  <c r="AG174" i="17" s="1"/>
  <c r="S187" i="17"/>
  <c r="T186" i="17" s="1"/>
  <c r="R187" i="17"/>
  <c r="AG186" i="17"/>
  <c r="AE186" i="17"/>
  <c r="AF185" i="17" s="1"/>
  <c r="AG184" i="17" s="1"/>
  <c r="S186" i="17"/>
  <c r="T185" i="17" s="1"/>
  <c r="U184" i="17" s="1"/>
  <c r="V183" i="17" s="1"/>
  <c r="W182" i="17" s="1"/>
  <c r="X181" i="17" s="1"/>
  <c r="Y180" i="17" s="1"/>
  <c r="Z179" i="17" s="1"/>
  <c r="AA178" i="17" s="1"/>
  <c r="AB177" i="17" s="1"/>
  <c r="AC176" i="17" s="1"/>
  <c r="AD175" i="17" s="1"/>
  <c r="AE174" i="17" s="1"/>
  <c r="AF173" i="17" s="1"/>
  <c r="AG172" i="17" s="1"/>
  <c r="R186" i="17"/>
  <c r="U185" i="17"/>
  <c r="V184" i="17" s="1"/>
  <c r="W183" i="17" s="1"/>
  <c r="X182" i="17" s="1"/>
  <c r="Y181" i="17" s="1"/>
  <c r="Z180" i="17" s="1"/>
  <c r="AA179" i="17" s="1"/>
  <c r="AB178" i="17" s="1"/>
  <c r="AC177" i="17" s="1"/>
  <c r="AD176" i="17" s="1"/>
  <c r="AE175" i="17" s="1"/>
  <c r="AF174" i="17" s="1"/>
  <c r="AG173" i="17" s="1"/>
  <c r="S185" i="17"/>
  <c r="T184" i="17" s="1"/>
  <c r="U183" i="17" s="1"/>
  <c r="V182" i="17" s="1"/>
  <c r="W181" i="17" s="1"/>
  <c r="X180" i="17" s="1"/>
  <c r="Y179" i="17" s="1"/>
  <c r="Z178" i="17" s="1"/>
  <c r="AA177" i="17" s="1"/>
  <c r="AB176" i="17" s="1"/>
  <c r="AC175" i="17" s="1"/>
  <c r="AD174" i="17" s="1"/>
  <c r="AE173" i="17" s="1"/>
  <c r="AF172" i="17" s="1"/>
  <c r="AG171" i="17" s="1"/>
  <c r="R185" i="17"/>
  <c r="S184" i="17"/>
  <c r="T183" i="17" s="1"/>
  <c r="U182" i="17" s="1"/>
  <c r="V181" i="17" s="1"/>
  <c r="W180" i="17" s="1"/>
  <c r="X179" i="17" s="1"/>
  <c r="Y178" i="17" s="1"/>
  <c r="Z177" i="17" s="1"/>
  <c r="AA176" i="17" s="1"/>
  <c r="AB175" i="17" s="1"/>
  <c r="AC174" i="17" s="1"/>
  <c r="AD173" i="17" s="1"/>
  <c r="AE172" i="17" s="1"/>
  <c r="AF171" i="17" s="1"/>
  <c r="AG170" i="17" s="1"/>
  <c r="R184" i="17"/>
  <c r="S183" i="17"/>
  <c r="T182" i="17" s="1"/>
  <c r="U181" i="17" s="1"/>
  <c r="V180" i="17" s="1"/>
  <c r="W179" i="17" s="1"/>
  <c r="X178" i="17" s="1"/>
  <c r="Y177" i="17" s="1"/>
  <c r="Z176" i="17" s="1"/>
  <c r="AA175" i="17" s="1"/>
  <c r="AB174" i="17" s="1"/>
  <c r="R183" i="17"/>
  <c r="S182" i="17"/>
  <c r="R182" i="17"/>
  <c r="T181" i="17"/>
  <c r="U180" i="17" s="1"/>
  <c r="V179" i="17" s="1"/>
  <c r="W178" i="17" s="1"/>
  <c r="X177" i="17" s="1"/>
  <c r="Y176" i="17" s="1"/>
  <c r="Z175" i="17" s="1"/>
  <c r="AA174" i="17" s="1"/>
  <c r="AB173" i="17" s="1"/>
  <c r="AC172" i="17" s="1"/>
  <c r="AD171" i="17" s="1"/>
  <c r="AE170" i="17" s="1"/>
  <c r="S181" i="17"/>
  <c r="T180" i="17" s="1"/>
  <c r="U179" i="17" s="1"/>
  <c r="V178" i="17" s="1"/>
  <c r="W177" i="17" s="1"/>
  <c r="X176" i="17" s="1"/>
  <c r="Y175" i="17" s="1"/>
  <c r="Z174" i="17" s="1"/>
  <c r="AA173" i="17" s="1"/>
  <c r="AB172" i="17" s="1"/>
  <c r="AC171" i="17" s="1"/>
  <c r="AD170" i="17" s="1"/>
  <c r="AE169" i="17" s="1"/>
  <c r="AF168" i="17" s="1"/>
  <c r="AG167" i="17" s="1"/>
  <c r="R181" i="17"/>
  <c r="S180" i="17"/>
  <c r="T179" i="17" s="1"/>
  <c r="U178" i="17" s="1"/>
  <c r="V177" i="17" s="1"/>
  <c r="W176" i="17" s="1"/>
  <c r="X175" i="17" s="1"/>
  <c r="Y174" i="17" s="1"/>
  <c r="Z173" i="17" s="1"/>
  <c r="AA172" i="17" s="1"/>
  <c r="AB171" i="17" s="1"/>
  <c r="AC170" i="17" s="1"/>
  <c r="AD169" i="17" s="1"/>
  <c r="AE168" i="17" s="1"/>
  <c r="AF167" i="17" s="1"/>
  <c r="AG166" i="17" s="1"/>
  <c r="R180" i="17"/>
  <c r="S179" i="17"/>
  <c r="T178" i="17" s="1"/>
  <c r="U177" i="17" s="1"/>
  <c r="R179" i="17"/>
  <c r="S178" i="17"/>
  <c r="R178" i="17"/>
  <c r="T177" i="17"/>
  <c r="U176" i="17" s="1"/>
  <c r="V175" i="17" s="1"/>
  <c r="W174" i="17" s="1"/>
  <c r="X173" i="17" s="1"/>
  <c r="Y172" i="17" s="1"/>
  <c r="Z171" i="17" s="1"/>
  <c r="AA170" i="17" s="1"/>
  <c r="AB169" i="17" s="1"/>
  <c r="AC168" i="17" s="1"/>
  <c r="AD167" i="17" s="1"/>
  <c r="AE166" i="17" s="1"/>
  <c r="AF165" i="17" s="1"/>
  <c r="AG164" i="17" s="1"/>
  <c r="S177" i="17"/>
  <c r="T176" i="17" s="1"/>
  <c r="U175" i="17" s="1"/>
  <c r="V174" i="17" s="1"/>
  <c r="W173" i="17" s="1"/>
  <c r="X172" i="17" s="1"/>
  <c r="Y171" i="17" s="1"/>
  <c r="Z170" i="17" s="1"/>
  <c r="AA169" i="17" s="1"/>
  <c r="AB168" i="17" s="1"/>
  <c r="R177" i="17"/>
  <c r="V176" i="17"/>
  <c r="W175" i="17" s="1"/>
  <c r="X174" i="17" s="1"/>
  <c r="Y173" i="17" s="1"/>
  <c r="Z172" i="17" s="1"/>
  <c r="AA171" i="17" s="1"/>
  <c r="S176" i="17"/>
  <c r="R176" i="17"/>
  <c r="T175" i="17"/>
  <c r="U174" i="17" s="1"/>
  <c r="V173" i="17" s="1"/>
  <c r="W172" i="17" s="1"/>
  <c r="X171" i="17" s="1"/>
  <c r="Y170" i="17" s="1"/>
  <c r="Z169" i="17" s="1"/>
  <c r="AA168" i="17" s="1"/>
  <c r="AB167" i="17" s="1"/>
  <c r="AC166" i="17" s="1"/>
  <c r="AD165" i="17" s="1"/>
  <c r="AE164" i="17" s="1"/>
  <c r="AF163" i="17" s="1"/>
  <c r="AG162" i="17" s="1"/>
  <c r="S175" i="17"/>
  <c r="T174" i="17" s="1"/>
  <c r="R175" i="17"/>
  <c r="S174" i="17"/>
  <c r="R174" i="17"/>
  <c r="AC173" i="17"/>
  <c r="AD172" i="17" s="1"/>
  <c r="AE171" i="17" s="1"/>
  <c r="AF170" i="17" s="1"/>
  <c r="AG169" i="17" s="1"/>
  <c r="U173" i="17"/>
  <c r="V172" i="17" s="1"/>
  <c r="W171" i="17" s="1"/>
  <c r="X170" i="17" s="1"/>
  <c r="Y169" i="17" s="1"/>
  <c r="Z168" i="17" s="1"/>
  <c r="AA167" i="17" s="1"/>
  <c r="AB166" i="17" s="1"/>
  <c r="AC165" i="17" s="1"/>
  <c r="AD164" i="17" s="1"/>
  <c r="AE163" i="17" s="1"/>
  <c r="AF162" i="17" s="1"/>
  <c r="AG161" i="17" s="1"/>
  <c r="T173" i="17"/>
  <c r="U172" i="17" s="1"/>
  <c r="V171" i="17" s="1"/>
  <c r="W170" i="17" s="1"/>
  <c r="X169" i="17" s="1"/>
  <c r="Y168" i="17" s="1"/>
  <c r="Z167" i="17" s="1"/>
  <c r="AA166" i="17" s="1"/>
  <c r="AB165" i="17" s="1"/>
  <c r="AC164" i="17" s="1"/>
  <c r="AD163" i="17" s="1"/>
  <c r="AE162" i="17" s="1"/>
  <c r="AF161" i="17" s="1"/>
  <c r="AG160" i="17" s="1"/>
  <c r="S173" i="17"/>
  <c r="T172" i="17" s="1"/>
  <c r="U171" i="17" s="1"/>
  <c r="V170" i="17" s="1"/>
  <c r="W169" i="17" s="1"/>
  <c r="X168" i="17" s="1"/>
  <c r="Y167" i="17" s="1"/>
  <c r="Z166" i="17" s="1"/>
  <c r="AA165" i="17" s="1"/>
  <c r="AB164" i="17" s="1"/>
  <c r="AC163" i="17" s="1"/>
  <c r="AD162" i="17" s="1"/>
  <c r="AE161" i="17" s="1"/>
  <c r="AF160" i="17" s="1"/>
  <c r="AG159" i="17" s="1"/>
  <c r="R173" i="17"/>
  <c r="S172" i="17"/>
  <c r="R172" i="17"/>
  <c r="T171" i="17"/>
  <c r="S171" i="17"/>
  <c r="T170" i="17" s="1"/>
  <c r="U169" i="17" s="1"/>
  <c r="V168" i="17" s="1"/>
  <c r="W167" i="17" s="1"/>
  <c r="X166" i="17" s="1"/>
  <c r="Y165" i="17" s="1"/>
  <c r="Z164" i="17" s="1"/>
  <c r="AA163" i="17" s="1"/>
  <c r="AB162" i="17" s="1"/>
  <c r="R171" i="17"/>
  <c r="AB170" i="17"/>
  <c r="AC169" i="17" s="1"/>
  <c r="AD168" i="17" s="1"/>
  <c r="AE167" i="17" s="1"/>
  <c r="AF166" i="17" s="1"/>
  <c r="AG165" i="17" s="1"/>
  <c r="U170" i="17"/>
  <c r="V169" i="17" s="1"/>
  <c r="W168" i="17" s="1"/>
  <c r="X167" i="17" s="1"/>
  <c r="Y166" i="17" s="1"/>
  <c r="Z165" i="17" s="1"/>
  <c r="AA164" i="17" s="1"/>
  <c r="AB163" i="17" s="1"/>
  <c r="AC162" i="17" s="1"/>
  <c r="AD161" i="17" s="1"/>
  <c r="AE160" i="17" s="1"/>
  <c r="AF159" i="17" s="1"/>
  <c r="AG158" i="17" s="1"/>
  <c r="S170" i="17"/>
  <c r="R170" i="17"/>
  <c r="AF169" i="17"/>
  <c r="AG168" i="17" s="1"/>
  <c r="T169" i="17"/>
  <c r="U168" i="17" s="1"/>
  <c r="V167" i="17" s="1"/>
  <c r="W166" i="17" s="1"/>
  <c r="X165" i="17" s="1"/>
  <c r="Y164" i="17" s="1"/>
  <c r="Z163" i="17" s="1"/>
  <c r="AA162" i="17" s="1"/>
  <c r="AB161" i="17" s="1"/>
  <c r="AC160" i="17" s="1"/>
  <c r="AD159" i="17" s="1"/>
  <c r="AE158" i="17" s="1"/>
  <c r="AF157" i="17" s="1"/>
  <c r="AG156" i="17" s="1"/>
  <c r="S169" i="17"/>
  <c r="T168" i="17" s="1"/>
  <c r="U167" i="17" s="1"/>
  <c r="V166" i="17" s="1"/>
  <c r="W165" i="17" s="1"/>
  <c r="X164" i="17" s="1"/>
  <c r="Y163" i="17" s="1"/>
  <c r="Z162" i="17" s="1"/>
  <c r="AA161" i="17" s="1"/>
  <c r="AB160" i="17" s="1"/>
  <c r="AC159" i="17" s="1"/>
  <c r="AD158" i="17" s="1"/>
  <c r="AE157" i="17" s="1"/>
  <c r="AF156" i="17" s="1"/>
  <c r="AG155" i="17" s="1"/>
  <c r="R169" i="17"/>
  <c r="S168" i="17"/>
  <c r="T167" i="17" s="1"/>
  <c r="U166" i="17" s="1"/>
  <c r="V165" i="17" s="1"/>
  <c r="W164" i="17" s="1"/>
  <c r="X163" i="17" s="1"/>
  <c r="Y162" i="17" s="1"/>
  <c r="Z161" i="17" s="1"/>
  <c r="AA160" i="17" s="1"/>
  <c r="AB159" i="17" s="1"/>
  <c r="AC158" i="17" s="1"/>
  <c r="AD157" i="17" s="1"/>
  <c r="AE156" i="17" s="1"/>
  <c r="AF155" i="17" s="1"/>
  <c r="AG154" i="17" s="1"/>
  <c r="R168" i="17"/>
  <c r="AC167" i="17"/>
  <c r="AD166" i="17" s="1"/>
  <c r="S167" i="17"/>
  <c r="T166" i="17" s="1"/>
  <c r="U165" i="17" s="1"/>
  <c r="V164" i="17" s="1"/>
  <c r="W163" i="17" s="1"/>
  <c r="X162" i="17" s="1"/>
  <c r="Y161" i="17" s="1"/>
  <c r="Z160" i="17" s="1"/>
  <c r="AA159" i="17" s="1"/>
  <c r="AB158" i="17" s="1"/>
  <c r="AC157" i="17" s="1"/>
  <c r="AD156" i="17" s="1"/>
  <c r="AE155" i="17" s="1"/>
  <c r="AF154" i="17" s="1"/>
  <c r="AG153" i="17" s="1"/>
  <c r="R167" i="17"/>
  <c r="S166" i="17"/>
  <c r="T165" i="17" s="1"/>
  <c r="U164" i="17" s="1"/>
  <c r="V163" i="17" s="1"/>
  <c r="W162" i="17" s="1"/>
  <c r="X161" i="17" s="1"/>
  <c r="Y160" i="17" s="1"/>
  <c r="Z159" i="17" s="1"/>
  <c r="AA158" i="17" s="1"/>
  <c r="AB157" i="17" s="1"/>
  <c r="AC156" i="17" s="1"/>
  <c r="AD155" i="17" s="1"/>
  <c r="AE154" i="17" s="1"/>
  <c r="AF153" i="17" s="1"/>
  <c r="AG152" i="17" s="1"/>
  <c r="R166" i="17"/>
  <c r="AE165" i="17"/>
  <c r="AF164" i="17" s="1"/>
  <c r="AG163" i="17" s="1"/>
  <c r="S165" i="17"/>
  <c r="T164" i="17" s="1"/>
  <c r="U163" i="17" s="1"/>
  <c r="R165" i="17"/>
  <c r="S164" i="17"/>
  <c r="R164" i="17"/>
  <c r="T163" i="17"/>
  <c r="U162" i="17" s="1"/>
  <c r="V161" i="17" s="1"/>
  <c r="W160" i="17" s="1"/>
  <c r="X159" i="17" s="1"/>
  <c r="Y158" i="17" s="1"/>
  <c r="Z157" i="17" s="1"/>
  <c r="AA156" i="17" s="1"/>
  <c r="AB155" i="17" s="1"/>
  <c r="AC154" i="17" s="1"/>
  <c r="S163" i="17"/>
  <c r="T162" i="17" s="1"/>
  <c r="U161" i="17" s="1"/>
  <c r="V160" i="17" s="1"/>
  <c r="W159" i="17" s="1"/>
  <c r="X158" i="17" s="1"/>
  <c r="Y157" i="17" s="1"/>
  <c r="Z156" i="17" s="1"/>
  <c r="AA155" i="17" s="1"/>
  <c r="AB154" i="17" s="1"/>
  <c r="AC153" i="17" s="1"/>
  <c r="AD152" i="17" s="1"/>
  <c r="AE151" i="17" s="1"/>
  <c r="AF150" i="17" s="1"/>
  <c r="AG149" i="17" s="1"/>
  <c r="R163" i="17"/>
  <c r="V162" i="17"/>
  <c r="W161" i="17" s="1"/>
  <c r="X160" i="17" s="1"/>
  <c r="Y159" i="17" s="1"/>
  <c r="Z158" i="17" s="1"/>
  <c r="S162" i="17"/>
  <c r="R162" i="17"/>
  <c r="AC161" i="17"/>
  <c r="AD160" i="17" s="1"/>
  <c r="AE159" i="17" s="1"/>
  <c r="AF158" i="17" s="1"/>
  <c r="AG157" i="17" s="1"/>
  <c r="T161" i="17"/>
  <c r="U160" i="17" s="1"/>
  <c r="V159" i="17" s="1"/>
  <c r="W158" i="17" s="1"/>
  <c r="X157" i="17" s="1"/>
  <c r="Y156" i="17" s="1"/>
  <c r="Z155" i="17" s="1"/>
  <c r="S161" i="17"/>
  <c r="T160" i="17" s="1"/>
  <c r="U159" i="17" s="1"/>
  <c r="V158" i="17" s="1"/>
  <c r="W157" i="17" s="1"/>
  <c r="X156" i="17" s="1"/>
  <c r="Y155" i="17" s="1"/>
  <c r="Z154" i="17" s="1"/>
  <c r="AA153" i="17" s="1"/>
  <c r="AB152" i="17" s="1"/>
  <c r="AC151" i="17" s="1"/>
  <c r="AD150" i="17" s="1"/>
  <c r="AE149" i="17" s="1"/>
  <c r="AF148" i="17" s="1"/>
  <c r="AG147" i="17" s="1"/>
  <c r="R161" i="17"/>
  <c r="S160" i="17"/>
  <c r="T159" i="17" s="1"/>
  <c r="R160" i="17"/>
  <c r="S159" i="17"/>
  <c r="T158" i="17" s="1"/>
  <c r="R159" i="17"/>
  <c r="U158" i="17"/>
  <c r="S158" i="17"/>
  <c r="R158" i="17"/>
  <c r="AA157" i="17"/>
  <c r="AB156" i="17" s="1"/>
  <c r="AC155" i="17" s="1"/>
  <c r="AD154" i="17" s="1"/>
  <c r="AE153" i="17" s="1"/>
  <c r="AF152" i="17" s="1"/>
  <c r="AG151" i="17" s="1"/>
  <c r="V157" i="17"/>
  <c r="W156" i="17" s="1"/>
  <c r="X155" i="17" s="1"/>
  <c r="Y154" i="17" s="1"/>
  <c r="Z153" i="17" s="1"/>
  <c r="AA152" i="17" s="1"/>
  <c r="AB151" i="17" s="1"/>
  <c r="AC150" i="17" s="1"/>
  <c r="AD149" i="17" s="1"/>
  <c r="AE148" i="17" s="1"/>
  <c r="AF147" i="17" s="1"/>
  <c r="AG146" i="17" s="1"/>
  <c r="U157" i="17"/>
  <c r="V156" i="17" s="1"/>
  <c r="W155" i="17" s="1"/>
  <c r="X154" i="17" s="1"/>
  <c r="Y153" i="17" s="1"/>
  <c r="Z152" i="17" s="1"/>
  <c r="AA151" i="17" s="1"/>
  <c r="T157" i="17"/>
  <c r="U156" i="17" s="1"/>
  <c r="V155" i="17" s="1"/>
  <c r="W154" i="17" s="1"/>
  <c r="X153" i="17" s="1"/>
  <c r="Y152" i="17" s="1"/>
  <c r="Z151" i="17" s="1"/>
  <c r="AA150" i="17" s="1"/>
  <c r="AB149" i="17" s="1"/>
  <c r="AC148" i="17" s="1"/>
  <c r="AD147" i="17" s="1"/>
  <c r="AE146" i="17" s="1"/>
  <c r="AF145" i="17" s="1"/>
  <c r="AG144" i="17" s="1"/>
  <c r="S157" i="17"/>
  <c r="R157" i="17"/>
  <c r="T156" i="17"/>
  <c r="U155" i="17" s="1"/>
  <c r="V154" i="17" s="1"/>
  <c r="W153" i="17" s="1"/>
  <c r="X152" i="17" s="1"/>
  <c r="Y151" i="17" s="1"/>
  <c r="Z150" i="17" s="1"/>
  <c r="S156" i="17"/>
  <c r="T155" i="17" s="1"/>
  <c r="U154" i="17" s="1"/>
  <c r="V153" i="17" s="1"/>
  <c r="W152" i="17" s="1"/>
  <c r="X151" i="17" s="1"/>
  <c r="Y150" i="17" s="1"/>
  <c r="Z149" i="17" s="1"/>
  <c r="AA148" i="17" s="1"/>
  <c r="AB147" i="17" s="1"/>
  <c r="AC146" i="17" s="1"/>
  <c r="AD145" i="17" s="1"/>
  <c r="AE144" i="17" s="1"/>
  <c r="AF143" i="17" s="1"/>
  <c r="AG142" i="17" s="1"/>
  <c r="R156" i="17"/>
  <c r="S155" i="17"/>
  <c r="T154" i="17" s="1"/>
  <c r="U153" i="17" s="1"/>
  <c r="V152" i="17" s="1"/>
  <c r="W151" i="17" s="1"/>
  <c r="X150" i="17" s="1"/>
  <c r="Y149" i="17" s="1"/>
  <c r="Z148" i="17" s="1"/>
  <c r="AA147" i="17" s="1"/>
  <c r="AB146" i="17" s="1"/>
  <c r="AC145" i="17" s="1"/>
  <c r="AD144" i="17" s="1"/>
  <c r="AE143" i="17" s="1"/>
  <c r="AF142" i="17" s="1"/>
  <c r="AG141" i="17" s="1"/>
  <c r="R155" i="17"/>
  <c r="AA154" i="17"/>
  <c r="AB153" i="17" s="1"/>
  <c r="AC152" i="17" s="1"/>
  <c r="AD151" i="17" s="1"/>
  <c r="AE150" i="17" s="1"/>
  <c r="AF149" i="17" s="1"/>
  <c r="AG148" i="17" s="1"/>
  <c r="S154" i="17"/>
  <c r="T153" i="17" s="1"/>
  <c r="U152" i="17" s="1"/>
  <c r="V151" i="17" s="1"/>
  <c r="W150" i="17" s="1"/>
  <c r="X149" i="17" s="1"/>
  <c r="Y148" i="17" s="1"/>
  <c r="Z147" i="17" s="1"/>
  <c r="AA146" i="17" s="1"/>
  <c r="AB145" i="17" s="1"/>
  <c r="AC144" i="17" s="1"/>
  <c r="AD143" i="17" s="1"/>
  <c r="AE142" i="17" s="1"/>
  <c r="AF141" i="17" s="1"/>
  <c r="AG140" i="17" s="1"/>
  <c r="R154" i="17"/>
  <c r="AD153" i="17"/>
  <c r="AE152" i="17" s="1"/>
  <c r="AF151" i="17" s="1"/>
  <c r="AG150" i="17" s="1"/>
  <c r="S153" i="17"/>
  <c r="T152" i="17" s="1"/>
  <c r="U151" i="17" s="1"/>
  <c r="V150" i="17" s="1"/>
  <c r="W149" i="17" s="1"/>
  <c r="X148" i="17" s="1"/>
  <c r="Y147" i="17" s="1"/>
  <c r="Z146" i="17" s="1"/>
  <c r="AA145" i="17" s="1"/>
  <c r="AB144" i="17" s="1"/>
  <c r="AC143" i="17" s="1"/>
  <c r="AD142" i="17" s="1"/>
  <c r="AE141" i="17" s="1"/>
  <c r="AF140" i="17" s="1"/>
  <c r="AG139" i="17" s="1"/>
  <c r="R153" i="17"/>
  <c r="S152" i="17"/>
  <c r="T151" i="17" s="1"/>
  <c r="U150" i="17" s="1"/>
  <c r="V149" i="17" s="1"/>
  <c r="W148" i="17" s="1"/>
  <c r="X147" i="17" s="1"/>
  <c r="Y146" i="17" s="1"/>
  <c r="Z145" i="17" s="1"/>
  <c r="AA144" i="17" s="1"/>
  <c r="AB143" i="17" s="1"/>
  <c r="AC142" i="17" s="1"/>
  <c r="AD141" i="17" s="1"/>
  <c r="AE140" i="17" s="1"/>
  <c r="AF139" i="17" s="1"/>
  <c r="AG138" i="17" s="1"/>
  <c r="R152" i="17"/>
  <c r="S151" i="17"/>
  <c r="T150" i="17" s="1"/>
  <c r="U149" i="17" s="1"/>
  <c r="V148" i="17" s="1"/>
  <c r="W147" i="17" s="1"/>
  <c r="X146" i="17" s="1"/>
  <c r="Y145" i="17" s="1"/>
  <c r="Z144" i="17" s="1"/>
  <c r="AA143" i="17" s="1"/>
  <c r="AB142" i="17" s="1"/>
  <c r="AC141" i="17" s="1"/>
  <c r="AD140" i="17" s="1"/>
  <c r="AE139" i="17" s="1"/>
  <c r="AF138" i="17" s="1"/>
  <c r="AG137" i="17" s="1"/>
  <c r="R151" i="17"/>
  <c r="AB150" i="17"/>
  <c r="S150" i="17"/>
  <c r="T149" i="17" s="1"/>
  <c r="U148" i="17" s="1"/>
  <c r="V147" i="17" s="1"/>
  <c r="W146" i="17" s="1"/>
  <c r="X145" i="17" s="1"/>
  <c r="Y144" i="17" s="1"/>
  <c r="Z143" i="17" s="1"/>
  <c r="AA142" i="17" s="1"/>
  <c r="AB141" i="17" s="1"/>
  <c r="AC140" i="17" s="1"/>
  <c r="AD139" i="17" s="1"/>
  <c r="AE138" i="17" s="1"/>
  <c r="AF137" i="17" s="1"/>
  <c r="AG136" i="17" s="1"/>
  <c r="R150" i="17"/>
  <c r="AC149" i="17"/>
  <c r="AD148" i="17" s="1"/>
  <c r="AE147" i="17" s="1"/>
  <c r="AF146" i="17" s="1"/>
  <c r="AG145" i="17" s="1"/>
  <c r="AA149" i="17"/>
  <c r="AB148" i="17" s="1"/>
  <c r="AC147" i="17" s="1"/>
  <c r="AD146" i="17" s="1"/>
  <c r="AE145" i="17" s="1"/>
  <c r="AF144" i="17" s="1"/>
  <c r="AG143" i="17" s="1"/>
  <c r="S149" i="17"/>
  <c r="T148" i="17" s="1"/>
  <c r="U147" i="17" s="1"/>
  <c r="V146" i="17" s="1"/>
  <c r="W145" i="17" s="1"/>
  <c r="X144" i="17" s="1"/>
  <c r="Y143" i="17" s="1"/>
  <c r="Z142" i="17" s="1"/>
  <c r="AA141" i="17" s="1"/>
  <c r="AB140" i="17" s="1"/>
  <c r="AC139" i="17" s="1"/>
  <c r="AD138" i="17" s="1"/>
  <c r="AE137" i="17" s="1"/>
  <c r="AF136" i="17" s="1"/>
  <c r="AG135" i="17" s="1"/>
  <c r="R149" i="17"/>
  <c r="S148" i="17"/>
  <c r="T147" i="17" s="1"/>
  <c r="U146" i="17" s="1"/>
  <c r="R148" i="17"/>
  <c r="S147" i="17"/>
  <c r="T146" i="17" s="1"/>
  <c r="U145" i="17" s="1"/>
  <c r="V144" i="17" s="1"/>
  <c r="W143" i="17" s="1"/>
  <c r="X142" i="17" s="1"/>
  <c r="Y141" i="17" s="1"/>
  <c r="Z140" i="17" s="1"/>
  <c r="AA139" i="17" s="1"/>
  <c r="AB138" i="17" s="1"/>
  <c r="AC137" i="17" s="1"/>
  <c r="AD136" i="17" s="1"/>
  <c r="AE135" i="17" s="1"/>
  <c r="AF134" i="17" s="1"/>
  <c r="AG133" i="17" s="1"/>
  <c r="R147" i="17"/>
  <c r="S146" i="17"/>
  <c r="R146" i="17"/>
  <c r="V145" i="17"/>
  <c r="W144" i="17" s="1"/>
  <c r="X143" i="17" s="1"/>
  <c r="Y142" i="17" s="1"/>
  <c r="Z141" i="17" s="1"/>
  <c r="AA140" i="17" s="1"/>
  <c r="AB139" i="17" s="1"/>
  <c r="AC138" i="17" s="1"/>
  <c r="AD137" i="17" s="1"/>
  <c r="AE136" i="17" s="1"/>
  <c r="AF135" i="17" s="1"/>
  <c r="AG134" i="17" s="1"/>
  <c r="T145" i="17"/>
  <c r="U144" i="17" s="1"/>
  <c r="V143" i="17" s="1"/>
  <c r="W142" i="17" s="1"/>
  <c r="X141" i="17" s="1"/>
  <c r="Y140" i="17" s="1"/>
  <c r="Z139" i="17" s="1"/>
  <c r="AA138" i="17" s="1"/>
  <c r="AB137" i="17" s="1"/>
  <c r="AC136" i="17" s="1"/>
  <c r="AD135" i="17" s="1"/>
  <c r="AE134" i="17" s="1"/>
  <c r="AF133" i="17" s="1"/>
  <c r="S145" i="17"/>
  <c r="T144" i="17" s="1"/>
  <c r="U143" i="17" s="1"/>
  <c r="V142" i="17" s="1"/>
  <c r="W141" i="17" s="1"/>
  <c r="X140" i="17" s="1"/>
  <c r="Y139" i="17" s="1"/>
  <c r="Z138" i="17" s="1"/>
  <c r="AA137" i="17" s="1"/>
  <c r="R145" i="17"/>
  <c r="S144" i="17"/>
  <c r="R144" i="17"/>
  <c r="T143" i="17"/>
  <c r="U142" i="17" s="1"/>
  <c r="V141" i="17" s="1"/>
  <c r="W140" i="17" s="1"/>
  <c r="X139" i="17" s="1"/>
  <c r="Y138" i="17" s="1"/>
  <c r="Z137" i="17" s="1"/>
  <c r="S143" i="17"/>
  <c r="T142" i="17" s="1"/>
  <c r="U141" i="17" s="1"/>
  <c r="R143" i="17"/>
  <c r="S142" i="17"/>
  <c r="R142" i="17"/>
  <c r="T141" i="17"/>
  <c r="U140" i="17" s="1"/>
  <c r="V139" i="17" s="1"/>
  <c r="W138" i="17" s="1"/>
  <c r="X137" i="17" s="1"/>
  <c r="Y136" i="17" s="1"/>
  <c r="Z135" i="17" s="1"/>
  <c r="AA134" i="17" s="1"/>
  <c r="AB133" i="17" s="1"/>
  <c r="AC132" i="17" s="1"/>
  <c r="AD131" i="17" s="1"/>
  <c r="AE130" i="17" s="1"/>
  <c r="AF129" i="17" s="1"/>
  <c r="AG128" i="17" s="1"/>
  <c r="S141" i="17"/>
  <c r="T140" i="17" s="1"/>
  <c r="U139" i="17" s="1"/>
  <c r="V138" i="17" s="1"/>
  <c r="W137" i="17" s="1"/>
  <c r="X136" i="17" s="1"/>
  <c r="Y135" i="17" s="1"/>
  <c r="Z134" i="17" s="1"/>
  <c r="AA133" i="17" s="1"/>
  <c r="AB132" i="17" s="1"/>
  <c r="AC131" i="17" s="1"/>
  <c r="AD130" i="17" s="1"/>
  <c r="AE129" i="17" s="1"/>
  <c r="AF128" i="17" s="1"/>
  <c r="AG127" i="17" s="1"/>
  <c r="R141" i="17"/>
  <c r="V140" i="17"/>
  <c r="W139" i="17" s="1"/>
  <c r="X138" i="17" s="1"/>
  <c r="Y137" i="17" s="1"/>
  <c r="Z136" i="17" s="1"/>
  <c r="AA135" i="17" s="1"/>
  <c r="AB134" i="17" s="1"/>
  <c r="AC133" i="17" s="1"/>
  <c r="AD132" i="17" s="1"/>
  <c r="AE131" i="17" s="1"/>
  <c r="AF130" i="17" s="1"/>
  <c r="AG129" i="17" s="1"/>
  <c r="S140" i="17"/>
  <c r="T139" i="17" s="1"/>
  <c r="U138" i="17" s="1"/>
  <c r="V137" i="17" s="1"/>
  <c r="W136" i="17" s="1"/>
  <c r="X135" i="17" s="1"/>
  <c r="Y134" i="17" s="1"/>
  <c r="Z133" i="17" s="1"/>
  <c r="AA132" i="17" s="1"/>
  <c r="AB131" i="17" s="1"/>
  <c r="AC130" i="17" s="1"/>
  <c r="AD129" i="17" s="1"/>
  <c r="AE128" i="17" s="1"/>
  <c r="AF127" i="17" s="1"/>
  <c r="AG126" i="17" s="1"/>
  <c r="R140" i="17"/>
  <c r="S139" i="17"/>
  <c r="T138" i="17" s="1"/>
  <c r="R139" i="17"/>
  <c r="S138" i="17"/>
  <c r="T137" i="17" s="1"/>
  <c r="U136" i="17" s="1"/>
  <c r="V135" i="17" s="1"/>
  <c r="W134" i="17" s="1"/>
  <c r="X133" i="17" s="1"/>
  <c r="Y132" i="17" s="1"/>
  <c r="Z131" i="17" s="1"/>
  <c r="AA130" i="17" s="1"/>
  <c r="AB129" i="17" s="1"/>
  <c r="AC128" i="17" s="1"/>
  <c r="AD127" i="17" s="1"/>
  <c r="AE126" i="17" s="1"/>
  <c r="AF125" i="17" s="1"/>
  <c r="AG124" i="17" s="1"/>
  <c r="R138" i="17"/>
  <c r="U137" i="17"/>
  <c r="V136" i="17" s="1"/>
  <c r="W135" i="17" s="1"/>
  <c r="X134" i="17" s="1"/>
  <c r="Y133" i="17" s="1"/>
  <c r="Z132" i="17" s="1"/>
  <c r="AA131" i="17" s="1"/>
  <c r="AB130" i="17" s="1"/>
  <c r="AC129" i="17" s="1"/>
  <c r="AD128" i="17" s="1"/>
  <c r="AE127" i="17" s="1"/>
  <c r="AF126" i="17" s="1"/>
  <c r="AG125" i="17" s="1"/>
  <c r="S137" i="17"/>
  <c r="T136" i="17" s="1"/>
  <c r="U135" i="17" s="1"/>
  <c r="V134" i="17" s="1"/>
  <c r="W133" i="17" s="1"/>
  <c r="X132" i="17" s="1"/>
  <c r="Y131" i="17" s="1"/>
  <c r="Z130" i="17" s="1"/>
  <c r="AA129" i="17" s="1"/>
  <c r="AB128" i="17" s="1"/>
  <c r="AC127" i="17" s="1"/>
  <c r="AD126" i="17" s="1"/>
  <c r="AE125" i="17" s="1"/>
  <c r="AF124" i="17" s="1"/>
  <c r="AG123" i="17" s="1"/>
  <c r="R137" i="17"/>
  <c r="AB136" i="17"/>
  <c r="AC135" i="17" s="1"/>
  <c r="AD134" i="17" s="1"/>
  <c r="AE133" i="17" s="1"/>
  <c r="AF132" i="17" s="1"/>
  <c r="AG131" i="17" s="1"/>
  <c r="AA136" i="17"/>
  <c r="AB135" i="17" s="1"/>
  <c r="AC134" i="17" s="1"/>
  <c r="AD133" i="17" s="1"/>
  <c r="AE132" i="17" s="1"/>
  <c r="AF131" i="17" s="1"/>
  <c r="AG130" i="17" s="1"/>
  <c r="S136" i="17"/>
  <c r="R136" i="17"/>
  <c r="T135" i="17"/>
  <c r="U134" i="17" s="1"/>
  <c r="S135" i="17"/>
  <c r="T134" i="17" s="1"/>
  <c r="U133" i="17" s="1"/>
  <c r="V132" i="17" s="1"/>
  <c r="W131" i="17" s="1"/>
  <c r="X130" i="17" s="1"/>
  <c r="Y129" i="17" s="1"/>
  <c r="Z128" i="17" s="1"/>
  <c r="AA127" i="17" s="1"/>
  <c r="AB126" i="17" s="1"/>
  <c r="AC125" i="17" s="1"/>
  <c r="AD124" i="17" s="1"/>
  <c r="AE123" i="17" s="1"/>
  <c r="AF122" i="17" s="1"/>
  <c r="AG121" i="17" s="1"/>
  <c r="R135" i="17"/>
  <c r="S134" i="17"/>
  <c r="T133" i="17" s="1"/>
  <c r="U132" i="17" s="1"/>
  <c r="V131" i="17" s="1"/>
  <c r="W130" i="17" s="1"/>
  <c r="X129" i="17" s="1"/>
  <c r="Y128" i="17" s="1"/>
  <c r="Z127" i="17" s="1"/>
  <c r="R134" i="17"/>
  <c r="V133" i="17"/>
  <c r="W132" i="17" s="1"/>
  <c r="X131" i="17" s="1"/>
  <c r="Y130" i="17" s="1"/>
  <c r="Z129" i="17" s="1"/>
  <c r="AA128" i="17" s="1"/>
  <c r="AB127" i="17" s="1"/>
  <c r="AC126" i="17" s="1"/>
  <c r="AD125" i="17" s="1"/>
  <c r="AE124" i="17" s="1"/>
  <c r="AF123" i="17" s="1"/>
  <c r="AG122" i="17" s="1"/>
  <c r="S133" i="17"/>
  <c r="T132" i="17" s="1"/>
  <c r="U131" i="17" s="1"/>
  <c r="R133" i="17"/>
  <c r="AG132" i="17"/>
  <c r="S132" i="17"/>
  <c r="T131" i="17" s="1"/>
  <c r="U130" i="17" s="1"/>
  <c r="V129" i="17" s="1"/>
  <c r="W128" i="17" s="1"/>
  <c r="X127" i="17" s="1"/>
  <c r="Y126" i="17" s="1"/>
  <c r="Z125" i="17" s="1"/>
  <c r="AA124" i="17" s="1"/>
  <c r="AB123" i="17" s="1"/>
  <c r="AC122" i="17" s="1"/>
  <c r="AD121" i="17" s="1"/>
  <c r="AE120" i="17" s="1"/>
  <c r="AF119" i="17" s="1"/>
  <c r="AG118" i="17" s="1"/>
  <c r="R132" i="17"/>
  <c r="S131" i="17"/>
  <c r="T130" i="17" s="1"/>
  <c r="U129" i="17" s="1"/>
  <c r="V128" i="17" s="1"/>
  <c r="W127" i="17" s="1"/>
  <c r="X126" i="17" s="1"/>
  <c r="Y125" i="17" s="1"/>
  <c r="Z124" i="17" s="1"/>
  <c r="AA123" i="17" s="1"/>
  <c r="AB122" i="17" s="1"/>
  <c r="AC121" i="17" s="1"/>
  <c r="AD120" i="17" s="1"/>
  <c r="AE119" i="17" s="1"/>
  <c r="AF118" i="17" s="1"/>
  <c r="AG117" i="17" s="1"/>
  <c r="R131" i="17"/>
  <c r="V130" i="17"/>
  <c r="W129" i="17" s="1"/>
  <c r="X128" i="17" s="1"/>
  <c r="Y127" i="17" s="1"/>
  <c r="Z126" i="17" s="1"/>
  <c r="AA125" i="17" s="1"/>
  <c r="AB124" i="17" s="1"/>
  <c r="AC123" i="17" s="1"/>
  <c r="AD122" i="17" s="1"/>
  <c r="AE121" i="17" s="1"/>
  <c r="AF120" i="17" s="1"/>
  <c r="AG119" i="17" s="1"/>
  <c r="S130" i="17"/>
  <c r="R130" i="17"/>
  <c r="T129" i="17"/>
  <c r="U128" i="17" s="1"/>
  <c r="V127" i="17" s="1"/>
  <c r="W126" i="17" s="1"/>
  <c r="X125" i="17" s="1"/>
  <c r="Y124" i="17" s="1"/>
  <c r="Z123" i="17" s="1"/>
  <c r="AA122" i="17" s="1"/>
  <c r="AB121" i="17" s="1"/>
  <c r="AC120" i="17" s="1"/>
  <c r="AD119" i="17" s="1"/>
  <c r="AE118" i="17" s="1"/>
  <c r="AF117" i="17" s="1"/>
  <c r="AG116" i="17" s="1"/>
  <c r="S129" i="17"/>
  <c r="T128" i="17" s="1"/>
  <c r="U127" i="17" s="1"/>
  <c r="V126" i="17" s="1"/>
  <c r="W125" i="17" s="1"/>
  <c r="X124" i="17" s="1"/>
  <c r="Y123" i="17" s="1"/>
  <c r="Z122" i="17" s="1"/>
  <c r="AA121" i="17" s="1"/>
  <c r="AB120" i="17" s="1"/>
  <c r="AC119" i="17" s="1"/>
  <c r="AD118" i="17" s="1"/>
  <c r="AE117" i="17" s="1"/>
  <c r="AF116" i="17" s="1"/>
  <c r="AG115" i="17" s="1"/>
  <c r="R129" i="17"/>
  <c r="S128" i="17"/>
  <c r="T127" i="17" s="1"/>
  <c r="R128" i="17"/>
  <c r="S127" i="17"/>
  <c r="T126" i="17" s="1"/>
  <c r="U125" i="17" s="1"/>
  <c r="V124" i="17" s="1"/>
  <c r="W123" i="17" s="1"/>
  <c r="X122" i="17" s="1"/>
  <c r="Y121" i="17" s="1"/>
  <c r="Z120" i="17" s="1"/>
  <c r="AA119" i="17" s="1"/>
  <c r="AB118" i="17" s="1"/>
  <c r="AC117" i="17" s="1"/>
  <c r="AD116" i="17" s="1"/>
  <c r="AE115" i="17" s="1"/>
  <c r="AF114" i="17" s="1"/>
  <c r="AG113" i="17" s="1"/>
  <c r="R127" i="17"/>
  <c r="AA126" i="17"/>
  <c r="AB125" i="17" s="1"/>
  <c r="AC124" i="17" s="1"/>
  <c r="AD123" i="17" s="1"/>
  <c r="AE122" i="17" s="1"/>
  <c r="AF121" i="17" s="1"/>
  <c r="AG120" i="17" s="1"/>
  <c r="U126" i="17"/>
  <c r="V125" i="17" s="1"/>
  <c r="W124" i="17" s="1"/>
  <c r="X123" i="17" s="1"/>
  <c r="Y122" i="17" s="1"/>
  <c r="Z121" i="17" s="1"/>
  <c r="AA120" i="17" s="1"/>
  <c r="AB119" i="17" s="1"/>
  <c r="AC118" i="17" s="1"/>
  <c r="AD117" i="17" s="1"/>
  <c r="AE116" i="17" s="1"/>
  <c r="AF115" i="17" s="1"/>
  <c r="AG114" i="17" s="1"/>
  <c r="S126" i="17"/>
  <c r="R126" i="17"/>
  <c r="T125" i="17"/>
  <c r="U124" i="17" s="1"/>
  <c r="V123" i="17" s="1"/>
  <c r="W122" i="17" s="1"/>
  <c r="X121" i="17" s="1"/>
  <c r="Y120" i="17" s="1"/>
  <c r="Z119" i="17" s="1"/>
  <c r="AA118" i="17" s="1"/>
  <c r="AB117" i="17" s="1"/>
  <c r="AC116" i="17" s="1"/>
  <c r="AD115" i="17" s="1"/>
  <c r="AE114" i="17" s="1"/>
  <c r="AF113" i="17" s="1"/>
  <c r="AG112" i="17" s="1"/>
  <c r="S125" i="17"/>
  <c r="T124" i="17" s="1"/>
  <c r="U123" i="17" s="1"/>
  <c r="V122" i="17" s="1"/>
  <c r="W121" i="17" s="1"/>
  <c r="X120" i="17" s="1"/>
  <c r="Y119" i="17" s="1"/>
  <c r="Z118" i="17" s="1"/>
  <c r="AA117" i="17" s="1"/>
  <c r="AB116" i="17" s="1"/>
  <c r="AC115" i="17" s="1"/>
  <c r="AD114" i="17" s="1"/>
  <c r="AE113" i="17" s="1"/>
  <c r="AF112" i="17" s="1"/>
  <c r="AG111" i="17" s="1"/>
  <c r="R125" i="17"/>
  <c r="S124" i="17"/>
  <c r="R124" i="17"/>
  <c r="T123" i="17"/>
  <c r="U122" i="17" s="1"/>
  <c r="V121" i="17" s="1"/>
  <c r="W120" i="17" s="1"/>
  <c r="X119" i="17" s="1"/>
  <c r="Y118" i="17" s="1"/>
  <c r="Z117" i="17" s="1"/>
  <c r="AA116" i="17" s="1"/>
  <c r="AB115" i="17" s="1"/>
  <c r="AC114" i="17" s="1"/>
  <c r="AD113" i="17" s="1"/>
  <c r="AE112" i="17" s="1"/>
  <c r="AF111" i="17" s="1"/>
  <c r="AG110" i="17" s="1"/>
  <c r="S123" i="17"/>
  <c r="T122" i="17" s="1"/>
  <c r="U121" i="17" s="1"/>
  <c r="V120" i="17" s="1"/>
  <c r="W119" i="17" s="1"/>
  <c r="X118" i="17" s="1"/>
  <c r="Y117" i="17" s="1"/>
  <c r="Z116" i="17" s="1"/>
  <c r="AA115" i="17" s="1"/>
  <c r="R123" i="17"/>
  <c r="S122" i="17"/>
  <c r="R122" i="17"/>
  <c r="T121" i="17"/>
  <c r="U120" i="17" s="1"/>
  <c r="V119" i="17" s="1"/>
  <c r="W118" i="17" s="1"/>
  <c r="X117" i="17" s="1"/>
  <c r="Y116" i="17" s="1"/>
  <c r="Z115" i="17" s="1"/>
  <c r="S121" i="17"/>
  <c r="T120" i="17" s="1"/>
  <c r="U119" i="17" s="1"/>
  <c r="V118" i="17" s="1"/>
  <c r="W117" i="17" s="1"/>
  <c r="X116" i="17" s="1"/>
  <c r="Y115" i="17" s="1"/>
  <c r="Z114" i="17" s="1"/>
  <c r="AA113" i="17" s="1"/>
  <c r="AB112" i="17" s="1"/>
  <c r="AC111" i="17" s="1"/>
  <c r="AD110" i="17" s="1"/>
  <c r="AE109" i="17" s="1"/>
  <c r="AF108" i="17" s="1"/>
  <c r="AG107" i="17" s="1"/>
  <c r="R121" i="17"/>
  <c r="S120" i="17"/>
  <c r="T119" i="17" s="1"/>
  <c r="U118" i="17" s="1"/>
  <c r="V117" i="17" s="1"/>
  <c r="W116" i="17" s="1"/>
  <c r="X115" i="17" s="1"/>
  <c r="Y114" i="17" s="1"/>
  <c r="Z113" i="17" s="1"/>
  <c r="AA112" i="17" s="1"/>
  <c r="AB111" i="17" s="1"/>
  <c r="AC110" i="17" s="1"/>
  <c r="AD109" i="17" s="1"/>
  <c r="AE108" i="17" s="1"/>
  <c r="AF107" i="17" s="1"/>
  <c r="AG106" i="17" s="1"/>
  <c r="R120" i="17"/>
  <c r="S119" i="17"/>
  <c r="T118" i="17" s="1"/>
  <c r="U117" i="17" s="1"/>
  <c r="V116" i="17" s="1"/>
  <c r="W115" i="17" s="1"/>
  <c r="X114" i="17" s="1"/>
  <c r="Y113" i="17" s="1"/>
  <c r="Z112" i="17" s="1"/>
  <c r="AA111" i="17" s="1"/>
  <c r="AB110" i="17" s="1"/>
  <c r="AC109" i="17" s="1"/>
  <c r="AD108" i="17" s="1"/>
  <c r="AE107" i="17" s="1"/>
  <c r="AF106" i="17" s="1"/>
  <c r="AG105" i="17" s="1"/>
  <c r="R119" i="17"/>
  <c r="S118" i="17"/>
  <c r="T117" i="17" s="1"/>
  <c r="R118" i="17"/>
  <c r="S117" i="17"/>
  <c r="T116" i="17" s="1"/>
  <c r="U115" i="17" s="1"/>
  <c r="V114" i="17" s="1"/>
  <c r="W113" i="17" s="1"/>
  <c r="X112" i="17" s="1"/>
  <c r="Y111" i="17" s="1"/>
  <c r="Z110" i="17" s="1"/>
  <c r="AA109" i="17" s="1"/>
  <c r="AB108" i="17" s="1"/>
  <c r="AC107" i="17" s="1"/>
  <c r="AD106" i="17" s="1"/>
  <c r="AE105" i="17" s="1"/>
  <c r="AF104" i="17" s="1"/>
  <c r="AG103" i="17" s="1"/>
  <c r="R117" i="17"/>
  <c r="U116" i="17"/>
  <c r="V115" i="17" s="1"/>
  <c r="W114" i="17" s="1"/>
  <c r="X113" i="17" s="1"/>
  <c r="Y112" i="17" s="1"/>
  <c r="Z111" i="17" s="1"/>
  <c r="AA110" i="17" s="1"/>
  <c r="AB109" i="17" s="1"/>
  <c r="AC108" i="17" s="1"/>
  <c r="AD107" i="17" s="1"/>
  <c r="AE106" i="17" s="1"/>
  <c r="AF105" i="17" s="1"/>
  <c r="AG104" i="17" s="1"/>
  <c r="S116" i="17"/>
  <c r="T115" i="17" s="1"/>
  <c r="R116" i="17"/>
  <c r="S115" i="17"/>
  <c r="T114" i="17" s="1"/>
  <c r="U113" i="17" s="1"/>
  <c r="R115" i="17"/>
  <c r="AB114" i="17"/>
  <c r="AC113" i="17" s="1"/>
  <c r="AD112" i="17" s="1"/>
  <c r="AE111" i="17" s="1"/>
  <c r="AF110" i="17" s="1"/>
  <c r="AG109" i="17" s="1"/>
  <c r="AA114" i="17"/>
  <c r="AB113" i="17" s="1"/>
  <c r="AC112" i="17" s="1"/>
  <c r="AD111" i="17" s="1"/>
  <c r="AE110" i="17" s="1"/>
  <c r="AF109" i="17" s="1"/>
  <c r="AG108" i="17" s="1"/>
  <c r="U114" i="17"/>
  <c r="V113" i="17" s="1"/>
  <c r="W112" i="17" s="1"/>
  <c r="X111" i="17" s="1"/>
  <c r="Y110" i="17" s="1"/>
  <c r="Z109" i="17" s="1"/>
  <c r="AA108" i="17" s="1"/>
  <c r="AB107" i="17" s="1"/>
  <c r="AC106" i="17" s="1"/>
  <c r="AD105" i="17" s="1"/>
  <c r="AE104" i="17" s="1"/>
  <c r="AF103" i="17" s="1"/>
  <c r="AG102" i="17" s="1"/>
  <c r="S114" i="17"/>
  <c r="T113" i="17" s="1"/>
  <c r="U112" i="17" s="1"/>
  <c r="V111" i="17" s="1"/>
  <c r="W110" i="17" s="1"/>
  <c r="X109" i="17" s="1"/>
  <c r="Y108" i="17" s="1"/>
  <c r="Z107" i="17" s="1"/>
  <c r="AA106" i="17" s="1"/>
  <c r="AB105" i="17" s="1"/>
  <c r="AC104" i="17" s="1"/>
  <c r="AD103" i="17" s="1"/>
  <c r="AE102" i="17" s="1"/>
  <c r="AF101" i="17" s="1"/>
  <c r="AG100" i="17" s="1"/>
  <c r="R114" i="17"/>
  <c r="S113" i="17"/>
  <c r="T112" i="17" s="1"/>
  <c r="U111" i="17" s="1"/>
  <c r="V110" i="17" s="1"/>
  <c r="W109" i="17" s="1"/>
  <c r="X108" i="17" s="1"/>
  <c r="Y107" i="17" s="1"/>
  <c r="Z106" i="17" s="1"/>
  <c r="AA105" i="17" s="1"/>
  <c r="AB104" i="17" s="1"/>
  <c r="R113" i="17"/>
  <c r="V112" i="17"/>
  <c r="W111" i="17" s="1"/>
  <c r="X110" i="17" s="1"/>
  <c r="Y109" i="17" s="1"/>
  <c r="Z108" i="17" s="1"/>
  <c r="AA107" i="17" s="1"/>
  <c r="S112" i="17"/>
  <c r="R112" i="17"/>
  <c r="T111" i="17"/>
  <c r="S111" i="17"/>
  <c r="T110" i="17" s="1"/>
  <c r="U109" i="17" s="1"/>
  <c r="V108" i="17" s="1"/>
  <c r="W107" i="17" s="1"/>
  <c r="X106" i="17" s="1"/>
  <c r="Y105" i="17" s="1"/>
  <c r="Z104" i="17" s="1"/>
  <c r="AA103" i="17" s="1"/>
  <c r="AB102" i="17" s="1"/>
  <c r="AC101" i="17" s="1"/>
  <c r="AD100" i="17" s="1"/>
  <c r="AE99" i="17" s="1"/>
  <c r="AF98" i="17" s="1"/>
  <c r="AG97" i="17" s="1"/>
  <c r="R111" i="17"/>
  <c r="U110" i="17"/>
  <c r="V109" i="17" s="1"/>
  <c r="W108" i="17" s="1"/>
  <c r="X107" i="17" s="1"/>
  <c r="Y106" i="17" s="1"/>
  <c r="Z105" i="17" s="1"/>
  <c r="AA104" i="17" s="1"/>
  <c r="AB103" i="17" s="1"/>
  <c r="AC102" i="17" s="1"/>
  <c r="AD101" i="17" s="1"/>
  <c r="AE100" i="17" s="1"/>
  <c r="AF99" i="17" s="1"/>
  <c r="AG98" i="17" s="1"/>
  <c r="S110" i="17"/>
  <c r="T109" i="17" s="1"/>
  <c r="R110" i="17"/>
  <c r="S109" i="17"/>
  <c r="T108" i="17" s="1"/>
  <c r="U107" i="17" s="1"/>
  <c r="V106" i="17" s="1"/>
  <c r="W105" i="17" s="1"/>
  <c r="X104" i="17" s="1"/>
  <c r="Y103" i="17" s="1"/>
  <c r="Z102" i="17" s="1"/>
  <c r="AA101" i="17" s="1"/>
  <c r="AB100" i="17" s="1"/>
  <c r="AC99" i="17" s="1"/>
  <c r="AD98" i="17" s="1"/>
  <c r="AE97" i="17" s="1"/>
  <c r="AF96" i="17" s="1"/>
  <c r="AG95" i="17" s="1"/>
  <c r="R109" i="17"/>
  <c r="U108" i="17"/>
  <c r="V107" i="17" s="1"/>
  <c r="W106" i="17" s="1"/>
  <c r="X105" i="17" s="1"/>
  <c r="Y104" i="17" s="1"/>
  <c r="Z103" i="17" s="1"/>
  <c r="AA102" i="17" s="1"/>
  <c r="AB101" i="17" s="1"/>
  <c r="AC100" i="17" s="1"/>
  <c r="AD99" i="17" s="1"/>
  <c r="AE98" i="17" s="1"/>
  <c r="AF97" i="17" s="1"/>
  <c r="AG96" i="17" s="1"/>
  <c r="S108" i="17"/>
  <c r="R108" i="17"/>
  <c r="T107" i="17"/>
  <c r="S107" i="17"/>
  <c r="T106" i="17" s="1"/>
  <c r="U105" i="17" s="1"/>
  <c r="V104" i="17" s="1"/>
  <c r="W103" i="17" s="1"/>
  <c r="X102" i="17" s="1"/>
  <c r="Y101" i="17" s="1"/>
  <c r="Z100" i="17" s="1"/>
  <c r="AA99" i="17" s="1"/>
  <c r="AB98" i="17" s="1"/>
  <c r="AC97" i="17" s="1"/>
  <c r="AD96" i="17" s="1"/>
  <c r="R107" i="17"/>
  <c r="AB106" i="17"/>
  <c r="AC105" i="17" s="1"/>
  <c r="AD104" i="17" s="1"/>
  <c r="AE103" i="17" s="1"/>
  <c r="AF102" i="17" s="1"/>
  <c r="AG101" i="17" s="1"/>
  <c r="U106" i="17"/>
  <c r="V105" i="17" s="1"/>
  <c r="W104" i="17" s="1"/>
  <c r="X103" i="17" s="1"/>
  <c r="Y102" i="17" s="1"/>
  <c r="Z101" i="17" s="1"/>
  <c r="AA100" i="17" s="1"/>
  <c r="AB99" i="17" s="1"/>
  <c r="AC98" i="17" s="1"/>
  <c r="AD97" i="17" s="1"/>
  <c r="AE96" i="17" s="1"/>
  <c r="AF95" i="17" s="1"/>
  <c r="AG94" i="17" s="1"/>
  <c r="S106" i="17"/>
  <c r="R106" i="17"/>
  <c r="T105" i="17"/>
  <c r="U104" i="17" s="1"/>
  <c r="V103" i="17" s="1"/>
  <c r="W102" i="17" s="1"/>
  <c r="X101" i="17" s="1"/>
  <c r="Y100" i="17" s="1"/>
  <c r="Z99" i="17" s="1"/>
  <c r="AA98" i="17" s="1"/>
  <c r="AB97" i="17" s="1"/>
  <c r="AC96" i="17" s="1"/>
  <c r="AD95" i="17" s="1"/>
  <c r="AE94" i="17" s="1"/>
  <c r="AF93" i="17" s="1"/>
  <c r="AG92" i="17" s="1"/>
  <c r="S105" i="17"/>
  <c r="T104" i="17" s="1"/>
  <c r="U103" i="17" s="1"/>
  <c r="V102" i="17" s="1"/>
  <c r="W101" i="17" s="1"/>
  <c r="X100" i="17" s="1"/>
  <c r="Y99" i="17" s="1"/>
  <c r="Z98" i="17" s="1"/>
  <c r="AA97" i="17" s="1"/>
  <c r="AB96" i="17" s="1"/>
  <c r="AC95" i="17" s="1"/>
  <c r="AD94" i="17" s="1"/>
  <c r="AE93" i="17" s="1"/>
  <c r="AF92" i="17" s="1"/>
  <c r="AG91" i="17" s="1"/>
  <c r="R105" i="17"/>
  <c r="S104" i="17"/>
  <c r="R104" i="17"/>
  <c r="AC103" i="17"/>
  <c r="AD102" i="17" s="1"/>
  <c r="AE101" i="17" s="1"/>
  <c r="AF100" i="17" s="1"/>
  <c r="AG99" i="17" s="1"/>
  <c r="T103" i="17"/>
  <c r="U102" i="17" s="1"/>
  <c r="V101" i="17" s="1"/>
  <c r="W100" i="17" s="1"/>
  <c r="X99" i="17" s="1"/>
  <c r="Y98" i="17" s="1"/>
  <c r="Z97" i="17" s="1"/>
  <c r="AA96" i="17" s="1"/>
  <c r="AB95" i="17" s="1"/>
  <c r="AC94" i="17" s="1"/>
  <c r="AD93" i="17" s="1"/>
  <c r="AE92" i="17" s="1"/>
  <c r="AF91" i="17" s="1"/>
  <c r="AG90" i="17" s="1"/>
  <c r="S103" i="17"/>
  <c r="T102" i="17" s="1"/>
  <c r="U101" i="17" s="1"/>
  <c r="V100" i="17" s="1"/>
  <c r="W99" i="17" s="1"/>
  <c r="X98" i="17" s="1"/>
  <c r="Y97" i="17" s="1"/>
  <c r="Z96" i="17" s="1"/>
  <c r="AA95" i="17" s="1"/>
  <c r="AB94" i="17" s="1"/>
  <c r="AC93" i="17" s="1"/>
  <c r="AD92" i="17" s="1"/>
  <c r="AE91" i="17" s="1"/>
  <c r="AF90" i="17" s="1"/>
  <c r="AG89" i="17" s="1"/>
  <c r="R103" i="17"/>
  <c r="S102" i="17"/>
  <c r="R102" i="17"/>
  <c r="T101" i="17"/>
  <c r="U100" i="17" s="1"/>
  <c r="V99" i="17" s="1"/>
  <c r="W98" i="17" s="1"/>
  <c r="X97" i="17" s="1"/>
  <c r="Y96" i="17" s="1"/>
  <c r="Z95" i="17" s="1"/>
  <c r="AA94" i="17" s="1"/>
  <c r="AB93" i="17" s="1"/>
  <c r="AC92" i="17" s="1"/>
  <c r="S101" i="17"/>
  <c r="T100" i="17" s="1"/>
  <c r="U99" i="17" s="1"/>
  <c r="R101" i="17"/>
  <c r="S100" i="17"/>
  <c r="R100" i="17"/>
  <c r="T99" i="17"/>
  <c r="U98" i="17" s="1"/>
  <c r="V97" i="17" s="1"/>
  <c r="W96" i="17" s="1"/>
  <c r="X95" i="17" s="1"/>
  <c r="Y94" i="17" s="1"/>
  <c r="Z93" i="17" s="1"/>
  <c r="AA92" i="17" s="1"/>
  <c r="AB91" i="17" s="1"/>
  <c r="AC90" i="17" s="1"/>
  <c r="AD89" i="17" s="1"/>
  <c r="AE88" i="17" s="1"/>
  <c r="AF87" i="17" s="1"/>
  <c r="AG86" i="17" s="1"/>
  <c r="S99" i="17"/>
  <c r="T98" i="17" s="1"/>
  <c r="U97" i="17" s="1"/>
  <c r="V96" i="17" s="1"/>
  <c r="W95" i="17" s="1"/>
  <c r="X94" i="17" s="1"/>
  <c r="Y93" i="17" s="1"/>
  <c r="Z92" i="17" s="1"/>
  <c r="AA91" i="17" s="1"/>
  <c r="AB90" i="17" s="1"/>
  <c r="AC89" i="17" s="1"/>
  <c r="AD88" i="17" s="1"/>
  <c r="AE87" i="17" s="1"/>
  <c r="AF86" i="17" s="1"/>
  <c r="AG85" i="17" s="1"/>
  <c r="R99" i="17"/>
  <c r="V98" i="17"/>
  <c r="W97" i="17" s="1"/>
  <c r="X96" i="17" s="1"/>
  <c r="Y95" i="17" s="1"/>
  <c r="Z94" i="17" s="1"/>
  <c r="AA93" i="17" s="1"/>
  <c r="AB92" i="17" s="1"/>
  <c r="AC91" i="17" s="1"/>
  <c r="AD90" i="17" s="1"/>
  <c r="AE89" i="17" s="1"/>
  <c r="AF88" i="17" s="1"/>
  <c r="AG87" i="17" s="1"/>
  <c r="S98" i="17"/>
  <c r="R98" i="17"/>
  <c r="T97" i="17"/>
  <c r="S97" i="17"/>
  <c r="R97" i="17"/>
  <c r="U96" i="17"/>
  <c r="V95" i="17" s="1"/>
  <c r="W94" i="17" s="1"/>
  <c r="X93" i="17" s="1"/>
  <c r="Y92" i="17" s="1"/>
  <c r="Z91" i="17" s="1"/>
  <c r="AA90" i="17" s="1"/>
  <c r="AB89" i="17" s="1"/>
  <c r="AC88" i="17" s="1"/>
  <c r="AD87" i="17" s="1"/>
  <c r="AE86" i="17" s="1"/>
  <c r="AF85" i="17" s="1"/>
  <c r="AG84" i="17" s="1"/>
  <c r="T96" i="17"/>
  <c r="U95" i="17" s="1"/>
  <c r="V94" i="17" s="1"/>
  <c r="W93" i="17" s="1"/>
  <c r="X92" i="17" s="1"/>
  <c r="Y91" i="17" s="1"/>
  <c r="Z90" i="17" s="1"/>
  <c r="AA89" i="17" s="1"/>
  <c r="AB88" i="17" s="1"/>
  <c r="AC87" i="17" s="1"/>
  <c r="AD86" i="17" s="1"/>
  <c r="AE85" i="17" s="1"/>
  <c r="AF84" i="17" s="1"/>
  <c r="AG83" i="17" s="1"/>
  <c r="S96" i="17"/>
  <c r="T95" i="17" s="1"/>
  <c r="U94" i="17" s="1"/>
  <c r="R96" i="17"/>
  <c r="AE95" i="17"/>
  <c r="AF94" i="17" s="1"/>
  <c r="AG93" i="17" s="1"/>
  <c r="S95" i="17"/>
  <c r="T94" i="17" s="1"/>
  <c r="R95" i="17"/>
  <c r="S94" i="17"/>
  <c r="R94" i="17"/>
  <c r="V93" i="17"/>
  <c r="W92" i="17" s="1"/>
  <c r="X91" i="17" s="1"/>
  <c r="Y90" i="17" s="1"/>
  <c r="Z89" i="17" s="1"/>
  <c r="AA88" i="17" s="1"/>
  <c r="AB87" i="17" s="1"/>
  <c r="AC86" i="17" s="1"/>
  <c r="AD85" i="17" s="1"/>
  <c r="AE84" i="17" s="1"/>
  <c r="AF83" i="17" s="1"/>
  <c r="AG82" i="17" s="1"/>
  <c r="U93" i="17"/>
  <c r="V92" i="17" s="1"/>
  <c r="W91" i="17" s="1"/>
  <c r="X90" i="17" s="1"/>
  <c r="Y89" i="17" s="1"/>
  <c r="Z88" i="17" s="1"/>
  <c r="AA87" i="17" s="1"/>
  <c r="AB86" i="17" s="1"/>
  <c r="AC85" i="17" s="1"/>
  <c r="AD84" i="17" s="1"/>
  <c r="T93" i="17"/>
  <c r="S93" i="17"/>
  <c r="R93" i="17"/>
  <c r="U92" i="17"/>
  <c r="V91" i="17" s="1"/>
  <c r="W90" i="17" s="1"/>
  <c r="X89" i="17" s="1"/>
  <c r="Y88" i="17" s="1"/>
  <c r="Z87" i="17" s="1"/>
  <c r="AA86" i="17" s="1"/>
  <c r="AB85" i="17" s="1"/>
  <c r="AC84" i="17" s="1"/>
  <c r="AD83" i="17" s="1"/>
  <c r="AE82" i="17" s="1"/>
  <c r="AF81" i="17" s="1"/>
  <c r="AG80" i="17" s="1"/>
  <c r="T92" i="17"/>
  <c r="U91" i="17" s="1"/>
  <c r="V90" i="17" s="1"/>
  <c r="W89" i="17" s="1"/>
  <c r="X88" i="17" s="1"/>
  <c r="Y87" i="17" s="1"/>
  <c r="Z86" i="17" s="1"/>
  <c r="AA85" i="17" s="1"/>
  <c r="AB84" i="17" s="1"/>
  <c r="AC83" i="17" s="1"/>
  <c r="AD82" i="17" s="1"/>
  <c r="AE81" i="17" s="1"/>
  <c r="AF80" i="17" s="1"/>
  <c r="AG79" i="17" s="1"/>
  <c r="S92" i="17"/>
  <c r="T91" i="17" s="1"/>
  <c r="U90" i="17" s="1"/>
  <c r="V89" i="17" s="1"/>
  <c r="W88" i="17" s="1"/>
  <c r="X87" i="17" s="1"/>
  <c r="Y86" i="17" s="1"/>
  <c r="Z85" i="17" s="1"/>
  <c r="AA84" i="17" s="1"/>
  <c r="AB83" i="17" s="1"/>
  <c r="AC82" i="17" s="1"/>
  <c r="AD81" i="17" s="1"/>
  <c r="AE80" i="17" s="1"/>
  <c r="AF79" i="17" s="1"/>
  <c r="AG78" i="17" s="1"/>
  <c r="R92" i="17"/>
  <c r="AD91" i="17"/>
  <c r="AE90" i="17" s="1"/>
  <c r="AF89" i="17" s="1"/>
  <c r="AG88" i="17" s="1"/>
  <c r="S91" i="17"/>
  <c r="T90" i="17" s="1"/>
  <c r="R91" i="17"/>
  <c r="S90" i="17"/>
  <c r="R90" i="17"/>
  <c r="U89" i="17"/>
  <c r="V88" i="17" s="1"/>
  <c r="W87" i="17" s="1"/>
  <c r="X86" i="17" s="1"/>
  <c r="Y85" i="17" s="1"/>
  <c r="Z84" i="17" s="1"/>
  <c r="AA83" i="17" s="1"/>
  <c r="AB82" i="17" s="1"/>
  <c r="AC81" i="17" s="1"/>
  <c r="AD80" i="17" s="1"/>
  <c r="AE79" i="17" s="1"/>
  <c r="AF78" i="17" s="1"/>
  <c r="AG77" i="17" s="1"/>
  <c r="T89" i="17"/>
  <c r="U88" i="17" s="1"/>
  <c r="V87" i="17" s="1"/>
  <c r="W86" i="17" s="1"/>
  <c r="X85" i="17" s="1"/>
  <c r="Y84" i="17" s="1"/>
  <c r="Z83" i="17" s="1"/>
  <c r="AA82" i="17" s="1"/>
  <c r="AB81" i="17" s="1"/>
  <c r="AC80" i="17" s="1"/>
  <c r="AD79" i="17" s="1"/>
  <c r="AE78" i="17" s="1"/>
  <c r="AF77" i="17" s="1"/>
  <c r="AG76" i="17" s="1"/>
  <c r="S89" i="17"/>
  <c r="T88" i="17" s="1"/>
  <c r="U87" i="17" s="1"/>
  <c r="V86" i="17" s="1"/>
  <c r="W85" i="17" s="1"/>
  <c r="X84" i="17" s="1"/>
  <c r="Y83" i="17" s="1"/>
  <c r="Z82" i="17" s="1"/>
  <c r="AA81" i="17" s="1"/>
  <c r="AB80" i="17" s="1"/>
  <c r="AC79" i="17" s="1"/>
  <c r="AD78" i="17" s="1"/>
  <c r="AE77" i="17" s="1"/>
  <c r="AF76" i="17" s="1"/>
  <c r="AG75" i="17" s="1"/>
  <c r="R89" i="17"/>
  <c r="S88" i="17"/>
  <c r="R88" i="17"/>
  <c r="T87" i="17"/>
  <c r="U86" i="17" s="1"/>
  <c r="V85" i="17" s="1"/>
  <c r="W84" i="17" s="1"/>
  <c r="X83" i="17" s="1"/>
  <c r="Y82" i="17" s="1"/>
  <c r="Z81" i="17" s="1"/>
  <c r="AA80" i="17" s="1"/>
  <c r="AB79" i="17" s="1"/>
  <c r="AC78" i="17" s="1"/>
  <c r="AD77" i="17" s="1"/>
  <c r="AE76" i="17" s="1"/>
  <c r="AF75" i="17" s="1"/>
  <c r="AG74" i="17" s="1"/>
  <c r="S87" i="17"/>
  <c r="T86" i="17" s="1"/>
  <c r="U85" i="17" s="1"/>
  <c r="V84" i="17" s="1"/>
  <c r="W83" i="17" s="1"/>
  <c r="X82" i="17" s="1"/>
  <c r="Y81" i="17" s="1"/>
  <c r="Z80" i="17" s="1"/>
  <c r="R87" i="17"/>
  <c r="S86" i="17"/>
  <c r="R86" i="17"/>
  <c r="T85" i="17"/>
  <c r="S85" i="17"/>
  <c r="T84" i="17" s="1"/>
  <c r="U83" i="17" s="1"/>
  <c r="V82" i="17" s="1"/>
  <c r="W81" i="17" s="1"/>
  <c r="X80" i="17" s="1"/>
  <c r="Y79" i="17" s="1"/>
  <c r="Z78" i="17" s="1"/>
  <c r="AA77" i="17" s="1"/>
  <c r="AB76" i="17" s="1"/>
  <c r="AC75" i="17" s="1"/>
  <c r="AD74" i="17" s="1"/>
  <c r="AE73" i="17" s="1"/>
  <c r="AF72" i="17" s="1"/>
  <c r="AG71" i="17" s="1"/>
  <c r="R85" i="17"/>
  <c r="U84" i="17"/>
  <c r="V83" i="17" s="1"/>
  <c r="W82" i="17" s="1"/>
  <c r="X81" i="17" s="1"/>
  <c r="Y80" i="17" s="1"/>
  <c r="Z79" i="17" s="1"/>
  <c r="AA78" i="17" s="1"/>
  <c r="AB77" i="17" s="1"/>
  <c r="AC76" i="17" s="1"/>
  <c r="AD75" i="17" s="1"/>
  <c r="AE74" i="17" s="1"/>
  <c r="AF73" i="17" s="1"/>
  <c r="AG72" i="17" s="1"/>
  <c r="S84" i="17"/>
  <c r="T83" i="17" s="1"/>
  <c r="U82" i="17" s="1"/>
  <c r="V81" i="17" s="1"/>
  <c r="W80" i="17" s="1"/>
  <c r="X79" i="17" s="1"/>
  <c r="Y78" i="17" s="1"/>
  <c r="Z77" i="17" s="1"/>
  <c r="AA76" i="17" s="1"/>
  <c r="AB75" i="17" s="1"/>
  <c r="AC74" i="17" s="1"/>
  <c r="AD73" i="17" s="1"/>
  <c r="AE72" i="17" s="1"/>
  <c r="AF71" i="17" s="1"/>
  <c r="AG70" i="17" s="1"/>
  <c r="R84" i="17"/>
  <c r="AE83" i="17"/>
  <c r="AF82" i="17" s="1"/>
  <c r="AG81" i="17" s="1"/>
  <c r="S83" i="17"/>
  <c r="T82" i="17" s="1"/>
  <c r="U81" i="17" s="1"/>
  <c r="V80" i="17" s="1"/>
  <c r="W79" i="17" s="1"/>
  <c r="X78" i="17" s="1"/>
  <c r="Y77" i="17" s="1"/>
  <c r="Z76" i="17" s="1"/>
  <c r="AA75" i="17" s="1"/>
  <c r="AB74" i="17" s="1"/>
  <c r="AC73" i="17" s="1"/>
  <c r="AD72" i="17" s="1"/>
  <c r="AE71" i="17" s="1"/>
  <c r="AF70" i="17" s="1"/>
  <c r="AG69" i="17" s="1"/>
  <c r="R83" i="17"/>
  <c r="S82" i="17"/>
  <c r="T81" i="17" s="1"/>
  <c r="U80" i="17" s="1"/>
  <c r="V79" i="17" s="1"/>
  <c r="W78" i="17" s="1"/>
  <c r="X77" i="17" s="1"/>
  <c r="Y76" i="17" s="1"/>
  <c r="Z75" i="17" s="1"/>
  <c r="AA74" i="17" s="1"/>
  <c r="AB73" i="17" s="1"/>
  <c r="AC72" i="17" s="1"/>
  <c r="AD71" i="17" s="1"/>
  <c r="AE70" i="17" s="1"/>
  <c r="AF69" i="17" s="1"/>
  <c r="AG68" i="17" s="1"/>
  <c r="R82" i="17"/>
  <c r="S81" i="17"/>
  <c r="T80" i="17" s="1"/>
  <c r="U79" i="17" s="1"/>
  <c r="V78" i="17" s="1"/>
  <c r="W77" i="17" s="1"/>
  <c r="X76" i="17" s="1"/>
  <c r="Y75" i="17" s="1"/>
  <c r="Z74" i="17" s="1"/>
  <c r="AA73" i="17" s="1"/>
  <c r="AB72" i="17" s="1"/>
  <c r="AC71" i="17" s="1"/>
  <c r="AD70" i="17" s="1"/>
  <c r="AE69" i="17" s="1"/>
  <c r="AF68" i="17" s="1"/>
  <c r="AG67" i="17" s="1"/>
  <c r="R81" i="17"/>
  <c r="S80" i="17"/>
  <c r="T79" i="17" s="1"/>
  <c r="U78" i="17" s="1"/>
  <c r="V77" i="17" s="1"/>
  <c r="W76" i="17" s="1"/>
  <c r="X75" i="17" s="1"/>
  <c r="Y74" i="17" s="1"/>
  <c r="Z73" i="17" s="1"/>
  <c r="AA72" i="17" s="1"/>
  <c r="AB71" i="17" s="1"/>
  <c r="AC70" i="17" s="1"/>
  <c r="AD69" i="17" s="1"/>
  <c r="AE68" i="17" s="1"/>
  <c r="AF67" i="17" s="1"/>
  <c r="AG66" i="17" s="1"/>
  <c r="R80" i="17"/>
  <c r="AA79" i="17"/>
  <c r="AB78" i="17" s="1"/>
  <c r="AC77" i="17" s="1"/>
  <c r="AD76" i="17" s="1"/>
  <c r="AE75" i="17" s="1"/>
  <c r="AF74" i="17" s="1"/>
  <c r="AG73" i="17" s="1"/>
  <c r="S79" i="17"/>
  <c r="T78" i="17" s="1"/>
  <c r="U77" i="17" s="1"/>
  <c r="V76" i="17" s="1"/>
  <c r="W75" i="17" s="1"/>
  <c r="X74" i="17" s="1"/>
  <c r="Y73" i="17" s="1"/>
  <c r="Z72" i="17" s="1"/>
  <c r="AA71" i="17" s="1"/>
  <c r="AB70" i="17" s="1"/>
  <c r="AC69" i="17" s="1"/>
  <c r="AD68" i="17" s="1"/>
  <c r="AE67" i="17" s="1"/>
  <c r="AF66" i="17" s="1"/>
  <c r="AG65" i="17" s="1"/>
  <c r="R79" i="17"/>
  <c r="S78" i="17"/>
  <c r="T77" i="17" s="1"/>
  <c r="U76" i="17" s="1"/>
  <c r="V75" i="17" s="1"/>
  <c r="W74" i="17" s="1"/>
  <c r="X73" i="17" s="1"/>
  <c r="Y72" i="17" s="1"/>
  <c r="Z71" i="17" s="1"/>
  <c r="AA70" i="17" s="1"/>
  <c r="AB69" i="17" s="1"/>
  <c r="AC68" i="17" s="1"/>
  <c r="AD67" i="17" s="1"/>
  <c r="AE66" i="17" s="1"/>
  <c r="AF65" i="17" s="1"/>
  <c r="AG64" i="17" s="1"/>
  <c r="R78" i="17"/>
  <c r="S77" i="17"/>
  <c r="R77" i="17"/>
  <c r="T76" i="17"/>
  <c r="U75" i="17" s="1"/>
  <c r="V74" i="17" s="1"/>
  <c r="W73" i="17" s="1"/>
  <c r="X72" i="17" s="1"/>
  <c r="Y71" i="17" s="1"/>
  <c r="Z70" i="17" s="1"/>
  <c r="AA69" i="17" s="1"/>
  <c r="AB68" i="17" s="1"/>
  <c r="AC67" i="17" s="1"/>
  <c r="AD66" i="17" s="1"/>
  <c r="AE65" i="17" s="1"/>
  <c r="AF64" i="17" s="1"/>
  <c r="AG63" i="17" s="1"/>
  <c r="S76" i="17"/>
  <c r="T75" i="17" s="1"/>
  <c r="U74" i="17" s="1"/>
  <c r="V73" i="17" s="1"/>
  <c r="W72" i="17" s="1"/>
  <c r="X71" i="17" s="1"/>
  <c r="Y70" i="17" s="1"/>
  <c r="Z69" i="17" s="1"/>
  <c r="AA68" i="17" s="1"/>
  <c r="AB67" i="17" s="1"/>
  <c r="AC66" i="17" s="1"/>
  <c r="AD65" i="17" s="1"/>
  <c r="AE64" i="17" s="1"/>
  <c r="AF63" i="17" s="1"/>
  <c r="AG62" i="17" s="1"/>
  <c r="R76" i="17"/>
  <c r="S75" i="17"/>
  <c r="T74" i="17" s="1"/>
  <c r="U73" i="17" s="1"/>
  <c r="V72" i="17" s="1"/>
  <c r="R75" i="17"/>
  <c r="S74" i="17"/>
  <c r="T73" i="17" s="1"/>
  <c r="U72" i="17" s="1"/>
  <c r="V71" i="17" s="1"/>
  <c r="W70" i="17" s="1"/>
  <c r="X69" i="17" s="1"/>
  <c r="Y68" i="17" s="1"/>
  <c r="Z67" i="17" s="1"/>
  <c r="AA66" i="17" s="1"/>
  <c r="AB65" i="17" s="1"/>
  <c r="AC64" i="17" s="1"/>
  <c r="AD63" i="17" s="1"/>
  <c r="AE62" i="17" s="1"/>
  <c r="AF61" i="17" s="1"/>
  <c r="AG60" i="17" s="1"/>
  <c r="R74" i="17"/>
  <c r="S73" i="17"/>
  <c r="T72" i="17" s="1"/>
  <c r="U71" i="17" s="1"/>
  <c r="V70" i="17" s="1"/>
  <c r="W69" i="17" s="1"/>
  <c r="X68" i="17" s="1"/>
  <c r="Y67" i="17" s="1"/>
  <c r="Z66" i="17" s="1"/>
  <c r="AA65" i="17" s="1"/>
  <c r="AB64" i="17" s="1"/>
  <c r="AC63" i="17" s="1"/>
  <c r="AD62" i="17" s="1"/>
  <c r="AE61" i="17" s="1"/>
  <c r="AF60" i="17" s="1"/>
  <c r="AG59" i="17" s="1"/>
  <c r="R73" i="17"/>
  <c r="S72" i="17"/>
  <c r="R72" i="17"/>
  <c r="W71" i="17"/>
  <c r="X70" i="17" s="1"/>
  <c r="Y69" i="17" s="1"/>
  <c r="Z68" i="17" s="1"/>
  <c r="AA67" i="17" s="1"/>
  <c r="AB66" i="17" s="1"/>
  <c r="AC65" i="17" s="1"/>
  <c r="AD64" i="17" s="1"/>
  <c r="AE63" i="17" s="1"/>
  <c r="AF62" i="17" s="1"/>
  <c r="AG61" i="17" s="1"/>
  <c r="T71" i="17"/>
  <c r="U70" i="17" s="1"/>
  <c r="V69" i="17" s="1"/>
  <c r="W68" i="17" s="1"/>
  <c r="X67" i="17" s="1"/>
  <c r="Y66" i="17" s="1"/>
  <c r="Z65" i="17" s="1"/>
  <c r="AA64" i="17" s="1"/>
  <c r="S71" i="17"/>
  <c r="T70" i="17" s="1"/>
  <c r="U69" i="17" s="1"/>
  <c r="V68" i="17" s="1"/>
  <c r="W67" i="17" s="1"/>
  <c r="X66" i="17" s="1"/>
  <c r="Y65" i="17" s="1"/>
  <c r="Z64" i="17" s="1"/>
  <c r="AA63" i="17" s="1"/>
  <c r="AB62" i="17" s="1"/>
  <c r="AC61" i="17" s="1"/>
  <c r="AD60" i="17" s="1"/>
  <c r="AE59" i="17" s="1"/>
  <c r="AF58" i="17" s="1"/>
  <c r="AG57" i="17" s="1"/>
  <c r="R71" i="17"/>
  <c r="S70" i="17"/>
  <c r="T69" i="17" s="1"/>
  <c r="U68" i="17" s="1"/>
  <c r="V67" i="17" s="1"/>
  <c r="W66" i="17" s="1"/>
  <c r="R70" i="17"/>
  <c r="S69" i="17"/>
  <c r="T68" i="17" s="1"/>
  <c r="R69" i="17"/>
  <c r="S68" i="17"/>
  <c r="T67" i="17" s="1"/>
  <c r="R68" i="17"/>
  <c r="U67" i="17"/>
  <c r="V66" i="17" s="1"/>
  <c r="W65" i="17" s="1"/>
  <c r="X64" i="17" s="1"/>
  <c r="Y63" i="17" s="1"/>
  <c r="Z62" i="17" s="1"/>
  <c r="AA61" i="17" s="1"/>
  <c r="AB60" i="17" s="1"/>
  <c r="AC59" i="17" s="1"/>
  <c r="AD58" i="17" s="1"/>
  <c r="AE57" i="17" s="1"/>
  <c r="AF56" i="17" s="1"/>
  <c r="AG55" i="17" s="1"/>
  <c r="S67" i="17"/>
  <c r="T66" i="17" s="1"/>
  <c r="U65" i="17" s="1"/>
  <c r="V64" i="17" s="1"/>
  <c r="W63" i="17" s="1"/>
  <c r="X62" i="17" s="1"/>
  <c r="Y61" i="17" s="1"/>
  <c r="Z60" i="17" s="1"/>
  <c r="AA59" i="17" s="1"/>
  <c r="AB58" i="17" s="1"/>
  <c r="AC57" i="17" s="1"/>
  <c r="AD56" i="17" s="1"/>
  <c r="AE55" i="17" s="1"/>
  <c r="AF54" i="17" s="1"/>
  <c r="AG53" i="17" s="1"/>
  <c r="R67" i="17"/>
  <c r="U66" i="17"/>
  <c r="V65" i="17" s="1"/>
  <c r="W64" i="17" s="1"/>
  <c r="X63" i="17" s="1"/>
  <c r="Y62" i="17" s="1"/>
  <c r="Z61" i="17" s="1"/>
  <c r="AA60" i="17" s="1"/>
  <c r="AB59" i="17" s="1"/>
  <c r="AC58" i="17" s="1"/>
  <c r="AD57" i="17" s="1"/>
  <c r="AE56" i="17" s="1"/>
  <c r="AF55" i="17" s="1"/>
  <c r="AG54" i="17" s="1"/>
  <c r="S66" i="17"/>
  <c r="R66" i="17"/>
  <c r="X65" i="17"/>
  <c r="Y64" i="17" s="1"/>
  <c r="Z63" i="17" s="1"/>
  <c r="AA62" i="17" s="1"/>
  <c r="AB61" i="17" s="1"/>
  <c r="AC60" i="17" s="1"/>
  <c r="AD59" i="17" s="1"/>
  <c r="AE58" i="17" s="1"/>
  <c r="AF57" i="17" s="1"/>
  <c r="AG56" i="17" s="1"/>
  <c r="T65" i="17"/>
  <c r="U64" i="17" s="1"/>
  <c r="V63" i="17" s="1"/>
  <c r="W62" i="17" s="1"/>
  <c r="X61" i="17" s="1"/>
  <c r="Y60" i="17" s="1"/>
  <c r="Z59" i="17" s="1"/>
  <c r="AA58" i="17" s="1"/>
  <c r="AB57" i="17" s="1"/>
  <c r="AC56" i="17" s="1"/>
  <c r="AD55" i="17" s="1"/>
  <c r="AE54" i="17" s="1"/>
  <c r="AF53" i="17" s="1"/>
  <c r="AG52" i="17" s="1"/>
  <c r="S65" i="17"/>
  <c r="T64" i="17" s="1"/>
  <c r="R65" i="17"/>
  <c r="S64" i="17"/>
  <c r="T63" i="17" s="1"/>
  <c r="U62" i="17" s="1"/>
  <c r="V61" i="17" s="1"/>
  <c r="W60" i="17" s="1"/>
  <c r="X59" i="17" s="1"/>
  <c r="Y58" i="17" s="1"/>
  <c r="Z57" i="17" s="1"/>
  <c r="AA56" i="17" s="1"/>
  <c r="AB55" i="17" s="1"/>
  <c r="AC54" i="17" s="1"/>
  <c r="AD53" i="17" s="1"/>
  <c r="AE52" i="17" s="1"/>
  <c r="AF51" i="17" s="1"/>
  <c r="AG50" i="17" s="1"/>
  <c r="R64" i="17"/>
  <c r="AB63" i="17"/>
  <c r="AC62" i="17" s="1"/>
  <c r="AD61" i="17" s="1"/>
  <c r="AE60" i="17" s="1"/>
  <c r="AF59" i="17" s="1"/>
  <c r="AG58" i="17" s="1"/>
  <c r="U63" i="17"/>
  <c r="V62" i="17" s="1"/>
  <c r="W61" i="17" s="1"/>
  <c r="X60" i="17" s="1"/>
  <c r="Y59" i="17" s="1"/>
  <c r="Z58" i="17" s="1"/>
  <c r="AA57" i="17" s="1"/>
  <c r="AB56" i="17" s="1"/>
  <c r="AC55" i="17" s="1"/>
  <c r="AD54" i="17" s="1"/>
  <c r="AE53" i="17" s="1"/>
  <c r="AF52" i="17" s="1"/>
  <c r="AG51" i="17" s="1"/>
  <c r="S63" i="17"/>
  <c r="T62" i="17" s="1"/>
  <c r="R63" i="17"/>
  <c r="S62" i="17"/>
  <c r="T61" i="17" s="1"/>
  <c r="U60" i="17" s="1"/>
  <c r="V59" i="17" s="1"/>
  <c r="W58" i="17" s="1"/>
  <c r="X57" i="17" s="1"/>
  <c r="Y56" i="17" s="1"/>
  <c r="Z55" i="17" s="1"/>
  <c r="AA54" i="17" s="1"/>
  <c r="AB53" i="17" s="1"/>
  <c r="AC52" i="17" s="1"/>
  <c r="AD51" i="17" s="1"/>
  <c r="AE50" i="17" s="1"/>
  <c r="AF49" i="17" s="1"/>
  <c r="AG48" i="17" s="1"/>
  <c r="R62" i="17"/>
  <c r="U61" i="17"/>
  <c r="V60" i="17" s="1"/>
  <c r="W59" i="17" s="1"/>
  <c r="X58" i="17" s="1"/>
  <c r="Y57" i="17" s="1"/>
  <c r="Z56" i="17" s="1"/>
  <c r="AA55" i="17" s="1"/>
  <c r="AB54" i="17" s="1"/>
  <c r="AC53" i="17" s="1"/>
  <c r="AD52" i="17" s="1"/>
  <c r="AE51" i="17" s="1"/>
  <c r="AF50" i="17" s="1"/>
  <c r="AG49" i="17" s="1"/>
  <c r="S61" i="17"/>
  <c r="T60" i="17" s="1"/>
  <c r="U59" i="17" s="1"/>
  <c r="V58" i="17" s="1"/>
  <c r="W57" i="17" s="1"/>
  <c r="X56" i="17" s="1"/>
  <c r="Y55" i="17" s="1"/>
  <c r="Z54" i="17" s="1"/>
  <c r="AA53" i="17" s="1"/>
  <c r="AB52" i="17" s="1"/>
  <c r="AC51" i="17" s="1"/>
  <c r="AD50" i="17" s="1"/>
  <c r="AE49" i="17" s="1"/>
  <c r="AF48" i="17" s="1"/>
  <c r="AG47" i="17" s="1"/>
  <c r="R61" i="17"/>
  <c r="S60" i="17"/>
  <c r="T59" i="17" s="1"/>
  <c r="U58" i="17" s="1"/>
  <c r="V57" i="17" s="1"/>
  <c r="W56" i="17" s="1"/>
  <c r="X55" i="17" s="1"/>
  <c r="Y54" i="17" s="1"/>
  <c r="Z53" i="17" s="1"/>
  <c r="AA52" i="17" s="1"/>
  <c r="AB51" i="17" s="1"/>
  <c r="AC50" i="17" s="1"/>
  <c r="AD49" i="17" s="1"/>
  <c r="AE48" i="17" s="1"/>
  <c r="AF47" i="17" s="1"/>
  <c r="AG46" i="17" s="1"/>
  <c r="R60" i="17"/>
  <c r="S59" i="17"/>
  <c r="T58" i="17" s="1"/>
  <c r="U57" i="17" s="1"/>
  <c r="R59" i="17"/>
  <c r="S58" i="17"/>
  <c r="T57" i="17" s="1"/>
  <c r="U56" i="17" s="1"/>
  <c r="V55" i="17" s="1"/>
  <c r="W54" i="17" s="1"/>
  <c r="X53" i="17" s="1"/>
  <c r="Y52" i="17" s="1"/>
  <c r="Z51" i="17" s="1"/>
  <c r="AA50" i="17" s="1"/>
  <c r="AB49" i="17" s="1"/>
  <c r="AC48" i="17" s="1"/>
  <c r="AD47" i="17" s="1"/>
  <c r="AE46" i="17" s="1"/>
  <c r="AF45" i="17" s="1"/>
  <c r="AG44" i="17" s="1"/>
  <c r="R58" i="17"/>
  <c r="S57" i="17"/>
  <c r="T56" i="17" s="1"/>
  <c r="U55" i="17" s="1"/>
  <c r="V54" i="17" s="1"/>
  <c r="W53" i="17" s="1"/>
  <c r="X52" i="17" s="1"/>
  <c r="Y51" i="17" s="1"/>
  <c r="Z50" i="17" s="1"/>
  <c r="AA49" i="17" s="1"/>
  <c r="AB48" i="17" s="1"/>
  <c r="AC47" i="17" s="1"/>
  <c r="AD46" i="17" s="1"/>
  <c r="AE45" i="17" s="1"/>
  <c r="AF44" i="17" s="1"/>
  <c r="AG43" i="17" s="1"/>
  <c r="R57" i="17"/>
  <c r="V56" i="17"/>
  <c r="W55" i="17" s="1"/>
  <c r="X54" i="17" s="1"/>
  <c r="Y53" i="17" s="1"/>
  <c r="Z52" i="17" s="1"/>
  <c r="AA51" i="17" s="1"/>
  <c r="AB50" i="17" s="1"/>
  <c r="AC49" i="17" s="1"/>
  <c r="AD48" i="17" s="1"/>
  <c r="AE47" i="17" s="1"/>
  <c r="AF46" i="17" s="1"/>
  <c r="AG45" i="17" s="1"/>
  <c r="S56" i="17"/>
  <c r="R56" i="17"/>
  <c r="T55" i="17"/>
  <c r="U54" i="17" s="1"/>
  <c r="V53" i="17" s="1"/>
  <c r="W52" i="17" s="1"/>
  <c r="X51" i="17" s="1"/>
  <c r="Y50" i="17" s="1"/>
  <c r="Z49" i="17" s="1"/>
  <c r="AA48" i="17" s="1"/>
  <c r="AB47" i="17" s="1"/>
  <c r="AC46" i="17" s="1"/>
  <c r="AD45" i="17" s="1"/>
  <c r="AE44" i="17" s="1"/>
  <c r="AF43" i="17" s="1"/>
  <c r="AG42" i="17" s="1"/>
  <c r="S55" i="17"/>
  <c r="R55" i="17"/>
  <c r="T54" i="17"/>
  <c r="U53" i="17" s="1"/>
  <c r="V52" i="17" s="1"/>
  <c r="W51" i="17" s="1"/>
  <c r="X50" i="17" s="1"/>
  <c r="Y49" i="17" s="1"/>
  <c r="Z48" i="17" s="1"/>
  <c r="AA47" i="17" s="1"/>
  <c r="AB46" i="17" s="1"/>
  <c r="AC45" i="17" s="1"/>
  <c r="AD44" i="17" s="1"/>
  <c r="AE43" i="17" s="1"/>
  <c r="AF42" i="17" s="1"/>
  <c r="AG41" i="17" s="1"/>
  <c r="S54" i="17"/>
  <c r="T53" i="17" s="1"/>
  <c r="U52" i="17" s="1"/>
  <c r="V51" i="17" s="1"/>
  <c r="W50" i="17" s="1"/>
  <c r="X49" i="17" s="1"/>
  <c r="Y48" i="17" s="1"/>
  <c r="Z47" i="17" s="1"/>
  <c r="AA46" i="17" s="1"/>
  <c r="AB45" i="17" s="1"/>
  <c r="AC44" i="17" s="1"/>
  <c r="AD43" i="17" s="1"/>
  <c r="AE42" i="17" s="1"/>
  <c r="AF41" i="17" s="1"/>
  <c r="AG40" i="17" s="1"/>
  <c r="R54" i="17"/>
  <c r="S53" i="17"/>
  <c r="R53" i="17"/>
  <c r="T52" i="17"/>
  <c r="S52" i="17"/>
  <c r="T51" i="17" s="1"/>
  <c r="U50" i="17" s="1"/>
  <c r="V49" i="17" s="1"/>
  <c r="W48" i="17" s="1"/>
  <c r="X47" i="17" s="1"/>
  <c r="Y46" i="17" s="1"/>
  <c r="Z45" i="17" s="1"/>
  <c r="AA44" i="17" s="1"/>
  <c r="AB43" i="17" s="1"/>
  <c r="AC42" i="17" s="1"/>
  <c r="AD41" i="17" s="1"/>
  <c r="AE40" i="17" s="1"/>
  <c r="AF39" i="17" s="1"/>
  <c r="AG38" i="17" s="1"/>
  <c r="R52" i="17"/>
  <c r="U51" i="17"/>
  <c r="V50" i="17" s="1"/>
  <c r="W49" i="17" s="1"/>
  <c r="X48" i="17" s="1"/>
  <c r="Y47" i="17" s="1"/>
  <c r="Z46" i="17" s="1"/>
  <c r="AA45" i="17" s="1"/>
  <c r="AB44" i="17" s="1"/>
  <c r="AC43" i="17" s="1"/>
  <c r="AD42" i="17" s="1"/>
  <c r="AE41" i="17" s="1"/>
  <c r="AF40" i="17" s="1"/>
  <c r="AG39" i="17" s="1"/>
  <c r="S51" i="17"/>
  <c r="R51" i="17"/>
  <c r="T50" i="17"/>
  <c r="S50" i="17"/>
  <c r="T49" i="17" s="1"/>
  <c r="U48" i="17" s="1"/>
  <c r="V47" i="17" s="1"/>
  <c r="W46" i="17" s="1"/>
  <c r="X45" i="17" s="1"/>
  <c r="Y44" i="17" s="1"/>
  <c r="Z43" i="17" s="1"/>
  <c r="AA42" i="17" s="1"/>
  <c r="AB41" i="17" s="1"/>
  <c r="AC40" i="17" s="1"/>
  <c r="AD39" i="17" s="1"/>
  <c r="AE38" i="17" s="1"/>
  <c r="AF37" i="17" s="1"/>
  <c r="AG36" i="17" s="1"/>
  <c r="R50" i="17"/>
  <c r="U49" i="17"/>
  <c r="V48" i="17" s="1"/>
  <c r="W47" i="17" s="1"/>
  <c r="X46" i="17" s="1"/>
  <c r="Y45" i="17" s="1"/>
  <c r="Z44" i="17" s="1"/>
  <c r="AA43" i="17" s="1"/>
  <c r="AB42" i="17" s="1"/>
  <c r="AC41" i="17" s="1"/>
  <c r="AD40" i="17" s="1"/>
  <c r="AE39" i="17" s="1"/>
  <c r="AF38" i="17" s="1"/>
  <c r="AG37" i="17" s="1"/>
  <c r="S49" i="17"/>
  <c r="T48" i="17" s="1"/>
  <c r="U47" i="17" s="1"/>
  <c r="V46" i="17" s="1"/>
  <c r="W45" i="17" s="1"/>
  <c r="X44" i="17" s="1"/>
  <c r="Y43" i="17" s="1"/>
  <c r="Z42" i="17" s="1"/>
  <c r="AA41" i="17" s="1"/>
  <c r="AB40" i="17" s="1"/>
  <c r="AC39" i="17" s="1"/>
  <c r="AD38" i="17" s="1"/>
  <c r="AE37" i="17" s="1"/>
  <c r="AF36" i="17" s="1"/>
  <c r="AG35" i="17" s="1"/>
  <c r="R49" i="17"/>
  <c r="S48" i="17"/>
  <c r="T47" i="17" s="1"/>
  <c r="U46" i="17" s="1"/>
  <c r="V45" i="17" s="1"/>
  <c r="W44" i="17" s="1"/>
  <c r="R48" i="17"/>
  <c r="S47" i="17"/>
  <c r="T46" i="17" s="1"/>
  <c r="R47" i="17"/>
  <c r="S46" i="17"/>
  <c r="T45" i="17" s="1"/>
  <c r="U44" i="17" s="1"/>
  <c r="V43" i="17" s="1"/>
  <c r="W42" i="17" s="1"/>
  <c r="X41" i="17" s="1"/>
  <c r="Y40" i="17" s="1"/>
  <c r="Z39" i="17" s="1"/>
  <c r="AA38" i="17" s="1"/>
  <c r="AB37" i="17" s="1"/>
  <c r="AC36" i="17" s="1"/>
  <c r="AD35" i="17" s="1"/>
  <c r="AE34" i="17" s="1"/>
  <c r="AF33" i="17" s="1"/>
  <c r="AG32" i="17" s="1"/>
  <c r="R46" i="17"/>
  <c r="U45" i="17"/>
  <c r="V44" i="17" s="1"/>
  <c r="W43" i="17" s="1"/>
  <c r="X42" i="17" s="1"/>
  <c r="Y41" i="17" s="1"/>
  <c r="Z40" i="17" s="1"/>
  <c r="AA39" i="17" s="1"/>
  <c r="AB38" i="17" s="1"/>
  <c r="AC37" i="17" s="1"/>
  <c r="AD36" i="17" s="1"/>
  <c r="AE35" i="17" s="1"/>
  <c r="AF34" i="17" s="1"/>
  <c r="AG33" i="17" s="1"/>
  <c r="S45" i="17"/>
  <c r="T44" i="17" s="1"/>
  <c r="U43" i="17" s="1"/>
  <c r="V42" i="17" s="1"/>
  <c r="W41" i="17" s="1"/>
  <c r="X40" i="17" s="1"/>
  <c r="R45" i="17"/>
  <c r="S44" i="17"/>
  <c r="T43" i="17" s="1"/>
  <c r="U42" i="17" s="1"/>
  <c r="V41" i="17" s="1"/>
  <c r="W40" i="17" s="1"/>
  <c r="X39" i="17" s="1"/>
  <c r="Y38" i="17" s="1"/>
  <c r="Z37" i="17" s="1"/>
  <c r="AA36" i="17" s="1"/>
  <c r="AB35" i="17" s="1"/>
  <c r="AC34" i="17" s="1"/>
  <c r="AD33" i="17" s="1"/>
  <c r="AE32" i="17" s="1"/>
  <c r="AF31" i="17" s="1"/>
  <c r="AG30" i="17" s="1"/>
  <c r="R44" i="17"/>
  <c r="X43" i="17"/>
  <c r="Y42" i="17" s="1"/>
  <c r="Z41" i="17" s="1"/>
  <c r="AA40" i="17" s="1"/>
  <c r="AB39" i="17" s="1"/>
  <c r="AC38" i="17" s="1"/>
  <c r="AD37" i="17" s="1"/>
  <c r="AE36" i="17" s="1"/>
  <c r="AF35" i="17" s="1"/>
  <c r="AG34" i="17" s="1"/>
  <c r="S43" i="17"/>
  <c r="T42" i="17" s="1"/>
  <c r="U41" i="17" s="1"/>
  <c r="V40" i="17" s="1"/>
  <c r="W39" i="17" s="1"/>
  <c r="X38" i="17" s="1"/>
  <c r="Y37" i="17" s="1"/>
  <c r="Z36" i="17" s="1"/>
  <c r="AA35" i="17" s="1"/>
  <c r="AB34" i="17" s="1"/>
  <c r="AC33" i="17" s="1"/>
  <c r="AD32" i="17" s="1"/>
  <c r="AE31" i="17" s="1"/>
  <c r="AF30" i="17" s="1"/>
  <c r="AG29" i="17" s="1"/>
  <c r="R43" i="17"/>
  <c r="S42" i="17"/>
  <c r="T41" i="17" s="1"/>
  <c r="R42" i="17"/>
  <c r="S41" i="17"/>
  <c r="T40" i="17" s="1"/>
  <c r="U39" i="17" s="1"/>
  <c r="V38" i="17" s="1"/>
  <c r="W37" i="17" s="1"/>
  <c r="X36" i="17" s="1"/>
  <c r="Y35" i="17" s="1"/>
  <c r="Z34" i="17" s="1"/>
  <c r="AA33" i="17" s="1"/>
  <c r="AB32" i="17" s="1"/>
  <c r="AC31" i="17" s="1"/>
  <c r="AD30" i="17" s="1"/>
  <c r="AE29" i="17" s="1"/>
  <c r="AF28" i="17" s="1"/>
  <c r="AG27" i="17" s="1"/>
  <c r="R41" i="17"/>
  <c r="U40" i="17"/>
  <c r="V39" i="17" s="1"/>
  <c r="W38" i="17" s="1"/>
  <c r="X37" i="17" s="1"/>
  <c r="Y36" i="17" s="1"/>
  <c r="Z35" i="17" s="1"/>
  <c r="AA34" i="17" s="1"/>
  <c r="AB33" i="17" s="1"/>
  <c r="AC32" i="17" s="1"/>
  <c r="AD31" i="17" s="1"/>
  <c r="AE30" i="17" s="1"/>
  <c r="AF29" i="17" s="1"/>
  <c r="AG28" i="17" s="1"/>
  <c r="S40" i="17"/>
  <c r="R40" i="17"/>
  <c r="Y39" i="17"/>
  <c r="T39" i="17"/>
  <c r="U38" i="17" s="1"/>
  <c r="V37" i="17" s="1"/>
  <c r="W36" i="17" s="1"/>
  <c r="X35" i="17" s="1"/>
  <c r="Y34" i="17" s="1"/>
  <c r="Z33" i="17" s="1"/>
  <c r="AA32" i="17" s="1"/>
  <c r="AB31" i="17" s="1"/>
  <c r="AC30" i="17" s="1"/>
  <c r="AD29" i="17" s="1"/>
  <c r="AE28" i="17" s="1"/>
  <c r="AF27" i="17" s="1"/>
  <c r="AG26" i="17" s="1"/>
  <c r="S39" i="17"/>
  <c r="T38" i="17" s="1"/>
  <c r="U37" i="17" s="1"/>
  <c r="V36" i="17" s="1"/>
  <c r="W35" i="17" s="1"/>
  <c r="X34" i="17" s="1"/>
  <c r="Y33" i="17" s="1"/>
  <c r="Z32" i="17" s="1"/>
  <c r="AA31" i="17" s="1"/>
  <c r="AB30" i="17" s="1"/>
  <c r="AC29" i="17" s="1"/>
  <c r="AD28" i="17" s="1"/>
  <c r="AE27" i="17" s="1"/>
  <c r="AF26" i="17" s="1"/>
  <c r="AG25" i="17" s="1"/>
  <c r="R39" i="17"/>
  <c r="Z38" i="17"/>
  <c r="AA37" i="17" s="1"/>
  <c r="AB36" i="17" s="1"/>
  <c r="AC35" i="17" s="1"/>
  <c r="AD34" i="17" s="1"/>
  <c r="AE33" i="17" s="1"/>
  <c r="AF32" i="17" s="1"/>
  <c r="AG31" i="17" s="1"/>
  <c r="S38" i="17"/>
  <c r="T37" i="17" s="1"/>
  <c r="U36" i="17" s="1"/>
  <c r="V35" i="17" s="1"/>
  <c r="W34" i="17" s="1"/>
  <c r="X33" i="17" s="1"/>
  <c r="Y32" i="17" s="1"/>
  <c r="Z31" i="17" s="1"/>
  <c r="AA30" i="17" s="1"/>
  <c r="AB29" i="17" s="1"/>
  <c r="AC28" i="17" s="1"/>
  <c r="AD27" i="17" s="1"/>
  <c r="AE26" i="17" s="1"/>
  <c r="AF25" i="17" s="1"/>
  <c r="AG24" i="17" s="1"/>
  <c r="R38" i="17"/>
  <c r="S37" i="17"/>
  <c r="T36" i="17" s="1"/>
  <c r="U35" i="17" s="1"/>
  <c r="V34" i="17" s="1"/>
  <c r="W33" i="17" s="1"/>
  <c r="X32" i="17" s="1"/>
  <c r="Y31" i="17" s="1"/>
  <c r="Z30" i="17" s="1"/>
  <c r="AA29" i="17" s="1"/>
  <c r="AB28" i="17" s="1"/>
  <c r="AC27" i="17" s="1"/>
  <c r="AD26" i="17" s="1"/>
  <c r="AE25" i="17" s="1"/>
  <c r="AF24" i="17" s="1"/>
  <c r="AG23" i="17" s="1"/>
  <c r="R37" i="17"/>
  <c r="S36" i="17"/>
  <c r="T35" i="17" s="1"/>
  <c r="U34" i="17" s="1"/>
  <c r="V33" i="17" s="1"/>
  <c r="W32" i="17" s="1"/>
  <c r="X31" i="17" s="1"/>
  <c r="Y30" i="17" s="1"/>
  <c r="Z29" i="17" s="1"/>
  <c r="AA28" i="17" s="1"/>
  <c r="AB27" i="17" s="1"/>
  <c r="AC26" i="17" s="1"/>
  <c r="AD25" i="17" s="1"/>
  <c r="AE24" i="17" s="1"/>
  <c r="AF23" i="17" s="1"/>
  <c r="AG22" i="17" s="1"/>
  <c r="R36" i="17"/>
  <c r="S35" i="17"/>
  <c r="R35" i="17"/>
  <c r="T34" i="17"/>
  <c r="U33" i="17" s="1"/>
  <c r="V32" i="17" s="1"/>
  <c r="W31" i="17" s="1"/>
  <c r="X30" i="17" s="1"/>
  <c r="Y29" i="17" s="1"/>
  <c r="Z28" i="17" s="1"/>
  <c r="AA27" i="17" s="1"/>
  <c r="AB26" i="17" s="1"/>
  <c r="AC25" i="17" s="1"/>
  <c r="AD24" i="17" s="1"/>
  <c r="AE23" i="17" s="1"/>
  <c r="AF22" i="17" s="1"/>
  <c r="AG21" i="17" s="1"/>
  <c r="S34" i="17"/>
  <c r="T33" i="17" s="1"/>
  <c r="U32" i="17" s="1"/>
  <c r="V31" i="17" s="1"/>
  <c r="W30" i="17" s="1"/>
  <c r="X29" i="17" s="1"/>
  <c r="Y28" i="17" s="1"/>
  <c r="Z27" i="17" s="1"/>
  <c r="AA26" i="17" s="1"/>
  <c r="AB25" i="17" s="1"/>
  <c r="AC24" i="17" s="1"/>
  <c r="AD23" i="17" s="1"/>
  <c r="AE22" i="17" s="1"/>
  <c r="AF21" i="17" s="1"/>
  <c r="AG20" i="17" s="1"/>
  <c r="R34" i="17"/>
  <c r="S33" i="17"/>
  <c r="T32" i="17" s="1"/>
  <c r="U31" i="17" s="1"/>
  <c r="V30" i="17" s="1"/>
  <c r="W29" i="17" s="1"/>
  <c r="X28" i="17" s="1"/>
  <c r="Y27" i="17" s="1"/>
  <c r="Z26" i="17" s="1"/>
  <c r="AA25" i="17" s="1"/>
  <c r="AB24" i="17" s="1"/>
  <c r="AC23" i="17" s="1"/>
  <c r="AD22" i="17" s="1"/>
  <c r="AE21" i="17" s="1"/>
  <c r="AF20" i="17" s="1"/>
  <c r="AG19" i="17" s="1"/>
  <c r="R33" i="17"/>
  <c r="S32" i="17"/>
  <c r="T31" i="17" s="1"/>
  <c r="U30" i="17" s="1"/>
  <c r="V29" i="17" s="1"/>
  <c r="W28" i="17" s="1"/>
  <c r="X27" i="17" s="1"/>
  <c r="Y26" i="17" s="1"/>
  <c r="Z25" i="17" s="1"/>
  <c r="AA24" i="17" s="1"/>
  <c r="AB23" i="17" s="1"/>
  <c r="AC22" i="17" s="1"/>
  <c r="AD21" i="17" s="1"/>
  <c r="AE20" i="17" s="1"/>
  <c r="AF19" i="17" s="1"/>
  <c r="AG18" i="17" s="1"/>
  <c r="R32" i="17"/>
  <c r="S31" i="17"/>
  <c r="T30" i="17" s="1"/>
  <c r="R31" i="17"/>
  <c r="S30" i="17"/>
  <c r="T29" i="17" s="1"/>
  <c r="U28" i="17" s="1"/>
  <c r="V27" i="17" s="1"/>
  <c r="W26" i="17" s="1"/>
  <c r="X25" i="17" s="1"/>
  <c r="R30" i="17"/>
  <c r="U29" i="17"/>
  <c r="V28" i="17" s="1"/>
  <c r="W27" i="17" s="1"/>
  <c r="X26" i="17" s="1"/>
  <c r="Y25" i="17" s="1"/>
  <c r="Z24" i="17" s="1"/>
  <c r="AA23" i="17" s="1"/>
  <c r="AB22" i="17" s="1"/>
  <c r="AC21" i="17" s="1"/>
  <c r="AD20" i="17" s="1"/>
  <c r="AE19" i="17" s="1"/>
  <c r="AF18" i="17" s="1"/>
  <c r="AG17" i="17" s="1"/>
  <c r="S29" i="17"/>
  <c r="T28" i="17" s="1"/>
  <c r="R29" i="17"/>
  <c r="S28" i="17"/>
  <c r="R28" i="17"/>
  <c r="U27" i="17"/>
  <c r="V26" i="17" s="1"/>
  <c r="W25" i="17" s="1"/>
  <c r="X24" i="17" s="1"/>
  <c r="Y23" i="17" s="1"/>
  <c r="Z22" i="17" s="1"/>
  <c r="AA21" i="17" s="1"/>
  <c r="AB20" i="17" s="1"/>
  <c r="AC19" i="17" s="1"/>
  <c r="AD18" i="17" s="1"/>
  <c r="AE17" i="17" s="1"/>
  <c r="AF16" i="17" s="1"/>
  <c r="AG15" i="17" s="1"/>
  <c r="T27" i="17"/>
  <c r="U26" i="17" s="1"/>
  <c r="V25" i="17" s="1"/>
  <c r="W24" i="17" s="1"/>
  <c r="X23" i="17" s="1"/>
  <c r="Y22" i="17" s="1"/>
  <c r="Z21" i="17" s="1"/>
  <c r="AA20" i="17" s="1"/>
  <c r="AB19" i="17" s="1"/>
  <c r="AC18" i="17" s="1"/>
  <c r="AD17" i="17" s="1"/>
  <c r="AE16" i="17" s="1"/>
  <c r="AF15" i="17" s="1"/>
  <c r="AG14" i="17" s="1"/>
  <c r="S27" i="17"/>
  <c r="R27" i="17"/>
  <c r="T26" i="17"/>
  <c r="U25" i="17" s="1"/>
  <c r="V24" i="17" s="1"/>
  <c r="W23" i="17" s="1"/>
  <c r="X22" i="17" s="1"/>
  <c r="Y21" i="17" s="1"/>
  <c r="Z20" i="17" s="1"/>
  <c r="AA19" i="17" s="1"/>
  <c r="AB18" i="17" s="1"/>
  <c r="AC17" i="17" s="1"/>
  <c r="AD16" i="17" s="1"/>
  <c r="AE15" i="17" s="1"/>
  <c r="AF14" i="17" s="1"/>
  <c r="AG13" i="17" s="1"/>
  <c r="S26" i="17"/>
  <c r="T25" i="17" s="1"/>
  <c r="U24" i="17" s="1"/>
  <c r="V23" i="17" s="1"/>
  <c r="W22" i="17" s="1"/>
  <c r="X21" i="17" s="1"/>
  <c r="Y20" i="17" s="1"/>
  <c r="Z19" i="17" s="1"/>
  <c r="AA18" i="17" s="1"/>
  <c r="AB17" i="17" s="1"/>
  <c r="AC16" i="17" s="1"/>
  <c r="AD15" i="17" s="1"/>
  <c r="AE14" i="17" s="1"/>
  <c r="AF13" i="17" s="1"/>
  <c r="AG12" i="17" s="1"/>
  <c r="R26" i="17"/>
  <c r="S25" i="17"/>
  <c r="T24" i="17" s="1"/>
  <c r="U23" i="17" s="1"/>
  <c r="V22" i="17" s="1"/>
  <c r="W21" i="17" s="1"/>
  <c r="X20" i="17" s="1"/>
  <c r="Y19" i="17" s="1"/>
  <c r="Z18" i="17" s="1"/>
  <c r="AA17" i="17" s="1"/>
  <c r="AB16" i="17" s="1"/>
  <c r="AC15" i="17" s="1"/>
  <c r="AD14" i="17" s="1"/>
  <c r="AE13" i="17" s="1"/>
  <c r="AF12" i="17" s="1"/>
  <c r="AG11" i="17" s="1"/>
  <c r="R25" i="17"/>
  <c r="Y24" i="17"/>
  <c r="Z23" i="17" s="1"/>
  <c r="AA22" i="17" s="1"/>
  <c r="AB21" i="17" s="1"/>
  <c r="AC20" i="17" s="1"/>
  <c r="AD19" i="17" s="1"/>
  <c r="AE18" i="17" s="1"/>
  <c r="AF17" i="17" s="1"/>
  <c r="AG16" i="17" s="1"/>
  <c r="S24" i="17"/>
  <c r="T23" i="17" s="1"/>
  <c r="R24" i="17"/>
  <c r="S23" i="17"/>
  <c r="T22" i="17" s="1"/>
  <c r="U21" i="17" s="1"/>
  <c r="V20" i="17" s="1"/>
  <c r="W19" i="17" s="1"/>
  <c r="X18" i="17" s="1"/>
  <c r="Y17" i="17" s="1"/>
  <c r="Z16" i="17" s="1"/>
  <c r="AA15" i="17" s="1"/>
  <c r="AB14" i="17" s="1"/>
  <c r="AC13" i="17" s="1"/>
  <c r="AD12" i="17" s="1"/>
  <c r="AE11" i="17" s="1"/>
  <c r="AF10" i="17" s="1"/>
  <c r="AG9" i="17" s="1"/>
  <c r="R23" i="17"/>
  <c r="U22" i="17"/>
  <c r="V21" i="17" s="1"/>
  <c r="W20" i="17" s="1"/>
  <c r="X19" i="17" s="1"/>
  <c r="Y18" i="17" s="1"/>
  <c r="Z17" i="17" s="1"/>
  <c r="AA16" i="17" s="1"/>
  <c r="AB15" i="17" s="1"/>
  <c r="AC14" i="17" s="1"/>
  <c r="AD13" i="17" s="1"/>
  <c r="AE12" i="17" s="1"/>
  <c r="AF11" i="17" s="1"/>
  <c r="AG10" i="17" s="1"/>
  <c r="S22" i="17"/>
  <c r="T21" i="17" s="1"/>
  <c r="U20" i="17" s="1"/>
  <c r="V19" i="17" s="1"/>
  <c r="W18" i="17" s="1"/>
  <c r="X17" i="17" s="1"/>
  <c r="Y16" i="17" s="1"/>
  <c r="Z15" i="17" s="1"/>
  <c r="AA14" i="17" s="1"/>
  <c r="AB13" i="17" s="1"/>
  <c r="AC12" i="17" s="1"/>
  <c r="AD11" i="17" s="1"/>
  <c r="AE10" i="17" s="1"/>
  <c r="AF9" i="17" s="1"/>
  <c r="AG8" i="17" s="1"/>
  <c r="R22" i="17"/>
  <c r="S21" i="17"/>
  <c r="R21" i="17"/>
  <c r="T20" i="17"/>
  <c r="U19" i="17" s="1"/>
  <c r="V18" i="17" s="1"/>
  <c r="W17" i="17" s="1"/>
  <c r="X16" i="17" s="1"/>
  <c r="Y15" i="17" s="1"/>
  <c r="Z14" i="17" s="1"/>
  <c r="AA13" i="17" s="1"/>
  <c r="AB12" i="17" s="1"/>
  <c r="AC11" i="17" s="1"/>
  <c r="AD10" i="17" s="1"/>
  <c r="AE9" i="17" s="1"/>
  <c r="AF8" i="17" s="1"/>
  <c r="AG7" i="17" s="1"/>
  <c r="S20" i="17"/>
  <c r="T19" i="17" s="1"/>
  <c r="U18" i="17" s="1"/>
  <c r="V17" i="17" s="1"/>
  <c r="W16" i="17" s="1"/>
  <c r="X15" i="17" s="1"/>
  <c r="Y14" i="17" s="1"/>
  <c r="Z13" i="17" s="1"/>
  <c r="AA12" i="17" s="1"/>
  <c r="AB11" i="17" s="1"/>
  <c r="AC10" i="17" s="1"/>
  <c r="AD9" i="17" s="1"/>
  <c r="AE8" i="17" s="1"/>
  <c r="AF7" i="17" s="1"/>
  <c r="AG6" i="17" s="1"/>
  <c r="R20" i="17"/>
  <c r="S19" i="17"/>
  <c r="R19" i="17"/>
  <c r="T18" i="17"/>
  <c r="U17" i="17" s="1"/>
  <c r="V16" i="17" s="1"/>
  <c r="W15" i="17" s="1"/>
  <c r="X14" i="17" s="1"/>
  <c r="Y13" i="17" s="1"/>
  <c r="Z12" i="17" s="1"/>
  <c r="AA11" i="17" s="1"/>
  <c r="AB10" i="17" s="1"/>
  <c r="AC9" i="17" s="1"/>
  <c r="AD8" i="17" s="1"/>
  <c r="AE7" i="17" s="1"/>
  <c r="AF6" i="17" s="1"/>
  <c r="AG5" i="17" s="1"/>
  <c r="S18" i="17"/>
  <c r="T17" i="17" s="1"/>
  <c r="U16" i="17" s="1"/>
  <c r="V15" i="17" s="1"/>
  <c r="W14" i="17" s="1"/>
  <c r="X13" i="17" s="1"/>
  <c r="Y12" i="17" s="1"/>
  <c r="Z11" i="17" s="1"/>
  <c r="AA10" i="17" s="1"/>
  <c r="AB9" i="17" s="1"/>
  <c r="AC8" i="17" s="1"/>
  <c r="AD7" i="17" s="1"/>
  <c r="AE6" i="17" s="1"/>
  <c r="AF5" i="17" s="1"/>
  <c r="AG4" i="17" s="1"/>
  <c r="R18" i="17"/>
  <c r="S17" i="17"/>
  <c r="R17" i="17"/>
  <c r="T16" i="17"/>
  <c r="S16" i="17"/>
  <c r="T15" i="17" s="1"/>
  <c r="U14" i="17" s="1"/>
  <c r="V13" i="17" s="1"/>
  <c r="W12" i="17" s="1"/>
  <c r="X11" i="17" s="1"/>
  <c r="Y10" i="17" s="1"/>
  <c r="Z9" i="17" s="1"/>
  <c r="AA8" i="17" s="1"/>
  <c r="AB7" i="17" s="1"/>
  <c r="AC6" i="17" s="1"/>
  <c r="AD5" i="17" s="1"/>
  <c r="AE4" i="17" s="1"/>
  <c r="R16" i="17"/>
  <c r="U15" i="17"/>
  <c r="V14" i="17" s="1"/>
  <c r="W13" i="17" s="1"/>
  <c r="X12" i="17" s="1"/>
  <c r="Y11" i="17" s="1"/>
  <c r="Z10" i="17" s="1"/>
  <c r="AA9" i="17" s="1"/>
  <c r="AB8" i="17" s="1"/>
  <c r="AC7" i="17" s="1"/>
  <c r="AD6" i="17" s="1"/>
  <c r="AE5" i="17" s="1"/>
  <c r="AF4" i="17" s="1"/>
  <c r="S15" i="17"/>
  <c r="T14" i="17" s="1"/>
  <c r="U13" i="17" s="1"/>
  <c r="V12" i="17" s="1"/>
  <c r="W11" i="17" s="1"/>
  <c r="X10" i="17" s="1"/>
  <c r="Y9" i="17" s="1"/>
  <c r="Z8" i="17" s="1"/>
  <c r="AA7" i="17" s="1"/>
  <c r="AB6" i="17" s="1"/>
  <c r="AC5" i="17" s="1"/>
  <c r="R15" i="17"/>
  <c r="S14" i="17"/>
  <c r="T13" i="17" s="1"/>
  <c r="U12" i="17" s="1"/>
  <c r="V11" i="17" s="1"/>
  <c r="W10" i="17" s="1"/>
  <c r="X9" i="17" s="1"/>
  <c r="Y8" i="17" s="1"/>
  <c r="Z7" i="17" s="1"/>
  <c r="AA6" i="17" s="1"/>
  <c r="AB5" i="17" s="1"/>
  <c r="AC4" i="17" s="1"/>
  <c r="AD303" i="17" s="1"/>
  <c r="AE302" i="17" s="1"/>
  <c r="AF301" i="17" s="1"/>
  <c r="AG300" i="17" s="1"/>
  <c r="R14" i="17"/>
  <c r="S13" i="17"/>
  <c r="R13" i="17"/>
  <c r="T12" i="17"/>
  <c r="S12" i="17"/>
  <c r="T11" i="17" s="1"/>
  <c r="U10" i="17" s="1"/>
  <c r="V9" i="17" s="1"/>
  <c r="W8" i="17" s="1"/>
  <c r="X7" i="17" s="1"/>
  <c r="R12" i="17"/>
  <c r="U11" i="17"/>
  <c r="V10" i="17" s="1"/>
  <c r="W9" i="17" s="1"/>
  <c r="X8" i="17" s="1"/>
  <c r="Y7" i="17" s="1"/>
  <c r="Z6" i="17" s="1"/>
  <c r="AA5" i="17" s="1"/>
  <c r="AB4" i="17" s="1"/>
  <c r="S11" i="17"/>
  <c r="T10" i="17" s="1"/>
  <c r="U9" i="17" s="1"/>
  <c r="V8" i="17" s="1"/>
  <c r="W7" i="17" s="1"/>
  <c r="X6" i="17" s="1"/>
  <c r="Y5" i="17" s="1"/>
  <c r="Z4" i="17" s="1"/>
  <c r="R11" i="17"/>
  <c r="S10" i="17"/>
  <c r="T9" i="17" s="1"/>
  <c r="U8" i="17" s="1"/>
  <c r="V7" i="17" s="1"/>
  <c r="W6" i="17" s="1"/>
  <c r="X5" i="17" s="1"/>
  <c r="Y4" i="17" s="1"/>
  <c r="R10" i="17"/>
  <c r="S9" i="17"/>
  <c r="R9" i="17"/>
  <c r="T8" i="17"/>
  <c r="U7" i="17" s="1"/>
  <c r="V6" i="17" s="1"/>
  <c r="W5" i="17" s="1"/>
  <c r="X4" i="17" s="1"/>
  <c r="S8" i="17"/>
  <c r="T7" i="17" s="1"/>
  <c r="U6" i="17" s="1"/>
  <c r="V5" i="17" s="1"/>
  <c r="W4" i="17" s="1"/>
  <c r="R8" i="17"/>
  <c r="S7" i="17"/>
  <c r="T6" i="17" s="1"/>
  <c r="U5" i="17" s="1"/>
  <c r="V4" i="17" s="1"/>
  <c r="R7" i="17"/>
  <c r="Y6" i="17"/>
  <c r="Z5" i="17" s="1"/>
  <c r="AA4" i="17" s="1"/>
  <c r="S6" i="17"/>
  <c r="T5" i="17" s="1"/>
  <c r="R6" i="17"/>
  <c r="S5" i="17"/>
  <c r="T4" i="17" s="1"/>
  <c r="U303" i="17" s="1"/>
  <c r="V302" i="17" s="1"/>
  <c r="W301" i="17" s="1"/>
  <c r="X300" i="17" s="1"/>
  <c r="Y299" i="17" s="1"/>
  <c r="Z298" i="17" s="1"/>
  <c r="AA297" i="17" s="1"/>
  <c r="AB296" i="17" s="1"/>
  <c r="AC295" i="17" s="1"/>
  <c r="AD294" i="17" s="1"/>
  <c r="AE293" i="17" s="1"/>
  <c r="AF292" i="17" s="1"/>
  <c r="AG291" i="17" s="1"/>
  <c r="R5" i="17"/>
  <c r="U4" i="17"/>
  <c r="S4" i="17"/>
  <c r="T303" i="17" s="1"/>
  <c r="U302" i="17" s="1"/>
  <c r="V301" i="17" s="1"/>
  <c r="W300" i="17" s="1"/>
  <c r="X299" i="17" s="1"/>
  <c r="Y298" i="17" s="1"/>
  <c r="Z297" i="17" s="1"/>
  <c r="AA296" i="17" s="1"/>
  <c r="AB295" i="17" s="1"/>
  <c r="AC294" i="17" s="1"/>
  <c r="AD293" i="17" s="1"/>
  <c r="AE292" i="17" s="1"/>
  <c r="AF291" i="17" s="1"/>
  <c r="AG290" i="17" s="1"/>
  <c r="R4" i="17"/>
  <c r="S6" i="1"/>
  <c r="T5" i="1" s="1"/>
  <c r="U4" i="1" s="1"/>
  <c r="V303" i="1" s="1"/>
  <c r="W302" i="1" s="1"/>
  <c r="X301" i="1" s="1"/>
  <c r="Y300" i="1" s="1"/>
  <c r="Z299" i="1" s="1"/>
  <c r="AA298" i="1" s="1"/>
  <c r="AB297" i="1" s="1"/>
  <c r="AC296" i="1" s="1"/>
  <c r="AD295" i="1" s="1"/>
  <c r="AE294" i="1" s="1"/>
  <c r="AF293" i="1" s="1"/>
  <c r="AG292" i="1" s="1"/>
  <c r="S7" i="1"/>
  <c r="T6" i="1" s="1"/>
  <c r="U5" i="1" s="1"/>
  <c r="V4" i="1" s="1"/>
  <c r="W303" i="1" s="1"/>
  <c r="X302" i="1" s="1"/>
  <c r="Y301" i="1" s="1"/>
  <c r="Z300" i="1" s="1"/>
  <c r="AA299" i="1" s="1"/>
  <c r="AB298" i="1" s="1"/>
  <c r="AC297" i="1" s="1"/>
  <c r="AD296" i="1" s="1"/>
  <c r="AE295" i="1" s="1"/>
  <c r="AF294" i="1" s="1"/>
  <c r="AG293" i="1" s="1"/>
  <c r="S8" i="1"/>
  <c r="T7" i="1" s="1"/>
  <c r="U6" i="1" s="1"/>
  <c r="V5" i="1" s="1"/>
  <c r="W4" i="1" s="1"/>
  <c r="X303" i="1" s="1"/>
  <c r="Y302" i="1" s="1"/>
  <c r="Z301" i="1" s="1"/>
  <c r="AA300" i="1" s="1"/>
  <c r="AB299" i="1" s="1"/>
  <c r="AC298" i="1" s="1"/>
  <c r="AD297" i="1" s="1"/>
  <c r="AE296" i="1" s="1"/>
  <c r="AF295" i="1" s="1"/>
  <c r="AG294" i="1" s="1"/>
  <c r="S9" i="1"/>
  <c r="T8" i="1" s="1"/>
  <c r="U7" i="1" s="1"/>
  <c r="V6" i="1" s="1"/>
  <c r="W5" i="1" s="1"/>
  <c r="X4" i="1" s="1"/>
  <c r="Y303" i="1" s="1"/>
  <c r="Z302" i="1" s="1"/>
  <c r="AA301" i="1" s="1"/>
  <c r="AB300" i="1" s="1"/>
  <c r="AC299" i="1" s="1"/>
  <c r="AD298" i="1" s="1"/>
  <c r="AE297" i="1" s="1"/>
  <c r="AF296" i="1" s="1"/>
  <c r="AG295" i="1" s="1"/>
  <c r="S10" i="1"/>
  <c r="T9" i="1" s="1"/>
  <c r="U8" i="1" s="1"/>
  <c r="V7" i="1" s="1"/>
  <c r="W6" i="1" s="1"/>
  <c r="X5" i="1" s="1"/>
  <c r="Y4" i="1" s="1"/>
  <c r="Z303" i="1" s="1"/>
  <c r="AA302" i="1" s="1"/>
  <c r="AB301" i="1" s="1"/>
  <c r="AC300" i="1" s="1"/>
  <c r="AD299" i="1" s="1"/>
  <c r="AE298" i="1" s="1"/>
  <c r="AF297" i="1" s="1"/>
  <c r="AG296" i="1" s="1"/>
  <c r="S11" i="1"/>
  <c r="T10" i="1" s="1"/>
  <c r="U9" i="1" s="1"/>
  <c r="V8" i="1" s="1"/>
  <c r="W7" i="1" s="1"/>
  <c r="X6" i="1" s="1"/>
  <c r="Y5" i="1" s="1"/>
  <c r="Z4" i="1" s="1"/>
  <c r="AA303" i="1" s="1"/>
  <c r="AB302" i="1" s="1"/>
  <c r="AC301" i="1" s="1"/>
  <c r="AD300" i="1" s="1"/>
  <c r="AE299" i="1" s="1"/>
  <c r="AF298" i="1" s="1"/>
  <c r="AG297" i="1" s="1"/>
  <c r="S12" i="1"/>
  <c r="T11" i="1" s="1"/>
  <c r="U10" i="1" s="1"/>
  <c r="V9" i="1" s="1"/>
  <c r="W8" i="1" s="1"/>
  <c r="X7" i="1" s="1"/>
  <c r="Y6" i="1" s="1"/>
  <c r="Z5" i="1" s="1"/>
  <c r="AA4" i="1" s="1"/>
  <c r="AB303" i="1" s="1"/>
  <c r="AC302" i="1" s="1"/>
  <c r="AD301" i="1" s="1"/>
  <c r="AE300" i="1" s="1"/>
  <c r="AF299" i="1" s="1"/>
  <c r="AG298" i="1" s="1"/>
  <c r="S13" i="1"/>
  <c r="T12" i="1" s="1"/>
  <c r="U11" i="1" s="1"/>
  <c r="V10" i="1" s="1"/>
  <c r="W9" i="1" s="1"/>
  <c r="X8" i="1" s="1"/>
  <c r="Y7" i="1" s="1"/>
  <c r="Z6" i="1" s="1"/>
  <c r="AA5" i="1" s="1"/>
  <c r="AB4" i="1" s="1"/>
  <c r="AC303" i="1" s="1"/>
  <c r="AD302" i="1" s="1"/>
  <c r="AE301" i="1" s="1"/>
  <c r="AF300" i="1" s="1"/>
  <c r="AG299" i="1" s="1"/>
  <c r="S14" i="1"/>
  <c r="T13" i="1" s="1"/>
  <c r="U12" i="1" s="1"/>
  <c r="V11" i="1" s="1"/>
  <c r="W10" i="1" s="1"/>
  <c r="X9" i="1" s="1"/>
  <c r="Y8" i="1" s="1"/>
  <c r="Z7" i="1" s="1"/>
  <c r="AA6" i="1" s="1"/>
  <c r="AB5" i="1" s="1"/>
  <c r="AC4" i="1" s="1"/>
  <c r="AD303" i="1" s="1"/>
  <c r="AE302" i="1" s="1"/>
  <c r="AF301" i="1" s="1"/>
  <c r="AG300" i="1" s="1"/>
  <c r="S15" i="1"/>
  <c r="T14" i="1" s="1"/>
  <c r="S16" i="1"/>
  <c r="T15" i="1" s="1"/>
  <c r="U14" i="1" s="1"/>
  <c r="V13" i="1" s="1"/>
  <c r="W12" i="1" s="1"/>
  <c r="X11" i="1" s="1"/>
  <c r="Y10" i="1" s="1"/>
  <c r="Z9" i="1" s="1"/>
  <c r="AA8" i="1" s="1"/>
  <c r="AB7" i="1" s="1"/>
  <c r="AC6" i="1" s="1"/>
  <c r="AD5" i="1" s="1"/>
  <c r="AE4" i="1" s="1"/>
  <c r="AF303" i="1" s="1"/>
  <c r="AG302" i="1" s="1"/>
  <c r="S17" i="1"/>
  <c r="T16" i="1" s="1"/>
  <c r="U15" i="1" s="1"/>
  <c r="V14" i="1" s="1"/>
  <c r="W13" i="1" s="1"/>
  <c r="X12" i="1" s="1"/>
  <c r="Y11" i="1" s="1"/>
  <c r="Z10" i="1" s="1"/>
  <c r="AA9" i="1" s="1"/>
  <c r="AB8" i="1" s="1"/>
  <c r="AC7" i="1" s="1"/>
  <c r="AD6" i="1" s="1"/>
  <c r="AE5" i="1" s="1"/>
  <c r="AF4" i="1" s="1"/>
  <c r="AG303" i="1" s="1"/>
  <c r="S18" i="1"/>
  <c r="T17" i="1" s="1"/>
  <c r="U16" i="1" s="1"/>
  <c r="V15" i="1" s="1"/>
  <c r="W14" i="1" s="1"/>
  <c r="X13" i="1" s="1"/>
  <c r="Y12" i="1" s="1"/>
  <c r="Z11" i="1" s="1"/>
  <c r="AA10" i="1" s="1"/>
  <c r="AB9" i="1" s="1"/>
  <c r="AC8" i="1" s="1"/>
  <c r="AD7" i="1" s="1"/>
  <c r="AE6" i="1" s="1"/>
  <c r="AF5" i="1" s="1"/>
  <c r="AG4" i="1" s="1"/>
  <c r="S19" i="1"/>
  <c r="T18" i="1" s="1"/>
  <c r="U17" i="1" s="1"/>
  <c r="V16" i="1" s="1"/>
  <c r="W15" i="1" s="1"/>
  <c r="X14" i="1" s="1"/>
  <c r="Y13" i="1" s="1"/>
  <c r="Z12" i="1" s="1"/>
  <c r="AA11" i="1" s="1"/>
  <c r="AB10" i="1" s="1"/>
  <c r="AC9" i="1" s="1"/>
  <c r="AD8" i="1" s="1"/>
  <c r="AE7" i="1" s="1"/>
  <c r="AF6" i="1" s="1"/>
  <c r="AG5" i="1" s="1"/>
  <c r="S20" i="1"/>
  <c r="T19" i="1" s="1"/>
  <c r="U18" i="1" s="1"/>
  <c r="V17" i="1" s="1"/>
  <c r="W16" i="1" s="1"/>
  <c r="X15" i="1" s="1"/>
  <c r="Y14" i="1" s="1"/>
  <c r="Z13" i="1" s="1"/>
  <c r="AA12" i="1" s="1"/>
  <c r="AB11" i="1" s="1"/>
  <c r="AC10" i="1" s="1"/>
  <c r="AD9" i="1" s="1"/>
  <c r="AE8" i="1" s="1"/>
  <c r="AF7" i="1" s="1"/>
  <c r="AG6" i="1" s="1"/>
  <c r="S21" i="1"/>
  <c r="T20" i="1" s="1"/>
  <c r="U19" i="1" s="1"/>
  <c r="V18" i="1" s="1"/>
  <c r="W17" i="1" s="1"/>
  <c r="X16" i="1" s="1"/>
  <c r="Y15" i="1" s="1"/>
  <c r="Z14" i="1" s="1"/>
  <c r="AA13" i="1" s="1"/>
  <c r="AB12" i="1" s="1"/>
  <c r="AC11" i="1" s="1"/>
  <c r="AD10" i="1" s="1"/>
  <c r="AE9" i="1" s="1"/>
  <c r="AF8" i="1" s="1"/>
  <c r="AG7" i="1" s="1"/>
  <c r="S22" i="1"/>
  <c r="T21" i="1" s="1"/>
  <c r="U20" i="1" s="1"/>
  <c r="V19" i="1" s="1"/>
  <c r="W18" i="1" s="1"/>
  <c r="X17" i="1" s="1"/>
  <c r="Y16" i="1" s="1"/>
  <c r="Z15" i="1" s="1"/>
  <c r="AA14" i="1" s="1"/>
  <c r="AB13" i="1" s="1"/>
  <c r="AC12" i="1" s="1"/>
  <c r="AD11" i="1" s="1"/>
  <c r="AE10" i="1" s="1"/>
  <c r="AF9" i="1" s="1"/>
  <c r="AG8" i="1" s="1"/>
  <c r="S23" i="1"/>
  <c r="T22" i="1" s="1"/>
  <c r="U21" i="1" s="1"/>
  <c r="V20" i="1" s="1"/>
  <c r="W19" i="1" s="1"/>
  <c r="X18" i="1" s="1"/>
  <c r="Y17" i="1" s="1"/>
  <c r="Z16" i="1" s="1"/>
  <c r="AA15" i="1" s="1"/>
  <c r="AB14" i="1" s="1"/>
  <c r="AC13" i="1" s="1"/>
  <c r="AD12" i="1" s="1"/>
  <c r="AE11" i="1" s="1"/>
  <c r="AF10" i="1" s="1"/>
  <c r="AG9" i="1" s="1"/>
  <c r="S24" i="1"/>
  <c r="T23" i="1" s="1"/>
  <c r="U22" i="1" s="1"/>
  <c r="V21" i="1" s="1"/>
  <c r="W20" i="1" s="1"/>
  <c r="X19" i="1" s="1"/>
  <c r="Y18" i="1" s="1"/>
  <c r="Z17" i="1" s="1"/>
  <c r="AA16" i="1" s="1"/>
  <c r="AB15" i="1" s="1"/>
  <c r="AC14" i="1" s="1"/>
  <c r="AD13" i="1" s="1"/>
  <c r="AE12" i="1" s="1"/>
  <c r="AF11" i="1" s="1"/>
  <c r="AG10" i="1" s="1"/>
  <c r="S25" i="1"/>
  <c r="T24" i="1" s="1"/>
  <c r="U23" i="1" s="1"/>
  <c r="V22" i="1" s="1"/>
  <c r="W21" i="1" s="1"/>
  <c r="X20" i="1" s="1"/>
  <c r="Y19" i="1" s="1"/>
  <c r="Z18" i="1" s="1"/>
  <c r="AA17" i="1" s="1"/>
  <c r="AB16" i="1" s="1"/>
  <c r="AC15" i="1" s="1"/>
  <c r="AD14" i="1" s="1"/>
  <c r="AE13" i="1" s="1"/>
  <c r="AF12" i="1" s="1"/>
  <c r="AG11" i="1" s="1"/>
  <c r="S26" i="1"/>
  <c r="T25" i="1" s="1"/>
  <c r="U24" i="1" s="1"/>
  <c r="V23" i="1" s="1"/>
  <c r="W22" i="1" s="1"/>
  <c r="X21" i="1" s="1"/>
  <c r="Y20" i="1" s="1"/>
  <c r="Z19" i="1" s="1"/>
  <c r="AA18" i="1" s="1"/>
  <c r="AB17" i="1" s="1"/>
  <c r="AC16" i="1" s="1"/>
  <c r="AD15" i="1" s="1"/>
  <c r="AE14" i="1" s="1"/>
  <c r="AF13" i="1" s="1"/>
  <c r="AG12" i="1" s="1"/>
  <c r="S27" i="1"/>
  <c r="T26" i="1" s="1"/>
  <c r="U25" i="1" s="1"/>
  <c r="V24" i="1" s="1"/>
  <c r="W23" i="1" s="1"/>
  <c r="X22" i="1" s="1"/>
  <c r="Y21" i="1" s="1"/>
  <c r="Z20" i="1" s="1"/>
  <c r="AA19" i="1" s="1"/>
  <c r="AB18" i="1" s="1"/>
  <c r="AC17" i="1" s="1"/>
  <c r="AD16" i="1" s="1"/>
  <c r="AE15" i="1" s="1"/>
  <c r="AF14" i="1" s="1"/>
  <c r="AG13" i="1" s="1"/>
  <c r="S28" i="1"/>
  <c r="T27" i="1" s="1"/>
  <c r="U26" i="1" s="1"/>
  <c r="V25" i="1" s="1"/>
  <c r="W24" i="1" s="1"/>
  <c r="X23" i="1" s="1"/>
  <c r="Y22" i="1" s="1"/>
  <c r="Z21" i="1" s="1"/>
  <c r="AA20" i="1" s="1"/>
  <c r="AB19" i="1" s="1"/>
  <c r="AC18" i="1" s="1"/>
  <c r="AD17" i="1" s="1"/>
  <c r="AE16" i="1" s="1"/>
  <c r="AF15" i="1" s="1"/>
  <c r="AG14" i="1" s="1"/>
  <c r="S29" i="1"/>
  <c r="T28" i="1" s="1"/>
  <c r="U27" i="1" s="1"/>
  <c r="V26" i="1" s="1"/>
  <c r="W25" i="1" s="1"/>
  <c r="X24" i="1" s="1"/>
  <c r="Y23" i="1" s="1"/>
  <c r="Z22" i="1" s="1"/>
  <c r="AA21" i="1" s="1"/>
  <c r="AB20" i="1" s="1"/>
  <c r="AC19" i="1" s="1"/>
  <c r="AD18" i="1" s="1"/>
  <c r="AE17" i="1" s="1"/>
  <c r="AF16" i="1" s="1"/>
  <c r="AG15" i="1" s="1"/>
  <c r="S30" i="1"/>
  <c r="T29" i="1" s="1"/>
  <c r="U28" i="1" s="1"/>
  <c r="V27" i="1" s="1"/>
  <c r="W26" i="1" s="1"/>
  <c r="X25" i="1" s="1"/>
  <c r="Y24" i="1" s="1"/>
  <c r="Z23" i="1" s="1"/>
  <c r="AA22" i="1" s="1"/>
  <c r="AB21" i="1" s="1"/>
  <c r="AC20" i="1" s="1"/>
  <c r="AD19" i="1" s="1"/>
  <c r="AE18" i="1" s="1"/>
  <c r="AF17" i="1" s="1"/>
  <c r="AG16" i="1" s="1"/>
  <c r="S31" i="1"/>
  <c r="T30" i="1" s="1"/>
  <c r="U29" i="1" s="1"/>
  <c r="V28" i="1" s="1"/>
  <c r="W27" i="1" s="1"/>
  <c r="X26" i="1" s="1"/>
  <c r="Y25" i="1" s="1"/>
  <c r="Z24" i="1" s="1"/>
  <c r="AA23" i="1" s="1"/>
  <c r="AB22" i="1" s="1"/>
  <c r="AC21" i="1" s="1"/>
  <c r="AD20" i="1" s="1"/>
  <c r="AE19" i="1" s="1"/>
  <c r="AF18" i="1" s="1"/>
  <c r="AG17" i="1" s="1"/>
  <c r="S32" i="1"/>
  <c r="T31" i="1" s="1"/>
  <c r="U30" i="1" s="1"/>
  <c r="V29" i="1" s="1"/>
  <c r="W28" i="1" s="1"/>
  <c r="X27" i="1" s="1"/>
  <c r="Y26" i="1" s="1"/>
  <c r="Z25" i="1" s="1"/>
  <c r="AA24" i="1" s="1"/>
  <c r="AB23" i="1" s="1"/>
  <c r="AC22" i="1" s="1"/>
  <c r="AD21" i="1" s="1"/>
  <c r="AE20" i="1" s="1"/>
  <c r="AF19" i="1" s="1"/>
  <c r="AG18" i="1" s="1"/>
  <c r="S33" i="1"/>
  <c r="T32" i="1" s="1"/>
  <c r="U31" i="1" s="1"/>
  <c r="V30" i="1" s="1"/>
  <c r="W29" i="1" s="1"/>
  <c r="X28" i="1" s="1"/>
  <c r="Y27" i="1" s="1"/>
  <c r="Z26" i="1" s="1"/>
  <c r="AA25" i="1" s="1"/>
  <c r="AB24" i="1" s="1"/>
  <c r="AC23" i="1" s="1"/>
  <c r="AD22" i="1" s="1"/>
  <c r="AE21" i="1" s="1"/>
  <c r="AF20" i="1" s="1"/>
  <c r="AG19" i="1" s="1"/>
  <c r="S34" i="1"/>
  <c r="T33" i="1" s="1"/>
  <c r="U32" i="1" s="1"/>
  <c r="V31" i="1" s="1"/>
  <c r="W30" i="1" s="1"/>
  <c r="X29" i="1" s="1"/>
  <c r="Y28" i="1" s="1"/>
  <c r="Z27" i="1" s="1"/>
  <c r="AA26" i="1" s="1"/>
  <c r="AB25" i="1" s="1"/>
  <c r="AC24" i="1" s="1"/>
  <c r="AD23" i="1" s="1"/>
  <c r="AE22" i="1" s="1"/>
  <c r="AF21" i="1" s="1"/>
  <c r="AG20" i="1" s="1"/>
  <c r="S35" i="1"/>
  <c r="T34" i="1" s="1"/>
  <c r="U33" i="1" s="1"/>
  <c r="V32" i="1" s="1"/>
  <c r="W31" i="1" s="1"/>
  <c r="X30" i="1" s="1"/>
  <c r="Y29" i="1" s="1"/>
  <c r="Z28" i="1" s="1"/>
  <c r="AA27" i="1" s="1"/>
  <c r="AB26" i="1" s="1"/>
  <c r="AC25" i="1" s="1"/>
  <c r="AD24" i="1" s="1"/>
  <c r="AE23" i="1" s="1"/>
  <c r="AF22" i="1" s="1"/>
  <c r="AG21" i="1" s="1"/>
  <c r="S36" i="1"/>
  <c r="T35" i="1" s="1"/>
  <c r="U34" i="1" s="1"/>
  <c r="V33" i="1" s="1"/>
  <c r="W32" i="1" s="1"/>
  <c r="X31" i="1" s="1"/>
  <c r="Y30" i="1" s="1"/>
  <c r="Z29" i="1" s="1"/>
  <c r="AA28" i="1" s="1"/>
  <c r="AB27" i="1" s="1"/>
  <c r="AC26" i="1" s="1"/>
  <c r="AD25" i="1" s="1"/>
  <c r="AE24" i="1" s="1"/>
  <c r="AF23" i="1" s="1"/>
  <c r="AG22" i="1" s="1"/>
  <c r="S37" i="1"/>
  <c r="T36" i="1" s="1"/>
  <c r="U35" i="1" s="1"/>
  <c r="V34" i="1" s="1"/>
  <c r="W33" i="1" s="1"/>
  <c r="X32" i="1" s="1"/>
  <c r="Y31" i="1" s="1"/>
  <c r="Z30" i="1" s="1"/>
  <c r="AA29" i="1" s="1"/>
  <c r="AB28" i="1" s="1"/>
  <c r="AC27" i="1" s="1"/>
  <c r="AD26" i="1" s="1"/>
  <c r="AE25" i="1" s="1"/>
  <c r="AF24" i="1" s="1"/>
  <c r="AG23" i="1" s="1"/>
  <c r="S38" i="1"/>
  <c r="T37" i="1" s="1"/>
  <c r="U36" i="1" s="1"/>
  <c r="V35" i="1" s="1"/>
  <c r="W34" i="1" s="1"/>
  <c r="X33" i="1" s="1"/>
  <c r="Y32" i="1" s="1"/>
  <c r="Z31" i="1" s="1"/>
  <c r="AA30" i="1" s="1"/>
  <c r="AB29" i="1" s="1"/>
  <c r="AC28" i="1" s="1"/>
  <c r="AD27" i="1" s="1"/>
  <c r="AE26" i="1" s="1"/>
  <c r="AF25" i="1" s="1"/>
  <c r="AG24" i="1" s="1"/>
  <c r="S39" i="1"/>
  <c r="T38" i="1" s="1"/>
  <c r="U37" i="1" s="1"/>
  <c r="V36" i="1" s="1"/>
  <c r="W35" i="1" s="1"/>
  <c r="X34" i="1" s="1"/>
  <c r="Y33" i="1" s="1"/>
  <c r="Z32" i="1" s="1"/>
  <c r="AA31" i="1" s="1"/>
  <c r="AB30" i="1" s="1"/>
  <c r="AC29" i="1" s="1"/>
  <c r="AD28" i="1" s="1"/>
  <c r="AE27" i="1" s="1"/>
  <c r="AF26" i="1" s="1"/>
  <c r="AG25" i="1" s="1"/>
  <c r="S40" i="1"/>
  <c r="T39" i="1" s="1"/>
  <c r="U38" i="1" s="1"/>
  <c r="V37" i="1" s="1"/>
  <c r="W36" i="1" s="1"/>
  <c r="X35" i="1" s="1"/>
  <c r="Y34" i="1" s="1"/>
  <c r="Z33" i="1" s="1"/>
  <c r="AA32" i="1" s="1"/>
  <c r="AB31" i="1" s="1"/>
  <c r="AC30" i="1" s="1"/>
  <c r="AD29" i="1" s="1"/>
  <c r="AE28" i="1" s="1"/>
  <c r="AF27" i="1" s="1"/>
  <c r="AG26" i="1" s="1"/>
  <c r="S41" i="1"/>
  <c r="T40" i="1" s="1"/>
  <c r="U39" i="1" s="1"/>
  <c r="V38" i="1" s="1"/>
  <c r="W37" i="1" s="1"/>
  <c r="X36" i="1" s="1"/>
  <c r="Y35" i="1" s="1"/>
  <c r="Z34" i="1" s="1"/>
  <c r="AA33" i="1" s="1"/>
  <c r="AB32" i="1" s="1"/>
  <c r="AC31" i="1" s="1"/>
  <c r="AD30" i="1" s="1"/>
  <c r="AE29" i="1" s="1"/>
  <c r="AF28" i="1" s="1"/>
  <c r="AG27" i="1" s="1"/>
  <c r="S42" i="1"/>
  <c r="T41" i="1" s="1"/>
  <c r="U40" i="1" s="1"/>
  <c r="V39" i="1" s="1"/>
  <c r="W38" i="1" s="1"/>
  <c r="X37" i="1" s="1"/>
  <c r="Y36" i="1" s="1"/>
  <c r="Z35" i="1" s="1"/>
  <c r="AA34" i="1" s="1"/>
  <c r="AB33" i="1" s="1"/>
  <c r="AC32" i="1" s="1"/>
  <c r="AD31" i="1" s="1"/>
  <c r="AE30" i="1" s="1"/>
  <c r="AF29" i="1" s="1"/>
  <c r="AG28" i="1" s="1"/>
  <c r="S43" i="1"/>
  <c r="T42" i="1" s="1"/>
  <c r="U41" i="1" s="1"/>
  <c r="V40" i="1" s="1"/>
  <c r="W39" i="1" s="1"/>
  <c r="X38" i="1" s="1"/>
  <c r="Y37" i="1" s="1"/>
  <c r="Z36" i="1" s="1"/>
  <c r="AA35" i="1" s="1"/>
  <c r="AB34" i="1" s="1"/>
  <c r="AC33" i="1" s="1"/>
  <c r="AD32" i="1" s="1"/>
  <c r="AE31" i="1" s="1"/>
  <c r="AF30" i="1" s="1"/>
  <c r="AG29" i="1" s="1"/>
  <c r="S44" i="1"/>
  <c r="T43" i="1" s="1"/>
  <c r="U42" i="1" s="1"/>
  <c r="V41" i="1" s="1"/>
  <c r="W40" i="1" s="1"/>
  <c r="X39" i="1" s="1"/>
  <c r="Y38" i="1" s="1"/>
  <c r="Z37" i="1" s="1"/>
  <c r="AA36" i="1" s="1"/>
  <c r="AB35" i="1" s="1"/>
  <c r="AC34" i="1" s="1"/>
  <c r="AD33" i="1" s="1"/>
  <c r="AE32" i="1" s="1"/>
  <c r="AF31" i="1" s="1"/>
  <c r="AG30" i="1" s="1"/>
  <c r="S45" i="1"/>
  <c r="T44" i="1" s="1"/>
  <c r="U43" i="1" s="1"/>
  <c r="V42" i="1" s="1"/>
  <c r="W41" i="1" s="1"/>
  <c r="X40" i="1" s="1"/>
  <c r="Y39" i="1" s="1"/>
  <c r="Z38" i="1" s="1"/>
  <c r="AA37" i="1" s="1"/>
  <c r="AB36" i="1" s="1"/>
  <c r="AC35" i="1" s="1"/>
  <c r="AD34" i="1" s="1"/>
  <c r="AE33" i="1" s="1"/>
  <c r="AF32" i="1" s="1"/>
  <c r="AG31" i="1" s="1"/>
  <c r="S46" i="1"/>
  <c r="T45" i="1" s="1"/>
  <c r="U44" i="1" s="1"/>
  <c r="V43" i="1" s="1"/>
  <c r="W42" i="1" s="1"/>
  <c r="X41" i="1" s="1"/>
  <c r="Y40" i="1" s="1"/>
  <c r="Z39" i="1" s="1"/>
  <c r="AA38" i="1" s="1"/>
  <c r="AB37" i="1" s="1"/>
  <c r="AC36" i="1" s="1"/>
  <c r="AD35" i="1" s="1"/>
  <c r="AE34" i="1" s="1"/>
  <c r="AF33" i="1" s="1"/>
  <c r="AG32" i="1" s="1"/>
  <c r="S47" i="1"/>
  <c r="T46" i="1" s="1"/>
  <c r="U45" i="1" s="1"/>
  <c r="V44" i="1" s="1"/>
  <c r="W43" i="1" s="1"/>
  <c r="X42" i="1" s="1"/>
  <c r="Y41" i="1" s="1"/>
  <c r="Z40" i="1" s="1"/>
  <c r="AA39" i="1" s="1"/>
  <c r="AB38" i="1" s="1"/>
  <c r="AC37" i="1" s="1"/>
  <c r="AD36" i="1" s="1"/>
  <c r="AE35" i="1" s="1"/>
  <c r="AF34" i="1" s="1"/>
  <c r="AG33" i="1" s="1"/>
  <c r="S48" i="1"/>
  <c r="T47" i="1" s="1"/>
  <c r="U46" i="1" s="1"/>
  <c r="V45" i="1" s="1"/>
  <c r="W44" i="1" s="1"/>
  <c r="X43" i="1" s="1"/>
  <c r="Y42" i="1" s="1"/>
  <c r="Z41" i="1" s="1"/>
  <c r="AA40" i="1" s="1"/>
  <c r="AB39" i="1" s="1"/>
  <c r="AC38" i="1" s="1"/>
  <c r="AD37" i="1" s="1"/>
  <c r="AE36" i="1" s="1"/>
  <c r="AF35" i="1" s="1"/>
  <c r="AG34" i="1" s="1"/>
  <c r="S49" i="1"/>
  <c r="T48" i="1" s="1"/>
  <c r="U47" i="1" s="1"/>
  <c r="V46" i="1" s="1"/>
  <c r="W45" i="1" s="1"/>
  <c r="X44" i="1" s="1"/>
  <c r="Y43" i="1" s="1"/>
  <c r="Z42" i="1" s="1"/>
  <c r="AA41" i="1" s="1"/>
  <c r="AB40" i="1" s="1"/>
  <c r="AC39" i="1" s="1"/>
  <c r="AD38" i="1" s="1"/>
  <c r="AE37" i="1" s="1"/>
  <c r="AF36" i="1" s="1"/>
  <c r="AG35" i="1" s="1"/>
  <c r="S50" i="1"/>
  <c r="T49" i="1" s="1"/>
  <c r="U48" i="1" s="1"/>
  <c r="V47" i="1" s="1"/>
  <c r="W46" i="1" s="1"/>
  <c r="X45" i="1" s="1"/>
  <c r="Y44" i="1" s="1"/>
  <c r="Z43" i="1" s="1"/>
  <c r="AA42" i="1" s="1"/>
  <c r="AB41" i="1" s="1"/>
  <c r="AC40" i="1" s="1"/>
  <c r="AD39" i="1" s="1"/>
  <c r="AE38" i="1" s="1"/>
  <c r="AF37" i="1" s="1"/>
  <c r="AG36" i="1" s="1"/>
  <c r="S51" i="1"/>
  <c r="T50" i="1" s="1"/>
  <c r="U49" i="1" s="1"/>
  <c r="V48" i="1" s="1"/>
  <c r="W47" i="1" s="1"/>
  <c r="X46" i="1" s="1"/>
  <c r="Y45" i="1" s="1"/>
  <c r="Z44" i="1" s="1"/>
  <c r="AA43" i="1" s="1"/>
  <c r="AB42" i="1" s="1"/>
  <c r="AC41" i="1" s="1"/>
  <c r="AD40" i="1" s="1"/>
  <c r="AE39" i="1" s="1"/>
  <c r="AF38" i="1" s="1"/>
  <c r="AG37" i="1" s="1"/>
  <c r="S52" i="1"/>
  <c r="T51" i="1" s="1"/>
  <c r="U50" i="1" s="1"/>
  <c r="V49" i="1" s="1"/>
  <c r="W48" i="1" s="1"/>
  <c r="X47" i="1" s="1"/>
  <c r="Y46" i="1" s="1"/>
  <c r="Z45" i="1" s="1"/>
  <c r="AA44" i="1" s="1"/>
  <c r="AB43" i="1" s="1"/>
  <c r="AC42" i="1" s="1"/>
  <c r="AD41" i="1" s="1"/>
  <c r="AE40" i="1" s="1"/>
  <c r="AF39" i="1" s="1"/>
  <c r="AG38" i="1" s="1"/>
  <c r="S53" i="1"/>
  <c r="T52" i="1" s="1"/>
  <c r="U51" i="1" s="1"/>
  <c r="V50" i="1" s="1"/>
  <c r="W49" i="1" s="1"/>
  <c r="X48" i="1" s="1"/>
  <c r="Y47" i="1" s="1"/>
  <c r="Z46" i="1" s="1"/>
  <c r="AA45" i="1" s="1"/>
  <c r="AB44" i="1" s="1"/>
  <c r="AC43" i="1" s="1"/>
  <c r="AD42" i="1" s="1"/>
  <c r="AE41" i="1" s="1"/>
  <c r="AF40" i="1" s="1"/>
  <c r="AG39" i="1" s="1"/>
  <c r="S54" i="1"/>
  <c r="T53" i="1" s="1"/>
  <c r="U52" i="1" s="1"/>
  <c r="V51" i="1" s="1"/>
  <c r="W50" i="1" s="1"/>
  <c r="X49" i="1" s="1"/>
  <c r="Y48" i="1" s="1"/>
  <c r="Z47" i="1" s="1"/>
  <c r="AA46" i="1" s="1"/>
  <c r="AB45" i="1" s="1"/>
  <c r="AC44" i="1" s="1"/>
  <c r="AD43" i="1" s="1"/>
  <c r="AE42" i="1" s="1"/>
  <c r="AF41" i="1" s="1"/>
  <c r="AG40" i="1" s="1"/>
  <c r="S55" i="1"/>
  <c r="T54" i="1" s="1"/>
  <c r="U53" i="1" s="1"/>
  <c r="V52" i="1" s="1"/>
  <c r="W51" i="1" s="1"/>
  <c r="X50" i="1" s="1"/>
  <c r="Y49" i="1" s="1"/>
  <c r="Z48" i="1" s="1"/>
  <c r="AA47" i="1" s="1"/>
  <c r="AB46" i="1" s="1"/>
  <c r="AC45" i="1" s="1"/>
  <c r="AD44" i="1" s="1"/>
  <c r="AE43" i="1" s="1"/>
  <c r="AF42" i="1" s="1"/>
  <c r="AG41" i="1" s="1"/>
  <c r="S56" i="1"/>
  <c r="T55" i="1" s="1"/>
  <c r="U54" i="1" s="1"/>
  <c r="V53" i="1" s="1"/>
  <c r="W52" i="1" s="1"/>
  <c r="X51" i="1" s="1"/>
  <c r="Y50" i="1" s="1"/>
  <c r="Z49" i="1" s="1"/>
  <c r="AA48" i="1" s="1"/>
  <c r="AB47" i="1" s="1"/>
  <c r="AC46" i="1" s="1"/>
  <c r="AD45" i="1" s="1"/>
  <c r="AE44" i="1" s="1"/>
  <c r="AF43" i="1" s="1"/>
  <c r="AG42" i="1" s="1"/>
  <c r="S57" i="1"/>
  <c r="T56" i="1" s="1"/>
  <c r="U55" i="1" s="1"/>
  <c r="V54" i="1" s="1"/>
  <c r="W53" i="1" s="1"/>
  <c r="X52" i="1" s="1"/>
  <c r="Y51" i="1" s="1"/>
  <c r="Z50" i="1" s="1"/>
  <c r="AA49" i="1" s="1"/>
  <c r="AB48" i="1" s="1"/>
  <c r="AC47" i="1" s="1"/>
  <c r="AD46" i="1" s="1"/>
  <c r="AE45" i="1" s="1"/>
  <c r="AF44" i="1" s="1"/>
  <c r="AG43" i="1" s="1"/>
  <c r="S58" i="1"/>
  <c r="T57" i="1" s="1"/>
  <c r="U56" i="1" s="1"/>
  <c r="V55" i="1" s="1"/>
  <c r="W54" i="1" s="1"/>
  <c r="X53" i="1" s="1"/>
  <c r="Y52" i="1" s="1"/>
  <c r="Z51" i="1" s="1"/>
  <c r="AA50" i="1" s="1"/>
  <c r="AB49" i="1" s="1"/>
  <c r="AC48" i="1" s="1"/>
  <c r="AD47" i="1" s="1"/>
  <c r="AE46" i="1" s="1"/>
  <c r="AF45" i="1" s="1"/>
  <c r="AG44" i="1" s="1"/>
  <c r="S59" i="1"/>
  <c r="T58" i="1" s="1"/>
  <c r="U57" i="1" s="1"/>
  <c r="V56" i="1" s="1"/>
  <c r="W55" i="1" s="1"/>
  <c r="X54" i="1" s="1"/>
  <c r="Y53" i="1" s="1"/>
  <c r="Z52" i="1" s="1"/>
  <c r="AA51" i="1" s="1"/>
  <c r="AB50" i="1" s="1"/>
  <c r="AC49" i="1" s="1"/>
  <c r="AD48" i="1" s="1"/>
  <c r="AE47" i="1" s="1"/>
  <c r="AF46" i="1" s="1"/>
  <c r="AG45" i="1" s="1"/>
  <c r="S60" i="1"/>
  <c r="T59" i="1" s="1"/>
  <c r="U58" i="1" s="1"/>
  <c r="V57" i="1" s="1"/>
  <c r="W56" i="1" s="1"/>
  <c r="X55" i="1" s="1"/>
  <c r="Y54" i="1" s="1"/>
  <c r="Z53" i="1" s="1"/>
  <c r="AA52" i="1" s="1"/>
  <c r="AB51" i="1" s="1"/>
  <c r="AC50" i="1" s="1"/>
  <c r="AD49" i="1" s="1"/>
  <c r="AE48" i="1" s="1"/>
  <c r="AF47" i="1" s="1"/>
  <c r="AG46" i="1" s="1"/>
  <c r="S61" i="1"/>
  <c r="T60" i="1" s="1"/>
  <c r="U59" i="1" s="1"/>
  <c r="V58" i="1" s="1"/>
  <c r="W57" i="1" s="1"/>
  <c r="X56" i="1" s="1"/>
  <c r="Y55" i="1" s="1"/>
  <c r="Z54" i="1" s="1"/>
  <c r="AA53" i="1" s="1"/>
  <c r="AB52" i="1" s="1"/>
  <c r="AC51" i="1" s="1"/>
  <c r="AD50" i="1" s="1"/>
  <c r="AE49" i="1" s="1"/>
  <c r="AF48" i="1" s="1"/>
  <c r="AG47" i="1" s="1"/>
  <c r="S62" i="1"/>
  <c r="T61" i="1" s="1"/>
  <c r="U60" i="1" s="1"/>
  <c r="V59" i="1" s="1"/>
  <c r="W58" i="1" s="1"/>
  <c r="X57" i="1" s="1"/>
  <c r="Y56" i="1" s="1"/>
  <c r="Z55" i="1" s="1"/>
  <c r="AA54" i="1" s="1"/>
  <c r="AB53" i="1" s="1"/>
  <c r="AC52" i="1" s="1"/>
  <c r="AD51" i="1" s="1"/>
  <c r="AE50" i="1" s="1"/>
  <c r="AF49" i="1" s="1"/>
  <c r="AG48" i="1" s="1"/>
  <c r="S63" i="1"/>
  <c r="T62" i="1" s="1"/>
  <c r="U61" i="1" s="1"/>
  <c r="V60" i="1" s="1"/>
  <c r="W59" i="1" s="1"/>
  <c r="X58" i="1" s="1"/>
  <c r="Y57" i="1" s="1"/>
  <c r="Z56" i="1" s="1"/>
  <c r="AA55" i="1" s="1"/>
  <c r="AB54" i="1" s="1"/>
  <c r="AC53" i="1" s="1"/>
  <c r="AD52" i="1" s="1"/>
  <c r="AE51" i="1" s="1"/>
  <c r="AF50" i="1" s="1"/>
  <c r="AG49" i="1" s="1"/>
  <c r="S64" i="1"/>
  <c r="T63" i="1" s="1"/>
  <c r="U62" i="1" s="1"/>
  <c r="V61" i="1" s="1"/>
  <c r="W60" i="1" s="1"/>
  <c r="X59" i="1" s="1"/>
  <c r="Y58" i="1" s="1"/>
  <c r="Z57" i="1" s="1"/>
  <c r="AA56" i="1" s="1"/>
  <c r="AB55" i="1" s="1"/>
  <c r="AC54" i="1" s="1"/>
  <c r="AD53" i="1" s="1"/>
  <c r="AE52" i="1" s="1"/>
  <c r="AF51" i="1" s="1"/>
  <c r="AG50" i="1" s="1"/>
  <c r="S65" i="1"/>
  <c r="T64" i="1" s="1"/>
  <c r="U63" i="1" s="1"/>
  <c r="V62" i="1" s="1"/>
  <c r="W61" i="1" s="1"/>
  <c r="X60" i="1" s="1"/>
  <c r="Y59" i="1" s="1"/>
  <c r="Z58" i="1" s="1"/>
  <c r="AA57" i="1" s="1"/>
  <c r="AB56" i="1" s="1"/>
  <c r="AC55" i="1" s="1"/>
  <c r="AD54" i="1" s="1"/>
  <c r="AE53" i="1" s="1"/>
  <c r="AF52" i="1" s="1"/>
  <c r="AG51" i="1" s="1"/>
  <c r="S66" i="1"/>
  <c r="T65" i="1" s="1"/>
  <c r="U64" i="1" s="1"/>
  <c r="V63" i="1" s="1"/>
  <c r="W62" i="1" s="1"/>
  <c r="X61" i="1" s="1"/>
  <c r="Y60" i="1" s="1"/>
  <c r="Z59" i="1" s="1"/>
  <c r="AA58" i="1" s="1"/>
  <c r="AB57" i="1" s="1"/>
  <c r="AC56" i="1" s="1"/>
  <c r="AD55" i="1" s="1"/>
  <c r="AE54" i="1" s="1"/>
  <c r="AF53" i="1" s="1"/>
  <c r="AG52" i="1" s="1"/>
  <c r="S67" i="1"/>
  <c r="T66" i="1" s="1"/>
  <c r="U65" i="1" s="1"/>
  <c r="V64" i="1" s="1"/>
  <c r="W63" i="1" s="1"/>
  <c r="X62" i="1" s="1"/>
  <c r="Y61" i="1" s="1"/>
  <c r="Z60" i="1" s="1"/>
  <c r="AA59" i="1" s="1"/>
  <c r="AB58" i="1" s="1"/>
  <c r="AC57" i="1" s="1"/>
  <c r="AD56" i="1" s="1"/>
  <c r="AE55" i="1" s="1"/>
  <c r="AF54" i="1" s="1"/>
  <c r="AG53" i="1" s="1"/>
  <c r="S68" i="1"/>
  <c r="T67" i="1" s="1"/>
  <c r="U66" i="1" s="1"/>
  <c r="V65" i="1" s="1"/>
  <c r="W64" i="1" s="1"/>
  <c r="X63" i="1" s="1"/>
  <c r="Y62" i="1" s="1"/>
  <c r="Z61" i="1" s="1"/>
  <c r="AA60" i="1" s="1"/>
  <c r="AB59" i="1" s="1"/>
  <c r="AC58" i="1" s="1"/>
  <c r="AD57" i="1" s="1"/>
  <c r="AE56" i="1" s="1"/>
  <c r="AF55" i="1" s="1"/>
  <c r="AG54" i="1" s="1"/>
  <c r="S69" i="1"/>
  <c r="T68" i="1" s="1"/>
  <c r="U67" i="1" s="1"/>
  <c r="V66" i="1" s="1"/>
  <c r="W65" i="1" s="1"/>
  <c r="X64" i="1" s="1"/>
  <c r="Y63" i="1" s="1"/>
  <c r="Z62" i="1" s="1"/>
  <c r="AA61" i="1" s="1"/>
  <c r="AB60" i="1" s="1"/>
  <c r="AC59" i="1" s="1"/>
  <c r="AD58" i="1" s="1"/>
  <c r="AE57" i="1" s="1"/>
  <c r="AF56" i="1" s="1"/>
  <c r="AG55" i="1" s="1"/>
  <c r="S70" i="1"/>
  <c r="T69" i="1" s="1"/>
  <c r="U68" i="1" s="1"/>
  <c r="V67" i="1" s="1"/>
  <c r="W66" i="1" s="1"/>
  <c r="X65" i="1" s="1"/>
  <c r="Y64" i="1" s="1"/>
  <c r="Z63" i="1" s="1"/>
  <c r="AA62" i="1" s="1"/>
  <c r="AB61" i="1" s="1"/>
  <c r="AC60" i="1" s="1"/>
  <c r="AD59" i="1" s="1"/>
  <c r="AE58" i="1" s="1"/>
  <c r="AF57" i="1" s="1"/>
  <c r="AG56" i="1" s="1"/>
  <c r="S71" i="1"/>
  <c r="T70" i="1" s="1"/>
  <c r="U69" i="1" s="1"/>
  <c r="V68" i="1" s="1"/>
  <c r="W67" i="1" s="1"/>
  <c r="X66" i="1" s="1"/>
  <c r="Y65" i="1" s="1"/>
  <c r="Z64" i="1" s="1"/>
  <c r="AA63" i="1" s="1"/>
  <c r="AB62" i="1" s="1"/>
  <c r="AC61" i="1" s="1"/>
  <c r="AD60" i="1" s="1"/>
  <c r="AE59" i="1" s="1"/>
  <c r="AF58" i="1" s="1"/>
  <c r="AG57" i="1" s="1"/>
  <c r="S72" i="1"/>
  <c r="T71" i="1" s="1"/>
  <c r="U70" i="1" s="1"/>
  <c r="V69" i="1" s="1"/>
  <c r="W68" i="1" s="1"/>
  <c r="X67" i="1" s="1"/>
  <c r="Y66" i="1" s="1"/>
  <c r="Z65" i="1" s="1"/>
  <c r="AA64" i="1" s="1"/>
  <c r="AB63" i="1" s="1"/>
  <c r="AC62" i="1" s="1"/>
  <c r="AD61" i="1" s="1"/>
  <c r="AE60" i="1" s="1"/>
  <c r="AF59" i="1" s="1"/>
  <c r="AG58" i="1" s="1"/>
  <c r="S73" i="1"/>
  <c r="T72" i="1" s="1"/>
  <c r="U71" i="1" s="1"/>
  <c r="V70" i="1" s="1"/>
  <c r="W69" i="1" s="1"/>
  <c r="X68" i="1" s="1"/>
  <c r="Y67" i="1" s="1"/>
  <c r="Z66" i="1" s="1"/>
  <c r="AA65" i="1" s="1"/>
  <c r="AB64" i="1" s="1"/>
  <c r="AC63" i="1" s="1"/>
  <c r="AD62" i="1" s="1"/>
  <c r="AE61" i="1" s="1"/>
  <c r="AF60" i="1" s="1"/>
  <c r="AG59" i="1" s="1"/>
  <c r="S74" i="1"/>
  <c r="T73" i="1" s="1"/>
  <c r="U72" i="1" s="1"/>
  <c r="V71" i="1" s="1"/>
  <c r="W70" i="1" s="1"/>
  <c r="X69" i="1" s="1"/>
  <c r="Y68" i="1" s="1"/>
  <c r="Z67" i="1" s="1"/>
  <c r="AA66" i="1" s="1"/>
  <c r="AB65" i="1" s="1"/>
  <c r="AC64" i="1" s="1"/>
  <c r="AD63" i="1" s="1"/>
  <c r="AE62" i="1" s="1"/>
  <c r="AF61" i="1" s="1"/>
  <c r="AG60" i="1" s="1"/>
  <c r="S75" i="1"/>
  <c r="T74" i="1" s="1"/>
  <c r="U73" i="1" s="1"/>
  <c r="V72" i="1" s="1"/>
  <c r="W71" i="1" s="1"/>
  <c r="X70" i="1" s="1"/>
  <c r="Y69" i="1" s="1"/>
  <c r="Z68" i="1" s="1"/>
  <c r="AA67" i="1" s="1"/>
  <c r="AB66" i="1" s="1"/>
  <c r="AC65" i="1" s="1"/>
  <c r="AD64" i="1" s="1"/>
  <c r="AE63" i="1" s="1"/>
  <c r="AF62" i="1" s="1"/>
  <c r="AG61" i="1" s="1"/>
  <c r="S76" i="1"/>
  <c r="T75" i="1" s="1"/>
  <c r="U74" i="1" s="1"/>
  <c r="V73" i="1" s="1"/>
  <c r="W72" i="1" s="1"/>
  <c r="X71" i="1" s="1"/>
  <c r="Y70" i="1" s="1"/>
  <c r="Z69" i="1" s="1"/>
  <c r="AA68" i="1" s="1"/>
  <c r="AB67" i="1" s="1"/>
  <c r="AC66" i="1" s="1"/>
  <c r="AD65" i="1" s="1"/>
  <c r="AE64" i="1" s="1"/>
  <c r="AF63" i="1" s="1"/>
  <c r="AG62" i="1" s="1"/>
  <c r="S77" i="1"/>
  <c r="T76" i="1" s="1"/>
  <c r="U75" i="1" s="1"/>
  <c r="V74" i="1" s="1"/>
  <c r="W73" i="1" s="1"/>
  <c r="X72" i="1" s="1"/>
  <c r="Y71" i="1" s="1"/>
  <c r="Z70" i="1" s="1"/>
  <c r="AA69" i="1" s="1"/>
  <c r="AB68" i="1" s="1"/>
  <c r="AC67" i="1" s="1"/>
  <c r="AD66" i="1" s="1"/>
  <c r="AE65" i="1" s="1"/>
  <c r="AF64" i="1" s="1"/>
  <c r="AG63" i="1" s="1"/>
  <c r="S78" i="1"/>
  <c r="T77" i="1" s="1"/>
  <c r="U76" i="1" s="1"/>
  <c r="V75" i="1" s="1"/>
  <c r="W74" i="1" s="1"/>
  <c r="X73" i="1" s="1"/>
  <c r="Y72" i="1" s="1"/>
  <c r="Z71" i="1" s="1"/>
  <c r="AA70" i="1" s="1"/>
  <c r="AB69" i="1" s="1"/>
  <c r="AC68" i="1" s="1"/>
  <c r="AD67" i="1" s="1"/>
  <c r="AE66" i="1" s="1"/>
  <c r="AF65" i="1" s="1"/>
  <c r="AG64" i="1" s="1"/>
  <c r="S79" i="1"/>
  <c r="T78" i="1" s="1"/>
  <c r="U77" i="1" s="1"/>
  <c r="V76" i="1" s="1"/>
  <c r="W75" i="1" s="1"/>
  <c r="X74" i="1" s="1"/>
  <c r="Y73" i="1" s="1"/>
  <c r="Z72" i="1" s="1"/>
  <c r="AA71" i="1" s="1"/>
  <c r="AB70" i="1" s="1"/>
  <c r="AC69" i="1" s="1"/>
  <c r="AD68" i="1" s="1"/>
  <c r="AE67" i="1" s="1"/>
  <c r="AF66" i="1" s="1"/>
  <c r="AG65" i="1" s="1"/>
  <c r="S80" i="1"/>
  <c r="T79" i="1" s="1"/>
  <c r="U78" i="1" s="1"/>
  <c r="V77" i="1" s="1"/>
  <c r="W76" i="1" s="1"/>
  <c r="X75" i="1" s="1"/>
  <c r="Y74" i="1" s="1"/>
  <c r="Z73" i="1" s="1"/>
  <c r="AA72" i="1" s="1"/>
  <c r="AB71" i="1" s="1"/>
  <c r="AC70" i="1" s="1"/>
  <c r="AD69" i="1" s="1"/>
  <c r="AE68" i="1" s="1"/>
  <c r="AF67" i="1" s="1"/>
  <c r="AG66" i="1" s="1"/>
  <c r="S81" i="1"/>
  <c r="T80" i="1" s="1"/>
  <c r="U79" i="1" s="1"/>
  <c r="V78" i="1" s="1"/>
  <c r="W77" i="1" s="1"/>
  <c r="X76" i="1" s="1"/>
  <c r="Y75" i="1" s="1"/>
  <c r="Z74" i="1" s="1"/>
  <c r="AA73" i="1" s="1"/>
  <c r="AB72" i="1" s="1"/>
  <c r="AC71" i="1" s="1"/>
  <c r="AD70" i="1" s="1"/>
  <c r="AE69" i="1" s="1"/>
  <c r="AF68" i="1" s="1"/>
  <c r="AG67" i="1" s="1"/>
  <c r="S82" i="1"/>
  <c r="T81" i="1" s="1"/>
  <c r="U80" i="1" s="1"/>
  <c r="V79" i="1" s="1"/>
  <c r="W78" i="1" s="1"/>
  <c r="X77" i="1" s="1"/>
  <c r="Y76" i="1" s="1"/>
  <c r="Z75" i="1" s="1"/>
  <c r="AA74" i="1" s="1"/>
  <c r="AB73" i="1" s="1"/>
  <c r="AC72" i="1" s="1"/>
  <c r="AD71" i="1" s="1"/>
  <c r="AE70" i="1" s="1"/>
  <c r="AF69" i="1" s="1"/>
  <c r="AG68" i="1" s="1"/>
  <c r="S83" i="1"/>
  <c r="T82" i="1" s="1"/>
  <c r="U81" i="1" s="1"/>
  <c r="V80" i="1" s="1"/>
  <c r="W79" i="1" s="1"/>
  <c r="X78" i="1" s="1"/>
  <c r="Y77" i="1" s="1"/>
  <c r="Z76" i="1" s="1"/>
  <c r="AA75" i="1" s="1"/>
  <c r="AB74" i="1" s="1"/>
  <c r="AC73" i="1" s="1"/>
  <c r="AD72" i="1" s="1"/>
  <c r="AE71" i="1" s="1"/>
  <c r="AF70" i="1" s="1"/>
  <c r="AG69" i="1" s="1"/>
  <c r="S84" i="1"/>
  <c r="T83" i="1" s="1"/>
  <c r="U82" i="1" s="1"/>
  <c r="V81" i="1" s="1"/>
  <c r="W80" i="1" s="1"/>
  <c r="X79" i="1" s="1"/>
  <c r="Y78" i="1" s="1"/>
  <c r="Z77" i="1" s="1"/>
  <c r="AA76" i="1" s="1"/>
  <c r="AB75" i="1" s="1"/>
  <c r="AC74" i="1" s="1"/>
  <c r="AD73" i="1" s="1"/>
  <c r="AE72" i="1" s="1"/>
  <c r="AF71" i="1" s="1"/>
  <c r="AG70" i="1" s="1"/>
  <c r="S85" i="1"/>
  <c r="T84" i="1" s="1"/>
  <c r="U83" i="1" s="1"/>
  <c r="V82" i="1" s="1"/>
  <c r="W81" i="1" s="1"/>
  <c r="X80" i="1" s="1"/>
  <c r="Y79" i="1" s="1"/>
  <c r="Z78" i="1" s="1"/>
  <c r="AA77" i="1" s="1"/>
  <c r="AB76" i="1" s="1"/>
  <c r="AC75" i="1" s="1"/>
  <c r="AD74" i="1" s="1"/>
  <c r="AE73" i="1" s="1"/>
  <c r="AF72" i="1" s="1"/>
  <c r="AG71" i="1" s="1"/>
  <c r="S86" i="1"/>
  <c r="T85" i="1" s="1"/>
  <c r="U84" i="1" s="1"/>
  <c r="V83" i="1" s="1"/>
  <c r="W82" i="1" s="1"/>
  <c r="X81" i="1" s="1"/>
  <c r="Y80" i="1" s="1"/>
  <c r="Z79" i="1" s="1"/>
  <c r="AA78" i="1" s="1"/>
  <c r="AB77" i="1" s="1"/>
  <c r="AC76" i="1" s="1"/>
  <c r="AD75" i="1" s="1"/>
  <c r="AE74" i="1" s="1"/>
  <c r="AF73" i="1" s="1"/>
  <c r="AG72" i="1" s="1"/>
  <c r="S87" i="1"/>
  <c r="T86" i="1" s="1"/>
  <c r="U85" i="1" s="1"/>
  <c r="V84" i="1" s="1"/>
  <c r="W83" i="1" s="1"/>
  <c r="X82" i="1" s="1"/>
  <c r="Y81" i="1" s="1"/>
  <c r="Z80" i="1" s="1"/>
  <c r="AA79" i="1" s="1"/>
  <c r="AB78" i="1" s="1"/>
  <c r="AC77" i="1" s="1"/>
  <c r="AD76" i="1" s="1"/>
  <c r="AE75" i="1" s="1"/>
  <c r="AF74" i="1" s="1"/>
  <c r="AG73" i="1" s="1"/>
  <c r="S88" i="1"/>
  <c r="T87" i="1" s="1"/>
  <c r="U86" i="1" s="1"/>
  <c r="V85" i="1" s="1"/>
  <c r="W84" i="1" s="1"/>
  <c r="X83" i="1" s="1"/>
  <c r="Y82" i="1" s="1"/>
  <c r="Z81" i="1" s="1"/>
  <c r="AA80" i="1" s="1"/>
  <c r="AB79" i="1" s="1"/>
  <c r="AC78" i="1" s="1"/>
  <c r="AD77" i="1" s="1"/>
  <c r="AE76" i="1" s="1"/>
  <c r="AF75" i="1" s="1"/>
  <c r="AG74" i="1" s="1"/>
  <c r="S89" i="1"/>
  <c r="T88" i="1" s="1"/>
  <c r="U87" i="1" s="1"/>
  <c r="V86" i="1" s="1"/>
  <c r="W85" i="1" s="1"/>
  <c r="X84" i="1" s="1"/>
  <c r="Y83" i="1" s="1"/>
  <c r="Z82" i="1" s="1"/>
  <c r="AA81" i="1" s="1"/>
  <c r="AB80" i="1" s="1"/>
  <c r="AC79" i="1" s="1"/>
  <c r="AD78" i="1" s="1"/>
  <c r="AE77" i="1" s="1"/>
  <c r="AF76" i="1" s="1"/>
  <c r="AG75" i="1" s="1"/>
  <c r="S90" i="1"/>
  <c r="T89" i="1" s="1"/>
  <c r="U88" i="1" s="1"/>
  <c r="V87" i="1" s="1"/>
  <c r="W86" i="1" s="1"/>
  <c r="X85" i="1" s="1"/>
  <c r="Y84" i="1" s="1"/>
  <c r="Z83" i="1" s="1"/>
  <c r="AA82" i="1" s="1"/>
  <c r="AB81" i="1" s="1"/>
  <c r="AC80" i="1" s="1"/>
  <c r="AD79" i="1" s="1"/>
  <c r="AE78" i="1" s="1"/>
  <c r="AF77" i="1" s="1"/>
  <c r="AG76" i="1" s="1"/>
  <c r="S91" i="1"/>
  <c r="T90" i="1" s="1"/>
  <c r="U89" i="1" s="1"/>
  <c r="V88" i="1" s="1"/>
  <c r="W87" i="1" s="1"/>
  <c r="X86" i="1" s="1"/>
  <c r="Y85" i="1" s="1"/>
  <c r="Z84" i="1" s="1"/>
  <c r="AA83" i="1" s="1"/>
  <c r="AB82" i="1" s="1"/>
  <c r="AC81" i="1" s="1"/>
  <c r="AD80" i="1" s="1"/>
  <c r="AE79" i="1" s="1"/>
  <c r="AF78" i="1" s="1"/>
  <c r="AG77" i="1" s="1"/>
  <c r="S92" i="1"/>
  <c r="T91" i="1" s="1"/>
  <c r="U90" i="1" s="1"/>
  <c r="V89" i="1" s="1"/>
  <c r="W88" i="1" s="1"/>
  <c r="X87" i="1" s="1"/>
  <c r="Y86" i="1" s="1"/>
  <c r="Z85" i="1" s="1"/>
  <c r="AA84" i="1" s="1"/>
  <c r="AB83" i="1" s="1"/>
  <c r="AC82" i="1" s="1"/>
  <c r="AD81" i="1" s="1"/>
  <c r="AE80" i="1" s="1"/>
  <c r="AF79" i="1" s="1"/>
  <c r="AG78" i="1" s="1"/>
  <c r="S93" i="1"/>
  <c r="T92" i="1" s="1"/>
  <c r="U91" i="1" s="1"/>
  <c r="V90" i="1" s="1"/>
  <c r="W89" i="1" s="1"/>
  <c r="X88" i="1" s="1"/>
  <c r="Y87" i="1" s="1"/>
  <c r="Z86" i="1" s="1"/>
  <c r="AA85" i="1" s="1"/>
  <c r="AB84" i="1" s="1"/>
  <c r="AC83" i="1" s="1"/>
  <c r="AD82" i="1" s="1"/>
  <c r="AE81" i="1" s="1"/>
  <c r="AF80" i="1" s="1"/>
  <c r="AG79" i="1" s="1"/>
  <c r="S94" i="1"/>
  <c r="T93" i="1" s="1"/>
  <c r="U92" i="1" s="1"/>
  <c r="V91" i="1" s="1"/>
  <c r="W90" i="1" s="1"/>
  <c r="X89" i="1" s="1"/>
  <c r="Y88" i="1" s="1"/>
  <c r="Z87" i="1" s="1"/>
  <c r="AA86" i="1" s="1"/>
  <c r="AB85" i="1" s="1"/>
  <c r="AC84" i="1" s="1"/>
  <c r="AD83" i="1" s="1"/>
  <c r="AE82" i="1" s="1"/>
  <c r="AF81" i="1" s="1"/>
  <c r="AG80" i="1" s="1"/>
  <c r="S95" i="1"/>
  <c r="T94" i="1" s="1"/>
  <c r="U93" i="1" s="1"/>
  <c r="V92" i="1" s="1"/>
  <c r="W91" i="1" s="1"/>
  <c r="X90" i="1" s="1"/>
  <c r="Y89" i="1" s="1"/>
  <c r="Z88" i="1" s="1"/>
  <c r="AA87" i="1" s="1"/>
  <c r="AB86" i="1" s="1"/>
  <c r="AC85" i="1" s="1"/>
  <c r="AD84" i="1" s="1"/>
  <c r="AE83" i="1" s="1"/>
  <c r="AF82" i="1" s="1"/>
  <c r="AG81" i="1" s="1"/>
  <c r="S96" i="1"/>
  <c r="T95" i="1" s="1"/>
  <c r="U94" i="1" s="1"/>
  <c r="V93" i="1" s="1"/>
  <c r="W92" i="1" s="1"/>
  <c r="X91" i="1" s="1"/>
  <c r="Y90" i="1" s="1"/>
  <c r="Z89" i="1" s="1"/>
  <c r="AA88" i="1" s="1"/>
  <c r="AB87" i="1" s="1"/>
  <c r="AC86" i="1" s="1"/>
  <c r="AD85" i="1" s="1"/>
  <c r="AE84" i="1" s="1"/>
  <c r="AF83" i="1" s="1"/>
  <c r="AG82" i="1" s="1"/>
  <c r="S97" i="1"/>
  <c r="T96" i="1" s="1"/>
  <c r="U95" i="1" s="1"/>
  <c r="V94" i="1" s="1"/>
  <c r="W93" i="1" s="1"/>
  <c r="X92" i="1" s="1"/>
  <c r="Y91" i="1" s="1"/>
  <c r="Z90" i="1" s="1"/>
  <c r="AA89" i="1" s="1"/>
  <c r="AB88" i="1" s="1"/>
  <c r="AC87" i="1" s="1"/>
  <c r="AD86" i="1" s="1"/>
  <c r="AE85" i="1" s="1"/>
  <c r="AF84" i="1" s="1"/>
  <c r="AG83" i="1" s="1"/>
  <c r="S98" i="1"/>
  <c r="T97" i="1" s="1"/>
  <c r="U96" i="1" s="1"/>
  <c r="V95" i="1" s="1"/>
  <c r="W94" i="1" s="1"/>
  <c r="X93" i="1" s="1"/>
  <c r="Y92" i="1" s="1"/>
  <c r="Z91" i="1" s="1"/>
  <c r="AA90" i="1" s="1"/>
  <c r="AB89" i="1" s="1"/>
  <c r="AC88" i="1" s="1"/>
  <c r="AD87" i="1" s="1"/>
  <c r="AE86" i="1" s="1"/>
  <c r="AF85" i="1" s="1"/>
  <c r="AG84" i="1" s="1"/>
  <c r="S99" i="1"/>
  <c r="T98" i="1" s="1"/>
  <c r="U97" i="1" s="1"/>
  <c r="V96" i="1" s="1"/>
  <c r="W95" i="1" s="1"/>
  <c r="X94" i="1" s="1"/>
  <c r="Y93" i="1" s="1"/>
  <c r="Z92" i="1" s="1"/>
  <c r="AA91" i="1" s="1"/>
  <c r="AB90" i="1" s="1"/>
  <c r="AC89" i="1" s="1"/>
  <c r="AD88" i="1" s="1"/>
  <c r="AE87" i="1" s="1"/>
  <c r="AF86" i="1" s="1"/>
  <c r="AG85" i="1" s="1"/>
  <c r="S100" i="1"/>
  <c r="T99" i="1" s="1"/>
  <c r="U98" i="1" s="1"/>
  <c r="V97" i="1" s="1"/>
  <c r="W96" i="1" s="1"/>
  <c r="X95" i="1" s="1"/>
  <c r="Y94" i="1" s="1"/>
  <c r="Z93" i="1" s="1"/>
  <c r="AA92" i="1" s="1"/>
  <c r="AB91" i="1" s="1"/>
  <c r="AC90" i="1" s="1"/>
  <c r="AD89" i="1" s="1"/>
  <c r="AE88" i="1" s="1"/>
  <c r="AF87" i="1" s="1"/>
  <c r="AG86" i="1" s="1"/>
  <c r="S101" i="1"/>
  <c r="T100" i="1" s="1"/>
  <c r="U99" i="1" s="1"/>
  <c r="V98" i="1" s="1"/>
  <c r="W97" i="1" s="1"/>
  <c r="X96" i="1" s="1"/>
  <c r="Y95" i="1" s="1"/>
  <c r="Z94" i="1" s="1"/>
  <c r="AA93" i="1" s="1"/>
  <c r="AB92" i="1" s="1"/>
  <c r="AC91" i="1" s="1"/>
  <c r="AD90" i="1" s="1"/>
  <c r="AE89" i="1" s="1"/>
  <c r="AF88" i="1" s="1"/>
  <c r="AG87" i="1" s="1"/>
  <c r="S102" i="1"/>
  <c r="T101" i="1" s="1"/>
  <c r="U100" i="1" s="1"/>
  <c r="V99" i="1" s="1"/>
  <c r="W98" i="1" s="1"/>
  <c r="X97" i="1" s="1"/>
  <c r="Y96" i="1" s="1"/>
  <c r="Z95" i="1" s="1"/>
  <c r="AA94" i="1" s="1"/>
  <c r="AB93" i="1" s="1"/>
  <c r="AC92" i="1" s="1"/>
  <c r="AD91" i="1" s="1"/>
  <c r="AE90" i="1" s="1"/>
  <c r="AF89" i="1" s="1"/>
  <c r="AG88" i="1" s="1"/>
  <c r="S103" i="1"/>
  <c r="T102" i="1" s="1"/>
  <c r="U101" i="1" s="1"/>
  <c r="V100" i="1" s="1"/>
  <c r="W99" i="1" s="1"/>
  <c r="X98" i="1" s="1"/>
  <c r="Y97" i="1" s="1"/>
  <c r="Z96" i="1" s="1"/>
  <c r="AA95" i="1" s="1"/>
  <c r="AB94" i="1" s="1"/>
  <c r="AC93" i="1" s="1"/>
  <c r="AD92" i="1" s="1"/>
  <c r="AE91" i="1" s="1"/>
  <c r="AF90" i="1" s="1"/>
  <c r="AG89" i="1" s="1"/>
  <c r="S104" i="1"/>
  <c r="T103" i="1" s="1"/>
  <c r="U102" i="1" s="1"/>
  <c r="V101" i="1" s="1"/>
  <c r="W100" i="1" s="1"/>
  <c r="X99" i="1" s="1"/>
  <c r="Y98" i="1" s="1"/>
  <c r="Z97" i="1" s="1"/>
  <c r="AA96" i="1" s="1"/>
  <c r="AB95" i="1" s="1"/>
  <c r="AC94" i="1" s="1"/>
  <c r="AD93" i="1" s="1"/>
  <c r="AE92" i="1" s="1"/>
  <c r="AF91" i="1" s="1"/>
  <c r="AG90" i="1" s="1"/>
  <c r="S105" i="1"/>
  <c r="T104" i="1" s="1"/>
  <c r="U103" i="1" s="1"/>
  <c r="V102" i="1" s="1"/>
  <c r="W101" i="1" s="1"/>
  <c r="X100" i="1" s="1"/>
  <c r="Y99" i="1" s="1"/>
  <c r="Z98" i="1" s="1"/>
  <c r="AA97" i="1" s="1"/>
  <c r="AB96" i="1" s="1"/>
  <c r="AC95" i="1" s="1"/>
  <c r="AD94" i="1" s="1"/>
  <c r="AE93" i="1" s="1"/>
  <c r="AF92" i="1" s="1"/>
  <c r="AG91" i="1" s="1"/>
  <c r="S106" i="1"/>
  <c r="T105" i="1" s="1"/>
  <c r="U104" i="1" s="1"/>
  <c r="V103" i="1" s="1"/>
  <c r="W102" i="1" s="1"/>
  <c r="X101" i="1" s="1"/>
  <c r="Y100" i="1" s="1"/>
  <c r="Z99" i="1" s="1"/>
  <c r="AA98" i="1" s="1"/>
  <c r="AB97" i="1" s="1"/>
  <c r="AC96" i="1" s="1"/>
  <c r="AD95" i="1" s="1"/>
  <c r="AE94" i="1" s="1"/>
  <c r="AF93" i="1" s="1"/>
  <c r="AG92" i="1" s="1"/>
  <c r="S107" i="1"/>
  <c r="T106" i="1" s="1"/>
  <c r="U105" i="1" s="1"/>
  <c r="V104" i="1" s="1"/>
  <c r="W103" i="1" s="1"/>
  <c r="X102" i="1" s="1"/>
  <c r="Y101" i="1" s="1"/>
  <c r="Z100" i="1" s="1"/>
  <c r="AA99" i="1" s="1"/>
  <c r="AB98" i="1" s="1"/>
  <c r="AC97" i="1" s="1"/>
  <c r="AD96" i="1" s="1"/>
  <c r="AE95" i="1" s="1"/>
  <c r="AF94" i="1" s="1"/>
  <c r="AG93" i="1" s="1"/>
  <c r="S108" i="1"/>
  <c r="T107" i="1" s="1"/>
  <c r="U106" i="1" s="1"/>
  <c r="V105" i="1" s="1"/>
  <c r="W104" i="1" s="1"/>
  <c r="X103" i="1" s="1"/>
  <c r="Y102" i="1" s="1"/>
  <c r="Z101" i="1" s="1"/>
  <c r="AA100" i="1" s="1"/>
  <c r="AB99" i="1" s="1"/>
  <c r="AC98" i="1" s="1"/>
  <c r="AD97" i="1" s="1"/>
  <c r="AE96" i="1" s="1"/>
  <c r="AF95" i="1" s="1"/>
  <c r="AG94" i="1" s="1"/>
  <c r="S109" i="1"/>
  <c r="T108" i="1" s="1"/>
  <c r="U107" i="1" s="1"/>
  <c r="V106" i="1" s="1"/>
  <c r="W105" i="1" s="1"/>
  <c r="X104" i="1" s="1"/>
  <c r="Y103" i="1" s="1"/>
  <c r="Z102" i="1" s="1"/>
  <c r="AA101" i="1" s="1"/>
  <c r="AB100" i="1" s="1"/>
  <c r="AC99" i="1" s="1"/>
  <c r="AD98" i="1" s="1"/>
  <c r="AE97" i="1" s="1"/>
  <c r="AF96" i="1" s="1"/>
  <c r="AG95" i="1" s="1"/>
  <c r="S110" i="1"/>
  <c r="T109" i="1" s="1"/>
  <c r="U108" i="1" s="1"/>
  <c r="V107" i="1" s="1"/>
  <c r="W106" i="1" s="1"/>
  <c r="X105" i="1" s="1"/>
  <c r="Y104" i="1" s="1"/>
  <c r="Z103" i="1" s="1"/>
  <c r="AA102" i="1" s="1"/>
  <c r="AB101" i="1" s="1"/>
  <c r="AC100" i="1" s="1"/>
  <c r="AD99" i="1" s="1"/>
  <c r="AE98" i="1" s="1"/>
  <c r="AF97" i="1" s="1"/>
  <c r="AG96" i="1" s="1"/>
  <c r="S111" i="1"/>
  <c r="T110" i="1" s="1"/>
  <c r="U109" i="1" s="1"/>
  <c r="V108" i="1" s="1"/>
  <c r="W107" i="1" s="1"/>
  <c r="X106" i="1" s="1"/>
  <c r="Y105" i="1" s="1"/>
  <c r="Z104" i="1" s="1"/>
  <c r="AA103" i="1" s="1"/>
  <c r="AB102" i="1" s="1"/>
  <c r="AC101" i="1" s="1"/>
  <c r="AD100" i="1" s="1"/>
  <c r="AE99" i="1" s="1"/>
  <c r="AF98" i="1" s="1"/>
  <c r="AG97" i="1" s="1"/>
  <c r="S112" i="1"/>
  <c r="T111" i="1" s="1"/>
  <c r="U110" i="1" s="1"/>
  <c r="V109" i="1" s="1"/>
  <c r="W108" i="1" s="1"/>
  <c r="X107" i="1" s="1"/>
  <c r="Y106" i="1" s="1"/>
  <c r="Z105" i="1" s="1"/>
  <c r="AA104" i="1" s="1"/>
  <c r="AB103" i="1" s="1"/>
  <c r="AC102" i="1" s="1"/>
  <c r="AD101" i="1" s="1"/>
  <c r="AE100" i="1" s="1"/>
  <c r="AF99" i="1" s="1"/>
  <c r="AG98" i="1" s="1"/>
  <c r="S113" i="1"/>
  <c r="T112" i="1" s="1"/>
  <c r="U111" i="1" s="1"/>
  <c r="V110" i="1" s="1"/>
  <c r="W109" i="1" s="1"/>
  <c r="X108" i="1" s="1"/>
  <c r="Y107" i="1" s="1"/>
  <c r="Z106" i="1" s="1"/>
  <c r="AA105" i="1" s="1"/>
  <c r="AB104" i="1" s="1"/>
  <c r="AC103" i="1" s="1"/>
  <c r="AD102" i="1" s="1"/>
  <c r="AE101" i="1" s="1"/>
  <c r="AF100" i="1" s="1"/>
  <c r="AG99" i="1" s="1"/>
  <c r="S114" i="1"/>
  <c r="T113" i="1" s="1"/>
  <c r="U112" i="1" s="1"/>
  <c r="V111" i="1" s="1"/>
  <c r="W110" i="1" s="1"/>
  <c r="X109" i="1" s="1"/>
  <c r="Y108" i="1" s="1"/>
  <c r="Z107" i="1" s="1"/>
  <c r="AA106" i="1" s="1"/>
  <c r="AB105" i="1" s="1"/>
  <c r="AC104" i="1" s="1"/>
  <c r="AD103" i="1" s="1"/>
  <c r="AE102" i="1" s="1"/>
  <c r="AF101" i="1" s="1"/>
  <c r="AG100" i="1" s="1"/>
  <c r="S115" i="1"/>
  <c r="T114" i="1" s="1"/>
  <c r="U113" i="1" s="1"/>
  <c r="V112" i="1" s="1"/>
  <c r="W111" i="1" s="1"/>
  <c r="X110" i="1" s="1"/>
  <c r="Y109" i="1" s="1"/>
  <c r="Z108" i="1" s="1"/>
  <c r="AA107" i="1" s="1"/>
  <c r="AB106" i="1" s="1"/>
  <c r="AC105" i="1" s="1"/>
  <c r="AD104" i="1" s="1"/>
  <c r="AE103" i="1" s="1"/>
  <c r="AF102" i="1" s="1"/>
  <c r="AG101" i="1" s="1"/>
  <c r="S116" i="1"/>
  <c r="T115" i="1" s="1"/>
  <c r="U114" i="1" s="1"/>
  <c r="V113" i="1" s="1"/>
  <c r="W112" i="1" s="1"/>
  <c r="X111" i="1" s="1"/>
  <c r="Y110" i="1" s="1"/>
  <c r="Z109" i="1" s="1"/>
  <c r="AA108" i="1" s="1"/>
  <c r="AB107" i="1" s="1"/>
  <c r="AC106" i="1" s="1"/>
  <c r="AD105" i="1" s="1"/>
  <c r="AE104" i="1" s="1"/>
  <c r="AF103" i="1" s="1"/>
  <c r="AG102" i="1" s="1"/>
  <c r="S117" i="1"/>
  <c r="T116" i="1" s="1"/>
  <c r="U115" i="1" s="1"/>
  <c r="V114" i="1" s="1"/>
  <c r="W113" i="1" s="1"/>
  <c r="X112" i="1" s="1"/>
  <c r="Y111" i="1" s="1"/>
  <c r="Z110" i="1" s="1"/>
  <c r="AA109" i="1" s="1"/>
  <c r="AB108" i="1" s="1"/>
  <c r="AC107" i="1" s="1"/>
  <c r="AD106" i="1" s="1"/>
  <c r="AE105" i="1" s="1"/>
  <c r="AF104" i="1" s="1"/>
  <c r="AG103" i="1" s="1"/>
  <c r="S118" i="1"/>
  <c r="T117" i="1" s="1"/>
  <c r="U116" i="1" s="1"/>
  <c r="V115" i="1" s="1"/>
  <c r="W114" i="1" s="1"/>
  <c r="X113" i="1" s="1"/>
  <c r="Y112" i="1" s="1"/>
  <c r="Z111" i="1" s="1"/>
  <c r="AA110" i="1" s="1"/>
  <c r="AB109" i="1" s="1"/>
  <c r="AC108" i="1" s="1"/>
  <c r="AD107" i="1" s="1"/>
  <c r="AE106" i="1" s="1"/>
  <c r="AF105" i="1" s="1"/>
  <c r="AG104" i="1" s="1"/>
  <c r="S119" i="1"/>
  <c r="T118" i="1" s="1"/>
  <c r="U117" i="1" s="1"/>
  <c r="V116" i="1" s="1"/>
  <c r="W115" i="1" s="1"/>
  <c r="X114" i="1" s="1"/>
  <c r="Y113" i="1" s="1"/>
  <c r="Z112" i="1" s="1"/>
  <c r="AA111" i="1" s="1"/>
  <c r="AB110" i="1" s="1"/>
  <c r="AC109" i="1" s="1"/>
  <c r="AD108" i="1" s="1"/>
  <c r="AE107" i="1" s="1"/>
  <c r="AF106" i="1" s="1"/>
  <c r="AG105" i="1" s="1"/>
  <c r="S120" i="1"/>
  <c r="T119" i="1" s="1"/>
  <c r="U118" i="1" s="1"/>
  <c r="V117" i="1" s="1"/>
  <c r="W116" i="1" s="1"/>
  <c r="X115" i="1" s="1"/>
  <c r="Y114" i="1" s="1"/>
  <c r="Z113" i="1" s="1"/>
  <c r="AA112" i="1" s="1"/>
  <c r="AB111" i="1" s="1"/>
  <c r="AC110" i="1" s="1"/>
  <c r="AD109" i="1" s="1"/>
  <c r="AE108" i="1" s="1"/>
  <c r="AF107" i="1" s="1"/>
  <c r="AG106" i="1" s="1"/>
  <c r="S121" i="1"/>
  <c r="T120" i="1" s="1"/>
  <c r="U119" i="1" s="1"/>
  <c r="V118" i="1" s="1"/>
  <c r="W117" i="1" s="1"/>
  <c r="X116" i="1" s="1"/>
  <c r="Y115" i="1" s="1"/>
  <c r="Z114" i="1" s="1"/>
  <c r="AA113" i="1" s="1"/>
  <c r="AB112" i="1" s="1"/>
  <c r="AC111" i="1" s="1"/>
  <c r="AD110" i="1" s="1"/>
  <c r="AE109" i="1" s="1"/>
  <c r="AF108" i="1" s="1"/>
  <c r="AG107" i="1" s="1"/>
  <c r="S122" i="1"/>
  <c r="T121" i="1" s="1"/>
  <c r="U120" i="1" s="1"/>
  <c r="V119" i="1" s="1"/>
  <c r="W118" i="1" s="1"/>
  <c r="X117" i="1" s="1"/>
  <c r="Y116" i="1" s="1"/>
  <c r="Z115" i="1" s="1"/>
  <c r="AA114" i="1" s="1"/>
  <c r="AB113" i="1" s="1"/>
  <c r="AC112" i="1" s="1"/>
  <c r="AD111" i="1" s="1"/>
  <c r="AE110" i="1" s="1"/>
  <c r="AF109" i="1" s="1"/>
  <c r="AG108" i="1" s="1"/>
  <c r="S123" i="1"/>
  <c r="T122" i="1" s="1"/>
  <c r="U121" i="1" s="1"/>
  <c r="V120" i="1" s="1"/>
  <c r="W119" i="1" s="1"/>
  <c r="X118" i="1" s="1"/>
  <c r="Y117" i="1" s="1"/>
  <c r="Z116" i="1" s="1"/>
  <c r="AA115" i="1" s="1"/>
  <c r="AB114" i="1" s="1"/>
  <c r="AC113" i="1" s="1"/>
  <c r="AD112" i="1" s="1"/>
  <c r="AE111" i="1" s="1"/>
  <c r="AF110" i="1" s="1"/>
  <c r="AG109" i="1" s="1"/>
  <c r="S124" i="1"/>
  <c r="T123" i="1" s="1"/>
  <c r="U122" i="1" s="1"/>
  <c r="V121" i="1" s="1"/>
  <c r="W120" i="1" s="1"/>
  <c r="X119" i="1" s="1"/>
  <c r="Y118" i="1" s="1"/>
  <c r="Z117" i="1" s="1"/>
  <c r="AA116" i="1" s="1"/>
  <c r="AB115" i="1" s="1"/>
  <c r="AC114" i="1" s="1"/>
  <c r="AD113" i="1" s="1"/>
  <c r="AE112" i="1" s="1"/>
  <c r="AF111" i="1" s="1"/>
  <c r="AG110" i="1" s="1"/>
  <c r="S125" i="1"/>
  <c r="T124" i="1" s="1"/>
  <c r="U123" i="1" s="1"/>
  <c r="V122" i="1" s="1"/>
  <c r="W121" i="1" s="1"/>
  <c r="X120" i="1" s="1"/>
  <c r="Y119" i="1" s="1"/>
  <c r="Z118" i="1" s="1"/>
  <c r="AA117" i="1" s="1"/>
  <c r="AB116" i="1" s="1"/>
  <c r="AC115" i="1" s="1"/>
  <c r="AD114" i="1" s="1"/>
  <c r="AE113" i="1" s="1"/>
  <c r="AF112" i="1" s="1"/>
  <c r="AG111" i="1" s="1"/>
  <c r="S126" i="1"/>
  <c r="T125" i="1" s="1"/>
  <c r="U124" i="1" s="1"/>
  <c r="V123" i="1" s="1"/>
  <c r="W122" i="1" s="1"/>
  <c r="X121" i="1" s="1"/>
  <c r="Y120" i="1" s="1"/>
  <c r="Z119" i="1" s="1"/>
  <c r="AA118" i="1" s="1"/>
  <c r="AB117" i="1" s="1"/>
  <c r="AC116" i="1" s="1"/>
  <c r="AD115" i="1" s="1"/>
  <c r="AE114" i="1" s="1"/>
  <c r="AF113" i="1" s="1"/>
  <c r="AG112" i="1" s="1"/>
  <c r="S127" i="1"/>
  <c r="T126" i="1" s="1"/>
  <c r="U125" i="1" s="1"/>
  <c r="V124" i="1" s="1"/>
  <c r="W123" i="1" s="1"/>
  <c r="X122" i="1" s="1"/>
  <c r="Y121" i="1" s="1"/>
  <c r="Z120" i="1" s="1"/>
  <c r="AA119" i="1" s="1"/>
  <c r="AB118" i="1" s="1"/>
  <c r="AC117" i="1" s="1"/>
  <c r="AD116" i="1" s="1"/>
  <c r="AE115" i="1" s="1"/>
  <c r="AF114" i="1" s="1"/>
  <c r="AG113" i="1" s="1"/>
  <c r="S128" i="1"/>
  <c r="T127" i="1" s="1"/>
  <c r="U126" i="1" s="1"/>
  <c r="V125" i="1" s="1"/>
  <c r="W124" i="1" s="1"/>
  <c r="X123" i="1" s="1"/>
  <c r="Y122" i="1" s="1"/>
  <c r="Z121" i="1" s="1"/>
  <c r="AA120" i="1" s="1"/>
  <c r="AB119" i="1" s="1"/>
  <c r="AC118" i="1" s="1"/>
  <c r="AD117" i="1" s="1"/>
  <c r="AE116" i="1" s="1"/>
  <c r="AF115" i="1" s="1"/>
  <c r="AG114" i="1" s="1"/>
  <c r="S129" i="1"/>
  <c r="T128" i="1" s="1"/>
  <c r="U127" i="1" s="1"/>
  <c r="V126" i="1" s="1"/>
  <c r="W125" i="1" s="1"/>
  <c r="X124" i="1" s="1"/>
  <c r="Y123" i="1" s="1"/>
  <c r="Z122" i="1" s="1"/>
  <c r="AA121" i="1" s="1"/>
  <c r="AB120" i="1" s="1"/>
  <c r="AC119" i="1" s="1"/>
  <c r="AD118" i="1" s="1"/>
  <c r="AE117" i="1" s="1"/>
  <c r="AF116" i="1" s="1"/>
  <c r="AG115" i="1" s="1"/>
  <c r="S130" i="1"/>
  <c r="T129" i="1" s="1"/>
  <c r="U128" i="1" s="1"/>
  <c r="V127" i="1" s="1"/>
  <c r="W126" i="1" s="1"/>
  <c r="X125" i="1" s="1"/>
  <c r="Y124" i="1" s="1"/>
  <c r="Z123" i="1" s="1"/>
  <c r="AA122" i="1" s="1"/>
  <c r="AB121" i="1" s="1"/>
  <c r="AC120" i="1" s="1"/>
  <c r="AD119" i="1" s="1"/>
  <c r="AE118" i="1" s="1"/>
  <c r="AF117" i="1" s="1"/>
  <c r="AG116" i="1" s="1"/>
  <c r="S131" i="1"/>
  <c r="T130" i="1" s="1"/>
  <c r="U129" i="1" s="1"/>
  <c r="V128" i="1" s="1"/>
  <c r="W127" i="1" s="1"/>
  <c r="X126" i="1" s="1"/>
  <c r="Y125" i="1" s="1"/>
  <c r="Z124" i="1" s="1"/>
  <c r="AA123" i="1" s="1"/>
  <c r="AB122" i="1" s="1"/>
  <c r="AC121" i="1" s="1"/>
  <c r="AD120" i="1" s="1"/>
  <c r="AE119" i="1" s="1"/>
  <c r="AF118" i="1" s="1"/>
  <c r="AG117" i="1" s="1"/>
  <c r="S132" i="1"/>
  <c r="T131" i="1" s="1"/>
  <c r="U130" i="1" s="1"/>
  <c r="V129" i="1" s="1"/>
  <c r="W128" i="1" s="1"/>
  <c r="X127" i="1" s="1"/>
  <c r="Y126" i="1" s="1"/>
  <c r="Z125" i="1" s="1"/>
  <c r="AA124" i="1" s="1"/>
  <c r="AB123" i="1" s="1"/>
  <c r="AC122" i="1" s="1"/>
  <c r="AD121" i="1" s="1"/>
  <c r="AE120" i="1" s="1"/>
  <c r="AF119" i="1" s="1"/>
  <c r="AG118" i="1" s="1"/>
  <c r="S133" i="1"/>
  <c r="T132" i="1" s="1"/>
  <c r="U131" i="1" s="1"/>
  <c r="V130" i="1" s="1"/>
  <c r="W129" i="1" s="1"/>
  <c r="X128" i="1" s="1"/>
  <c r="Y127" i="1" s="1"/>
  <c r="Z126" i="1" s="1"/>
  <c r="AA125" i="1" s="1"/>
  <c r="AB124" i="1" s="1"/>
  <c r="AC123" i="1" s="1"/>
  <c r="AD122" i="1" s="1"/>
  <c r="AE121" i="1" s="1"/>
  <c r="AF120" i="1" s="1"/>
  <c r="AG119" i="1" s="1"/>
  <c r="S134" i="1"/>
  <c r="T133" i="1" s="1"/>
  <c r="U132" i="1" s="1"/>
  <c r="V131" i="1" s="1"/>
  <c r="W130" i="1" s="1"/>
  <c r="X129" i="1" s="1"/>
  <c r="Y128" i="1" s="1"/>
  <c r="Z127" i="1" s="1"/>
  <c r="AA126" i="1" s="1"/>
  <c r="AB125" i="1" s="1"/>
  <c r="AC124" i="1" s="1"/>
  <c r="AD123" i="1" s="1"/>
  <c r="AE122" i="1" s="1"/>
  <c r="AF121" i="1" s="1"/>
  <c r="AG120" i="1" s="1"/>
  <c r="S135" i="1"/>
  <c r="T134" i="1" s="1"/>
  <c r="U133" i="1" s="1"/>
  <c r="V132" i="1" s="1"/>
  <c r="W131" i="1" s="1"/>
  <c r="X130" i="1" s="1"/>
  <c r="Y129" i="1" s="1"/>
  <c r="Z128" i="1" s="1"/>
  <c r="AA127" i="1" s="1"/>
  <c r="AB126" i="1" s="1"/>
  <c r="AC125" i="1" s="1"/>
  <c r="AD124" i="1" s="1"/>
  <c r="AE123" i="1" s="1"/>
  <c r="AF122" i="1" s="1"/>
  <c r="AG121" i="1" s="1"/>
  <c r="S136" i="1"/>
  <c r="T135" i="1" s="1"/>
  <c r="U134" i="1" s="1"/>
  <c r="V133" i="1" s="1"/>
  <c r="W132" i="1" s="1"/>
  <c r="X131" i="1" s="1"/>
  <c r="Y130" i="1" s="1"/>
  <c r="Z129" i="1" s="1"/>
  <c r="AA128" i="1" s="1"/>
  <c r="AB127" i="1" s="1"/>
  <c r="AC126" i="1" s="1"/>
  <c r="AD125" i="1" s="1"/>
  <c r="AE124" i="1" s="1"/>
  <c r="AF123" i="1" s="1"/>
  <c r="AG122" i="1" s="1"/>
  <c r="S137" i="1"/>
  <c r="T136" i="1" s="1"/>
  <c r="U135" i="1" s="1"/>
  <c r="V134" i="1" s="1"/>
  <c r="W133" i="1" s="1"/>
  <c r="X132" i="1" s="1"/>
  <c r="Y131" i="1" s="1"/>
  <c r="Z130" i="1" s="1"/>
  <c r="AA129" i="1" s="1"/>
  <c r="AB128" i="1" s="1"/>
  <c r="AC127" i="1" s="1"/>
  <c r="AD126" i="1" s="1"/>
  <c r="AE125" i="1" s="1"/>
  <c r="AF124" i="1" s="1"/>
  <c r="AG123" i="1" s="1"/>
  <c r="S138" i="1"/>
  <c r="T137" i="1" s="1"/>
  <c r="U136" i="1" s="1"/>
  <c r="V135" i="1" s="1"/>
  <c r="W134" i="1" s="1"/>
  <c r="X133" i="1" s="1"/>
  <c r="Y132" i="1" s="1"/>
  <c r="Z131" i="1" s="1"/>
  <c r="AA130" i="1" s="1"/>
  <c r="AB129" i="1" s="1"/>
  <c r="AC128" i="1" s="1"/>
  <c r="AD127" i="1" s="1"/>
  <c r="AE126" i="1" s="1"/>
  <c r="AF125" i="1" s="1"/>
  <c r="AG124" i="1" s="1"/>
  <c r="S139" i="1"/>
  <c r="T138" i="1" s="1"/>
  <c r="U137" i="1" s="1"/>
  <c r="V136" i="1" s="1"/>
  <c r="W135" i="1" s="1"/>
  <c r="X134" i="1" s="1"/>
  <c r="Y133" i="1" s="1"/>
  <c r="Z132" i="1" s="1"/>
  <c r="AA131" i="1" s="1"/>
  <c r="AB130" i="1" s="1"/>
  <c r="AC129" i="1" s="1"/>
  <c r="AD128" i="1" s="1"/>
  <c r="AE127" i="1" s="1"/>
  <c r="AF126" i="1" s="1"/>
  <c r="AG125" i="1" s="1"/>
  <c r="S140" i="1"/>
  <c r="T139" i="1" s="1"/>
  <c r="U138" i="1" s="1"/>
  <c r="V137" i="1" s="1"/>
  <c r="W136" i="1" s="1"/>
  <c r="X135" i="1" s="1"/>
  <c r="Y134" i="1" s="1"/>
  <c r="Z133" i="1" s="1"/>
  <c r="AA132" i="1" s="1"/>
  <c r="AB131" i="1" s="1"/>
  <c r="AC130" i="1" s="1"/>
  <c r="AD129" i="1" s="1"/>
  <c r="AE128" i="1" s="1"/>
  <c r="AF127" i="1" s="1"/>
  <c r="AG126" i="1" s="1"/>
  <c r="S141" i="1"/>
  <c r="T140" i="1" s="1"/>
  <c r="U139" i="1" s="1"/>
  <c r="V138" i="1" s="1"/>
  <c r="W137" i="1" s="1"/>
  <c r="X136" i="1" s="1"/>
  <c r="Y135" i="1" s="1"/>
  <c r="Z134" i="1" s="1"/>
  <c r="AA133" i="1" s="1"/>
  <c r="AB132" i="1" s="1"/>
  <c r="AC131" i="1" s="1"/>
  <c r="AD130" i="1" s="1"/>
  <c r="AE129" i="1" s="1"/>
  <c r="AF128" i="1" s="1"/>
  <c r="AG127" i="1" s="1"/>
  <c r="S142" i="1"/>
  <c r="T141" i="1" s="1"/>
  <c r="U140" i="1" s="1"/>
  <c r="V139" i="1" s="1"/>
  <c r="W138" i="1" s="1"/>
  <c r="X137" i="1" s="1"/>
  <c r="Y136" i="1" s="1"/>
  <c r="Z135" i="1" s="1"/>
  <c r="AA134" i="1" s="1"/>
  <c r="AB133" i="1" s="1"/>
  <c r="AC132" i="1" s="1"/>
  <c r="AD131" i="1" s="1"/>
  <c r="AE130" i="1" s="1"/>
  <c r="AF129" i="1" s="1"/>
  <c r="AG128" i="1" s="1"/>
  <c r="S143" i="1"/>
  <c r="T142" i="1" s="1"/>
  <c r="U141" i="1" s="1"/>
  <c r="V140" i="1" s="1"/>
  <c r="W139" i="1" s="1"/>
  <c r="X138" i="1" s="1"/>
  <c r="Y137" i="1" s="1"/>
  <c r="Z136" i="1" s="1"/>
  <c r="AA135" i="1" s="1"/>
  <c r="AB134" i="1" s="1"/>
  <c r="AC133" i="1" s="1"/>
  <c r="AD132" i="1" s="1"/>
  <c r="AE131" i="1" s="1"/>
  <c r="AF130" i="1" s="1"/>
  <c r="AG129" i="1" s="1"/>
  <c r="S144" i="1"/>
  <c r="T143" i="1" s="1"/>
  <c r="U142" i="1" s="1"/>
  <c r="V141" i="1" s="1"/>
  <c r="W140" i="1" s="1"/>
  <c r="X139" i="1" s="1"/>
  <c r="Y138" i="1" s="1"/>
  <c r="Z137" i="1" s="1"/>
  <c r="AA136" i="1" s="1"/>
  <c r="AB135" i="1" s="1"/>
  <c r="AC134" i="1" s="1"/>
  <c r="AD133" i="1" s="1"/>
  <c r="AE132" i="1" s="1"/>
  <c r="AF131" i="1" s="1"/>
  <c r="AG130" i="1" s="1"/>
  <c r="S145" i="1"/>
  <c r="T144" i="1" s="1"/>
  <c r="U143" i="1" s="1"/>
  <c r="V142" i="1" s="1"/>
  <c r="W141" i="1" s="1"/>
  <c r="X140" i="1" s="1"/>
  <c r="Y139" i="1" s="1"/>
  <c r="Z138" i="1" s="1"/>
  <c r="AA137" i="1" s="1"/>
  <c r="AB136" i="1" s="1"/>
  <c r="AC135" i="1" s="1"/>
  <c r="AD134" i="1" s="1"/>
  <c r="AE133" i="1" s="1"/>
  <c r="AF132" i="1" s="1"/>
  <c r="AG131" i="1" s="1"/>
  <c r="S146" i="1"/>
  <c r="T145" i="1" s="1"/>
  <c r="U144" i="1" s="1"/>
  <c r="V143" i="1" s="1"/>
  <c r="W142" i="1" s="1"/>
  <c r="X141" i="1" s="1"/>
  <c r="Y140" i="1" s="1"/>
  <c r="Z139" i="1" s="1"/>
  <c r="AA138" i="1" s="1"/>
  <c r="AB137" i="1" s="1"/>
  <c r="AC136" i="1" s="1"/>
  <c r="AD135" i="1" s="1"/>
  <c r="AE134" i="1" s="1"/>
  <c r="AF133" i="1" s="1"/>
  <c r="AG132" i="1" s="1"/>
  <c r="S147" i="1"/>
  <c r="T146" i="1" s="1"/>
  <c r="U145" i="1" s="1"/>
  <c r="V144" i="1" s="1"/>
  <c r="W143" i="1" s="1"/>
  <c r="X142" i="1" s="1"/>
  <c r="Y141" i="1" s="1"/>
  <c r="Z140" i="1" s="1"/>
  <c r="AA139" i="1" s="1"/>
  <c r="AB138" i="1" s="1"/>
  <c r="AC137" i="1" s="1"/>
  <c r="AD136" i="1" s="1"/>
  <c r="AE135" i="1" s="1"/>
  <c r="AF134" i="1" s="1"/>
  <c r="AG133" i="1" s="1"/>
  <c r="S148" i="1"/>
  <c r="T147" i="1" s="1"/>
  <c r="U146" i="1" s="1"/>
  <c r="V145" i="1" s="1"/>
  <c r="W144" i="1" s="1"/>
  <c r="X143" i="1" s="1"/>
  <c r="Y142" i="1" s="1"/>
  <c r="Z141" i="1" s="1"/>
  <c r="AA140" i="1" s="1"/>
  <c r="AB139" i="1" s="1"/>
  <c r="AC138" i="1" s="1"/>
  <c r="AD137" i="1" s="1"/>
  <c r="AE136" i="1" s="1"/>
  <c r="AF135" i="1" s="1"/>
  <c r="AG134" i="1" s="1"/>
  <c r="S149" i="1"/>
  <c r="T148" i="1" s="1"/>
  <c r="U147" i="1" s="1"/>
  <c r="V146" i="1" s="1"/>
  <c r="W145" i="1" s="1"/>
  <c r="X144" i="1" s="1"/>
  <c r="Y143" i="1" s="1"/>
  <c r="Z142" i="1" s="1"/>
  <c r="AA141" i="1" s="1"/>
  <c r="AB140" i="1" s="1"/>
  <c r="AC139" i="1" s="1"/>
  <c r="AD138" i="1" s="1"/>
  <c r="AE137" i="1" s="1"/>
  <c r="AF136" i="1" s="1"/>
  <c r="AG135" i="1" s="1"/>
  <c r="S150" i="1"/>
  <c r="T149" i="1" s="1"/>
  <c r="U148" i="1" s="1"/>
  <c r="V147" i="1" s="1"/>
  <c r="W146" i="1" s="1"/>
  <c r="X145" i="1" s="1"/>
  <c r="Y144" i="1" s="1"/>
  <c r="Z143" i="1" s="1"/>
  <c r="AA142" i="1" s="1"/>
  <c r="AB141" i="1" s="1"/>
  <c r="AC140" i="1" s="1"/>
  <c r="AD139" i="1" s="1"/>
  <c r="AE138" i="1" s="1"/>
  <c r="AF137" i="1" s="1"/>
  <c r="AG136" i="1" s="1"/>
  <c r="S151" i="1"/>
  <c r="T150" i="1" s="1"/>
  <c r="U149" i="1" s="1"/>
  <c r="V148" i="1" s="1"/>
  <c r="W147" i="1" s="1"/>
  <c r="X146" i="1" s="1"/>
  <c r="Y145" i="1" s="1"/>
  <c r="Z144" i="1" s="1"/>
  <c r="AA143" i="1" s="1"/>
  <c r="AB142" i="1" s="1"/>
  <c r="AC141" i="1" s="1"/>
  <c r="AD140" i="1" s="1"/>
  <c r="AE139" i="1" s="1"/>
  <c r="AF138" i="1" s="1"/>
  <c r="AG137" i="1" s="1"/>
  <c r="S152" i="1"/>
  <c r="T151" i="1" s="1"/>
  <c r="U150" i="1" s="1"/>
  <c r="V149" i="1" s="1"/>
  <c r="W148" i="1" s="1"/>
  <c r="X147" i="1" s="1"/>
  <c r="Y146" i="1" s="1"/>
  <c r="Z145" i="1" s="1"/>
  <c r="AA144" i="1" s="1"/>
  <c r="AB143" i="1" s="1"/>
  <c r="AC142" i="1" s="1"/>
  <c r="AD141" i="1" s="1"/>
  <c r="AE140" i="1" s="1"/>
  <c r="AF139" i="1" s="1"/>
  <c r="AG138" i="1" s="1"/>
  <c r="S153" i="1"/>
  <c r="T152" i="1" s="1"/>
  <c r="U151" i="1" s="1"/>
  <c r="V150" i="1" s="1"/>
  <c r="W149" i="1" s="1"/>
  <c r="X148" i="1" s="1"/>
  <c r="Y147" i="1" s="1"/>
  <c r="Z146" i="1" s="1"/>
  <c r="AA145" i="1" s="1"/>
  <c r="AB144" i="1" s="1"/>
  <c r="AC143" i="1" s="1"/>
  <c r="AD142" i="1" s="1"/>
  <c r="AE141" i="1" s="1"/>
  <c r="AF140" i="1" s="1"/>
  <c r="AG139" i="1" s="1"/>
  <c r="S154" i="1"/>
  <c r="T153" i="1" s="1"/>
  <c r="U152" i="1" s="1"/>
  <c r="V151" i="1" s="1"/>
  <c r="W150" i="1" s="1"/>
  <c r="X149" i="1" s="1"/>
  <c r="Y148" i="1" s="1"/>
  <c r="Z147" i="1" s="1"/>
  <c r="AA146" i="1" s="1"/>
  <c r="AB145" i="1" s="1"/>
  <c r="AC144" i="1" s="1"/>
  <c r="AD143" i="1" s="1"/>
  <c r="AE142" i="1" s="1"/>
  <c r="AF141" i="1" s="1"/>
  <c r="AG140" i="1" s="1"/>
  <c r="S155" i="1"/>
  <c r="T154" i="1" s="1"/>
  <c r="U153" i="1" s="1"/>
  <c r="V152" i="1" s="1"/>
  <c r="W151" i="1" s="1"/>
  <c r="X150" i="1" s="1"/>
  <c r="Y149" i="1" s="1"/>
  <c r="Z148" i="1" s="1"/>
  <c r="AA147" i="1" s="1"/>
  <c r="AB146" i="1" s="1"/>
  <c r="AC145" i="1" s="1"/>
  <c r="AD144" i="1" s="1"/>
  <c r="AE143" i="1" s="1"/>
  <c r="AF142" i="1" s="1"/>
  <c r="AG141" i="1" s="1"/>
  <c r="S156" i="1"/>
  <c r="T155" i="1" s="1"/>
  <c r="U154" i="1" s="1"/>
  <c r="V153" i="1" s="1"/>
  <c r="W152" i="1" s="1"/>
  <c r="X151" i="1" s="1"/>
  <c r="Y150" i="1" s="1"/>
  <c r="Z149" i="1" s="1"/>
  <c r="AA148" i="1" s="1"/>
  <c r="AB147" i="1" s="1"/>
  <c r="AC146" i="1" s="1"/>
  <c r="AD145" i="1" s="1"/>
  <c r="AE144" i="1" s="1"/>
  <c r="AF143" i="1" s="1"/>
  <c r="AG142" i="1" s="1"/>
  <c r="S157" i="1"/>
  <c r="T156" i="1" s="1"/>
  <c r="U155" i="1" s="1"/>
  <c r="V154" i="1" s="1"/>
  <c r="W153" i="1" s="1"/>
  <c r="X152" i="1" s="1"/>
  <c r="Y151" i="1" s="1"/>
  <c r="Z150" i="1" s="1"/>
  <c r="AA149" i="1" s="1"/>
  <c r="AB148" i="1" s="1"/>
  <c r="AC147" i="1" s="1"/>
  <c r="AD146" i="1" s="1"/>
  <c r="AE145" i="1" s="1"/>
  <c r="AF144" i="1" s="1"/>
  <c r="AG143" i="1" s="1"/>
  <c r="S158" i="1"/>
  <c r="T157" i="1" s="1"/>
  <c r="U156" i="1" s="1"/>
  <c r="V155" i="1" s="1"/>
  <c r="W154" i="1" s="1"/>
  <c r="X153" i="1" s="1"/>
  <c r="Y152" i="1" s="1"/>
  <c r="Z151" i="1" s="1"/>
  <c r="AA150" i="1" s="1"/>
  <c r="AB149" i="1" s="1"/>
  <c r="AC148" i="1" s="1"/>
  <c r="AD147" i="1" s="1"/>
  <c r="AE146" i="1" s="1"/>
  <c r="AF145" i="1" s="1"/>
  <c r="AG144" i="1" s="1"/>
  <c r="S159" i="1"/>
  <c r="T158" i="1" s="1"/>
  <c r="U157" i="1" s="1"/>
  <c r="V156" i="1" s="1"/>
  <c r="W155" i="1" s="1"/>
  <c r="X154" i="1" s="1"/>
  <c r="Y153" i="1" s="1"/>
  <c r="Z152" i="1" s="1"/>
  <c r="AA151" i="1" s="1"/>
  <c r="AB150" i="1" s="1"/>
  <c r="AC149" i="1" s="1"/>
  <c r="AD148" i="1" s="1"/>
  <c r="AE147" i="1" s="1"/>
  <c r="AF146" i="1" s="1"/>
  <c r="AG145" i="1" s="1"/>
  <c r="S160" i="1"/>
  <c r="T159" i="1" s="1"/>
  <c r="U158" i="1" s="1"/>
  <c r="V157" i="1" s="1"/>
  <c r="W156" i="1" s="1"/>
  <c r="X155" i="1" s="1"/>
  <c r="Y154" i="1" s="1"/>
  <c r="Z153" i="1" s="1"/>
  <c r="AA152" i="1" s="1"/>
  <c r="AB151" i="1" s="1"/>
  <c r="AC150" i="1" s="1"/>
  <c r="AD149" i="1" s="1"/>
  <c r="AE148" i="1" s="1"/>
  <c r="AF147" i="1" s="1"/>
  <c r="AG146" i="1" s="1"/>
  <c r="S161" i="1"/>
  <c r="T160" i="1" s="1"/>
  <c r="U159" i="1" s="1"/>
  <c r="V158" i="1" s="1"/>
  <c r="W157" i="1" s="1"/>
  <c r="X156" i="1" s="1"/>
  <c r="Y155" i="1" s="1"/>
  <c r="Z154" i="1" s="1"/>
  <c r="AA153" i="1" s="1"/>
  <c r="AB152" i="1" s="1"/>
  <c r="AC151" i="1" s="1"/>
  <c r="AD150" i="1" s="1"/>
  <c r="AE149" i="1" s="1"/>
  <c r="AF148" i="1" s="1"/>
  <c r="AG147" i="1" s="1"/>
  <c r="S162" i="1"/>
  <c r="T161" i="1" s="1"/>
  <c r="U160" i="1" s="1"/>
  <c r="V159" i="1" s="1"/>
  <c r="W158" i="1" s="1"/>
  <c r="X157" i="1" s="1"/>
  <c r="Y156" i="1" s="1"/>
  <c r="Z155" i="1" s="1"/>
  <c r="AA154" i="1" s="1"/>
  <c r="AB153" i="1" s="1"/>
  <c r="AC152" i="1" s="1"/>
  <c r="AD151" i="1" s="1"/>
  <c r="AE150" i="1" s="1"/>
  <c r="AF149" i="1" s="1"/>
  <c r="AG148" i="1" s="1"/>
  <c r="S163" i="1"/>
  <c r="T162" i="1" s="1"/>
  <c r="U161" i="1" s="1"/>
  <c r="V160" i="1" s="1"/>
  <c r="W159" i="1" s="1"/>
  <c r="X158" i="1" s="1"/>
  <c r="Y157" i="1" s="1"/>
  <c r="Z156" i="1" s="1"/>
  <c r="AA155" i="1" s="1"/>
  <c r="AB154" i="1" s="1"/>
  <c r="AC153" i="1" s="1"/>
  <c r="AD152" i="1" s="1"/>
  <c r="AE151" i="1" s="1"/>
  <c r="AF150" i="1" s="1"/>
  <c r="AG149" i="1" s="1"/>
  <c r="S164" i="1"/>
  <c r="T163" i="1" s="1"/>
  <c r="U162" i="1" s="1"/>
  <c r="V161" i="1" s="1"/>
  <c r="W160" i="1" s="1"/>
  <c r="X159" i="1" s="1"/>
  <c r="Y158" i="1" s="1"/>
  <c r="Z157" i="1" s="1"/>
  <c r="AA156" i="1" s="1"/>
  <c r="AB155" i="1" s="1"/>
  <c r="AC154" i="1" s="1"/>
  <c r="AD153" i="1" s="1"/>
  <c r="AE152" i="1" s="1"/>
  <c r="AF151" i="1" s="1"/>
  <c r="AG150" i="1" s="1"/>
  <c r="S165" i="1"/>
  <c r="T164" i="1" s="1"/>
  <c r="U163" i="1" s="1"/>
  <c r="V162" i="1" s="1"/>
  <c r="W161" i="1" s="1"/>
  <c r="X160" i="1" s="1"/>
  <c r="Y159" i="1" s="1"/>
  <c r="Z158" i="1" s="1"/>
  <c r="AA157" i="1" s="1"/>
  <c r="AB156" i="1" s="1"/>
  <c r="AC155" i="1" s="1"/>
  <c r="AD154" i="1" s="1"/>
  <c r="AE153" i="1" s="1"/>
  <c r="AF152" i="1" s="1"/>
  <c r="AG151" i="1" s="1"/>
  <c r="S166" i="1"/>
  <c r="T165" i="1" s="1"/>
  <c r="U164" i="1" s="1"/>
  <c r="V163" i="1" s="1"/>
  <c r="W162" i="1" s="1"/>
  <c r="X161" i="1" s="1"/>
  <c r="Y160" i="1" s="1"/>
  <c r="Z159" i="1" s="1"/>
  <c r="AA158" i="1" s="1"/>
  <c r="AB157" i="1" s="1"/>
  <c r="AC156" i="1" s="1"/>
  <c r="AD155" i="1" s="1"/>
  <c r="AE154" i="1" s="1"/>
  <c r="AF153" i="1" s="1"/>
  <c r="AG152" i="1" s="1"/>
  <c r="S167" i="1"/>
  <c r="T166" i="1" s="1"/>
  <c r="U165" i="1" s="1"/>
  <c r="V164" i="1" s="1"/>
  <c r="W163" i="1" s="1"/>
  <c r="X162" i="1" s="1"/>
  <c r="Y161" i="1" s="1"/>
  <c r="Z160" i="1" s="1"/>
  <c r="AA159" i="1" s="1"/>
  <c r="AB158" i="1" s="1"/>
  <c r="AC157" i="1" s="1"/>
  <c r="AD156" i="1" s="1"/>
  <c r="AE155" i="1" s="1"/>
  <c r="AF154" i="1" s="1"/>
  <c r="AG153" i="1" s="1"/>
  <c r="S168" i="1"/>
  <c r="T167" i="1" s="1"/>
  <c r="U166" i="1" s="1"/>
  <c r="V165" i="1" s="1"/>
  <c r="W164" i="1" s="1"/>
  <c r="X163" i="1" s="1"/>
  <c r="Y162" i="1" s="1"/>
  <c r="Z161" i="1" s="1"/>
  <c r="AA160" i="1" s="1"/>
  <c r="AB159" i="1" s="1"/>
  <c r="AC158" i="1" s="1"/>
  <c r="AD157" i="1" s="1"/>
  <c r="AE156" i="1" s="1"/>
  <c r="AF155" i="1" s="1"/>
  <c r="AG154" i="1" s="1"/>
  <c r="S169" i="1"/>
  <c r="T168" i="1" s="1"/>
  <c r="U167" i="1" s="1"/>
  <c r="V166" i="1" s="1"/>
  <c r="W165" i="1" s="1"/>
  <c r="X164" i="1" s="1"/>
  <c r="Y163" i="1" s="1"/>
  <c r="Z162" i="1" s="1"/>
  <c r="AA161" i="1" s="1"/>
  <c r="AB160" i="1" s="1"/>
  <c r="AC159" i="1" s="1"/>
  <c r="AD158" i="1" s="1"/>
  <c r="AE157" i="1" s="1"/>
  <c r="AF156" i="1" s="1"/>
  <c r="AG155" i="1" s="1"/>
  <c r="S170" i="1"/>
  <c r="T169" i="1" s="1"/>
  <c r="U168" i="1" s="1"/>
  <c r="V167" i="1" s="1"/>
  <c r="W166" i="1" s="1"/>
  <c r="X165" i="1" s="1"/>
  <c r="Y164" i="1" s="1"/>
  <c r="Z163" i="1" s="1"/>
  <c r="AA162" i="1" s="1"/>
  <c r="AB161" i="1" s="1"/>
  <c r="AC160" i="1" s="1"/>
  <c r="AD159" i="1" s="1"/>
  <c r="AE158" i="1" s="1"/>
  <c r="AF157" i="1" s="1"/>
  <c r="AG156" i="1" s="1"/>
  <c r="S171" i="1"/>
  <c r="T170" i="1" s="1"/>
  <c r="U169" i="1" s="1"/>
  <c r="V168" i="1" s="1"/>
  <c r="W167" i="1" s="1"/>
  <c r="X166" i="1" s="1"/>
  <c r="Y165" i="1" s="1"/>
  <c r="Z164" i="1" s="1"/>
  <c r="AA163" i="1" s="1"/>
  <c r="AB162" i="1" s="1"/>
  <c r="AC161" i="1" s="1"/>
  <c r="AD160" i="1" s="1"/>
  <c r="AE159" i="1" s="1"/>
  <c r="AF158" i="1" s="1"/>
  <c r="AG157" i="1" s="1"/>
  <c r="S172" i="1"/>
  <c r="T171" i="1" s="1"/>
  <c r="U170" i="1" s="1"/>
  <c r="V169" i="1" s="1"/>
  <c r="W168" i="1" s="1"/>
  <c r="X167" i="1" s="1"/>
  <c r="Y166" i="1" s="1"/>
  <c r="Z165" i="1" s="1"/>
  <c r="AA164" i="1" s="1"/>
  <c r="AB163" i="1" s="1"/>
  <c r="AC162" i="1" s="1"/>
  <c r="AD161" i="1" s="1"/>
  <c r="AE160" i="1" s="1"/>
  <c r="AF159" i="1" s="1"/>
  <c r="AG158" i="1" s="1"/>
  <c r="S173" i="1"/>
  <c r="T172" i="1" s="1"/>
  <c r="U171" i="1" s="1"/>
  <c r="V170" i="1" s="1"/>
  <c r="W169" i="1" s="1"/>
  <c r="X168" i="1" s="1"/>
  <c r="Y167" i="1" s="1"/>
  <c r="Z166" i="1" s="1"/>
  <c r="AA165" i="1" s="1"/>
  <c r="AB164" i="1" s="1"/>
  <c r="AC163" i="1" s="1"/>
  <c r="AD162" i="1" s="1"/>
  <c r="AE161" i="1" s="1"/>
  <c r="AF160" i="1" s="1"/>
  <c r="AG159" i="1" s="1"/>
  <c r="S174" i="1"/>
  <c r="T173" i="1" s="1"/>
  <c r="U172" i="1" s="1"/>
  <c r="V171" i="1" s="1"/>
  <c r="W170" i="1" s="1"/>
  <c r="X169" i="1" s="1"/>
  <c r="Y168" i="1" s="1"/>
  <c r="Z167" i="1" s="1"/>
  <c r="AA166" i="1" s="1"/>
  <c r="AB165" i="1" s="1"/>
  <c r="AC164" i="1" s="1"/>
  <c r="AD163" i="1" s="1"/>
  <c r="AE162" i="1" s="1"/>
  <c r="AF161" i="1" s="1"/>
  <c r="AG160" i="1" s="1"/>
  <c r="S175" i="1"/>
  <c r="T174" i="1" s="1"/>
  <c r="U173" i="1" s="1"/>
  <c r="V172" i="1" s="1"/>
  <c r="W171" i="1" s="1"/>
  <c r="X170" i="1" s="1"/>
  <c r="Y169" i="1" s="1"/>
  <c r="Z168" i="1" s="1"/>
  <c r="AA167" i="1" s="1"/>
  <c r="AB166" i="1" s="1"/>
  <c r="AC165" i="1" s="1"/>
  <c r="AD164" i="1" s="1"/>
  <c r="AE163" i="1" s="1"/>
  <c r="AF162" i="1" s="1"/>
  <c r="AG161" i="1" s="1"/>
  <c r="S176" i="1"/>
  <c r="T175" i="1" s="1"/>
  <c r="U174" i="1" s="1"/>
  <c r="V173" i="1" s="1"/>
  <c r="W172" i="1" s="1"/>
  <c r="X171" i="1" s="1"/>
  <c r="Y170" i="1" s="1"/>
  <c r="Z169" i="1" s="1"/>
  <c r="AA168" i="1" s="1"/>
  <c r="AB167" i="1" s="1"/>
  <c r="AC166" i="1" s="1"/>
  <c r="AD165" i="1" s="1"/>
  <c r="AE164" i="1" s="1"/>
  <c r="AF163" i="1" s="1"/>
  <c r="AG162" i="1" s="1"/>
  <c r="S177" i="1"/>
  <c r="T176" i="1" s="1"/>
  <c r="U175" i="1" s="1"/>
  <c r="V174" i="1" s="1"/>
  <c r="W173" i="1" s="1"/>
  <c r="X172" i="1" s="1"/>
  <c r="Y171" i="1" s="1"/>
  <c r="Z170" i="1" s="1"/>
  <c r="AA169" i="1" s="1"/>
  <c r="AB168" i="1" s="1"/>
  <c r="AC167" i="1" s="1"/>
  <c r="AD166" i="1" s="1"/>
  <c r="AE165" i="1" s="1"/>
  <c r="AF164" i="1" s="1"/>
  <c r="AG163" i="1" s="1"/>
  <c r="S178" i="1"/>
  <c r="T177" i="1" s="1"/>
  <c r="U176" i="1" s="1"/>
  <c r="V175" i="1" s="1"/>
  <c r="W174" i="1" s="1"/>
  <c r="X173" i="1" s="1"/>
  <c r="Y172" i="1" s="1"/>
  <c r="Z171" i="1" s="1"/>
  <c r="AA170" i="1" s="1"/>
  <c r="AB169" i="1" s="1"/>
  <c r="AC168" i="1" s="1"/>
  <c r="AD167" i="1" s="1"/>
  <c r="AE166" i="1" s="1"/>
  <c r="AF165" i="1" s="1"/>
  <c r="AG164" i="1" s="1"/>
  <c r="S179" i="1"/>
  <c r="T178" i="1" s="1"/>
  <c r="U177" i="1" s="1"/>
  <c r="V176" i="1" s="1"/>
  <c r="W175" i="1" s="1"/>
  <c r="X174" i="1" s="1"/>
  <c r="Y173" i="1" s="1"/>
  <c r="Z172" i="1" s="1"/>
  <c r="AA171" i="1" s="1"/>
  <c r="AB170" i="1" s="1"/>
  <c r="AC169" i="1" s="1"/>
  <c r="AD168" i="1" s="1"/>
  <c r="AE167" i="1" s="1"/>
  <c r="AF166" i="1" s="1"/>
  <c r="AG165" i="1" s="1"/>
  <c r="S180" i="1"/>
  <c r="T179" i="1" s="1"/>
  <c r="U178" i="1" s="1"/>
  <c r="V177" i="1" s="1"/>
  <c r="W176" i="1" s="1"/>
  <c r="X175" i="1" s="1"/>
  <c r="Y174" i="1" s="1"/>
  <c r="Z173" i="1" s="1"/>
  <c r="AA172" i="1" s="1"/>
  <c r="AB171" i="1" s="1"/>
  <c r="AC170" i="1" s="1"/>
  <c r="AD169" i="1" s="1"/>
  <c r="AE168" i="1" s="1"/>
  <c r="AF167" i="1" s="1"/>
  <c r="AG166" i="1" s="1"/>
  <c r="S181" i="1"/>
  <c r="T180" i="1" s="1"/>
  <c r="U179" i="1" s="1"/>
  <c r="V178" i="1" s="1"/>
  <c r="W177" i="1" s="1"/>
  <c r="X176" i="1" s="1"/>
  <c r="Y175" i="1" s="1"/>
  <c r="Z174" i="1" s="1"/>
  <c r="AA173" i="1" s="1"/>
  <c r="AB172" i="1" s="1"/>
  <c r="AC171" i="1" s="1"/>
  <c r="AD170" i="1" s="1"/>
  <c r="AE169" i="1" s="1"/>
  <c r="AF168" i="1" s="1"/>
  <c r="AG167" i="1" s="1"/>
  <c r="S182" i="1"/>
  <c r="T181" i="1" s="1"/>
  <c r="U180" i="1" s="1"/>
  <c r="V179" i="1" s="1"/>
  <c r="W178" i="1" s="1"/>
  <c r="X177" i="1" s="1"/>
  <c r="Y176" i="1" s="1"/>
  <c r="Z175" i="1" s="1"/>
  <c r="AA174" i="1" s="1"/>
  <c r="AB173" i="1" s="1"/>
  <c r="AC172" i="1" s="1"/>
  <c r="AD171" i="1" s="1"/>
  <c r="AE170" i="1" s="1"/>
  <c r="AF169" i="1" s="1"/>
  <c r="AG168" i="1" s="1"/>
  <c r="S183" i="1"/>
  <c r="T182" i="1" s="1"/>
  <c r="U181" i="1" s="1"/>
  <c r="V180" i="1" s="1"/>
  <c r="W179" i="1" s="1"/>
  <c r="X178" i="1" s="1"/>
  <c r="Y177" i="1" s="1"/>
  <c r="Z176" i="1" s="1"/>
  <c r="AA175" i="1" s="1"/>
  <c r="AB174" i="1" s="1"/>
  <c r="AC173" i="1" s="1"/>
  <c r="AD172" i="1" s="1"/>
  <c r="AE171" i="1" s="1"/>
  <c r="AF170" i="1" s="1"/>
  <c r="AG169" i="1" s="1"/>
  <c r="S184" i="1"/>
  <c r="T183" i="1" s="1"/>
  <c r="U182" i="1" s="1"/>
  <c r="V181" i="1" s="1"/>
  <c r="W180" i="1" s="1"/>
  <c r="X179" i="1" s="1"/>
  <c r="Y178" i="1" s="1"/>
  <c r="Z177" i="1" s="1"/>
  <c r="AA176" i="1" s="1"/>
  <c r="AB175" i="1" s="1"/>
  <c r="AC174" i="1" s="1"/>
  <c r="AD173" i="1" s="1"/>
  <c r="AE172" i="1" s="1"/>
  <c r="AF171" i="1" s="1"/>
  <c r="AG170" i="1" s="1"/>
  <c r="S185" i="1"/>
  <c r="T184" i="1" s="1"/>
  <c r="U183" i="1" s="1"/>
  <c r="V182" i="1" s="1"/>
  <c r="W181" i="1" s="1"/>
  <c r="X180" i="1" s="1"/>
  <c r="Y179" i="1" s="1"/>
  <c r="Z178" i="1" s="1"/>
  <c r="AA177" i="1" s="1"/>
  <c r="AB176" i="1" s="1"/>
  <c r="AC175" i="1" s="1"/>
  <c r="AD174" i="1" s="1"/>
  <c r="AE173" i="1" s="1"/>
  <c r="AF172" i="1" s="1"/>
  <c r="AG171" i="1" s="1"/>
  <c r="S186" i="1"/>
  <c r="T185" i="1" s="1"/>
  <c r="U184" i="1" s="1"/>
  <c r="V183" i="1" s="1"/>
  <c r="W182" i="1" s="1"/>
  <c r="X181" i="1" s="1"/>
  <c r="Y180" i="1" s="1"/>
  <c r="Z179" i="1" s="1"/>
  <c r="AA178" i="1" s="1"/>
  <c r="AB177" i="1" s="1"/>
  <c r="AC176" i="1" s="1"/>
  <c r="AD175" i="1" s="1"/>
  <c r="AE174" i="1" s="1"/>
  <c r="AF173" i="1" s="1"/>
  <c r="AG172" i="1" s="1"/>
  <c r="S187" i="1"/>
  <c r="T186" i="1" s="1"/>
  <c r="U185" i="1" s="1"/>
  <c r="V184" i="1" s="1"/>
  <c r="W183" i="1" s="1"/>
  <c r="X182" i="1" s="1"/>
  <c r="Y181" i="1" s="1"/>
  <c r="Z180" i="1" s="1"/>
  <c r="AA179" i="1" s="1"/>
  <c r="AB178" i="1" s="1"/>
  <c r="AC177" i="1" s="1"/>
  <c r="AD176" i="1" s="1"/>
  <c r="AE175" i="1" s="1"/>
  <c r="AF174" i="1" s="1"/>
  <c r="AG173" i="1" s="1"/>
  <c r="S188" i="1"/>
  <c r="T187" i="1" s="1"/>
  <c r="U186" i="1" s="1"/>
  <c r="V185" i="1" s="1"/>
  <c r="W184" i="1" s="1"/>
  <c r="X183" i="1" s="1"/>
  <c r="Y182" i="1" s="1"/>
  <c r="Z181" i="1" s="1"/>
  <c r="AA180" i="1" s="1"/>
  <c r="AB179" i="1" s="1"/>
  <c r="AC178" i="1" s="1"/>
  <c r="AD177" i="1" s="1"/>
  <c r="AE176" i="1" s="1"/>
  <c r="AF175" i="1" s="1"/>
  <c r="AG174" i="1" s="1"/>
  <c r="S189" i="1"/>
  <c r="T188" i="1" s="1"/>
  <c r="U187" i="1" s="1"/>
  <c r="V186" i="1" s="1"/>
  <c r="W185" i="1" s="1"/>
  <c r="X184" i="1" s="1"/>
  <c r="Y183" i="1" s="1"/>
  <c r="Z182" i="1" s="1"/>
  <c r="AA181" i="1" s="1"/>
  <c r="AB180" i="1" s="1"/>
  <c r="AC179" i="1" s="1"/>
  <c r="AD178" i="1" s="1"/>
  <c r="AE177" i="1" s="1"/>
  <c r="AF176" i="1" s="1"/>
  <c r="AG175" i="1" s="1"/>
  <c r="S190" i="1"/>
  <c r="T189" i="1" s="1"/>
  <c r="U188" i="1" s="1"/>
  <c r="V187" i="1" s="1"/>
  <c r="W186" i="1" s="1"/>
  <c r="X185" i="1" s="1"/>
  <c r="Y184" i="1" s="1"/>
  <c r="Z183" i="1" s="1"/>
  <c r="AA182" i="1" s="1"/>
  <c r="AB181" i="1" s="1"/>
  <c r="AC180" i="1" s="1"/>
  <c r="AD179" i="1" s="1"/>
  <c r="AE178" i="1" s="1"/>
  <c r="AF177" i="1" s="1"/>
  <c r="AG176" i="1" s="1"/>
  <c r="S191" i="1"/>
  <c r="T190" i="1" s="1"/>
  <c r="U189" i="1" s="1"/>
  <c r="V188" i="1" s="1"/>
  <c r="W187" i="1" s="1"/>
  <c r="X186" i="1" s="1"/>
  <c r="Y185" i="1" s="1"/>
  <c r="Z184" i="1" s="1"/>
  <c r="AA183" i="1" s="1"/>
  <c r="AB182" i="1" s="1"/>
  <c r="AC181" i="1" s="1"/>
  <c r="AD180" i="1" s="1"/>
  <c r="AE179" i="1" s="1"/>
  <c r="AF178" i="1" s="1"/>
  <c r="AG177" i="1" s="1"/>
  <c r="S192" i="1"/>
  <c r="T191" i="1" s="1"/>
  <c r="U190" i="1" s="1"/>
  <c r="V189" i="1" s="1"/>
  <c r="W188" i="1" s="1"/>
  <c r="X187" i="1" s="1"/>
  <c r="Y186" i="1" s="1"/>
  <c r="Z185" i="1" s="1"/>
  <c r="AA184" i="1" s="1"/>
  <c r="AB183" i="1" s="1"/>
  <c r="AC182" i="1" s="1"/>
  <c r="AD181" i="1" s="1"/>
  <c r="AE180" i="1" s="1"/>
  <c r="AF179" i="1" s="1"/>
  <c r="AG178" i="1" s="1"/>
  <c r="S193" i="1"/>
  <c r="T192" i="1" s="1"/>
  <c r="U191" i="1" s="1"/>
  <c r="V190" i="1" s="1"/>
  <c r="W189" i="1" s="1"/>
  <c r="X188" i="1" s="1"/>
  <c r="Y187" i="1" s="1"/>
  <c r="Z186" i="1" s="1"/>
  <c r="AA185" i="1" s="1"/>
  <c r="AB184" i="1" s="1"/>
  <c r="AC183" i="1" s="1"/>
  <c r="AD182" i="1" s="1"/>
  <c r="AE181" i="1" s="1"/>
  <c r="AF180" i="1" s="1"/>
  <c r="AG179" i="1" s="1"/>
  <c r="S194" i="1"/>
  <c r="T193" i="1" s="1"/>
  <c r="U192" i="1" s="1"/>
  <c r="V191" i="1" s="1"/>
  <c r="W190" i="1" s="1"/>
  <c r="X189" i="1" s="1"/>
  <c r="Y188" i="1" s="1"/>
  <c r="Z187" i="1" s="1"/>
  <c r="AA186" i="1" s="1"/>
  <c r="AB185" i="1" s="1"/>
  <c r="AC184" i="1" s="1"/>
  <c r="AD183" i="1" s="1"/>
  <c r="AE182" i="1" s="1"/>
  <c r="AF181" i="1" s="1"/>
  <c r="AG180" i="1" s="1"/>
  <c r="S195" i="1"/>
  <c r="T194" i="1" s="1"/>
  <c r="U193" i="1" s="1"/>
  <c r="V192" i="1" s="1"/>
  <c r="W191" i="1" s="1"/>
  <c r="X190" i="1" s="1"/>
  <c r="Y189" i="1" s="1"/>
  <c r="Z188" i="1" s="1"/>
  <c r="AA187" i="1" s="1"/>
  <c r="AB186" i="1" s="1"/>
  <c r="AC185" i="1" s="1"/>
  <c r="AD184" i="1" s="1"/>
  <c r="AE183" i="1" s="1"/>
  <c r="AF182" i="1" s="1"/>
  <c r="AG181" i="1" s="1"/>
  <c r="S196" i="1"/>
  <c r="T195" i="1" s="1"/>
  <c r="U194" i="1" s="1"/>
  <c r="V193" i="1" s="1"/>
  <c r="W192" i="1" s="1"/>
  <c r="X191" i="1" s="1"/>
  <c r="Y190" i="1" s="1"/>
  <c r="Z189" i="1" s="1"/>
  <c r="AA188" i="1" s="1"/>
  <c r="AB187" i="1" s="1"/>
  <c r="AC186" i="1" s="1"/>
  <c r="AD185" i="1" s="1"/>
  <c r="AE184" i="1" s="1"/>
  <c r="AF183" i="1" s="1"/>
  <c r="AG182" i="1" s="1"/>
  <c r="S197" i="1"/>
  <c r="T196" i="1" s="1"/>
  <c r="U195" i="1" s="1"/>
  <c r="V194" i="1" s="1"/>
  <c r="W193" i="1" s="1"/>
  <c r="X192" i="1" s="1"/>
  <c r="Y191" i="1" s="1"/>
  <c r="Z190" i="1" s="1"/>
  <c r="AA189" i="1" s="1"/>
  <c r="AB188" i="1" s="1"/>
  <c r="AC187" i="1" s="1"/>
  <c r="AD186" i="1" s="1"/>
  <c r="AE185" i="1" s="1"/>
  <c r="AF184" i="1" s="1"/>
  <c r="AG183" i="1" s="1"/>
  <c r="S198" i="1"/>
  <c r="T197" i="1" s="1"/>
  <c r="U196" i="1" s="1"/>
  <c r="V195" i="1" s="1"/>
  <c r="W194" i="1" s="1"/>
  <c r="X193" i="1" s="1"/>
  <c r="Y192" i="1" s="1"/>
  <c r="Z191" i="1" s="1"/>
  <c r="AA190" i="1" s="1"/>
  <c r="AB189" i="1" s="1"/>
  <c r="AC188" i="1" s="1"/>
  <c r="AD187" i="1" s="1"/>
  <c r="AE186" i="1" s="1"/>
  <c r="AF185" i="1" s="1"/>
  <c r="AG184" i="1" s="1"/>
  <c r="S199" i="1"/>
  <c r="T198" i="1" s="1"/>
  <c r="U197" i="1" s="1"/>
  <c r="V196" i="1" s="1"/>
  <c r="W195" i="1" s="1"/>
  <c r="X194" i="1" s="1"/>
  <c r="Y193" i="1" s="1"/>
  <c r="Z192" i="1" s="1"/>
  <c r="AA191" i="1" s="1"/>
  <c r="AB190" i="1" s="1"/>
  <c r="AC189" i="1" s="1"/>
  <c r="AD188" i="1" s="1"/>
  <c r="AE187" i="1" s="1"/>
  <c r="AF186" i="1" s="1"/>
  <c r="AG185" i="1" s="1"/>
  <c r="S200" i="1"/>
  <c r="T199" i="1" s="1"/>
  <c r="U198" i="1" s="1"/>
  <c r="V197" i="1" s="1"/>
  <c r="W196" i="1" s="1"/>
  <c r="X195" i="1" s="1"/>
  <c r="Y194" i="1" s="1"/>
  <c r="Z193" i="1" s="1"/>
  <c r="AA192" i="1" s="1"/>
  <c r="AB191" i="1" s="1"/>
  <c r="AC190" i="1" s="1"/>
  <c r="AD189" i="1" s="1"/>
  <c r="AE188" i="1" s="1"/>
  <c r="AF187" i="1" s="1"/>
  <c r="AG186" i="1" s="1"/>
  <c r="S201" i="1"/>
  <c r="T200" i="1" s="1"/>
  <c r="U199" i="1" s="1"/>
  <c r="V198" i="1" s="1"/>
  <c r="W197" i="1" s="1"/>
  <c r="X196" i="1" s="1"/>
  <c r="Y195" i="1" s="1"/>
  <c r="Z194" i="1" s="1"/>
  <c r="AA193" i="1" s="1"/>
  <c r="AB192" i="1" s="1"/>
  <c r="AC191" i="1" s="1"/>
  <c r="AD190" i="1" s="1"/>
  <c r="AE189" i="1" s="1"/>
  <c r="AF188" i="1" s="1"/>
  <c r="AG187" i="1" s="1"/>
  <c r="S202" i="1"/>
  <c r="T201" i="1" s="1"/>
  <c r="U200" i="1" s="1"/>
  <c r="V199" i="1" s="1"/>
  <c r="W198" i="1" s="1"/>
  <c r="X197" i="1" s="1"/>
  <c r="Y196" i="1" s="1"/>
  <c r="Z195" i="1" s="1"/>
  <c r="AA194" i="1" s="1"/>
  <c r="AB193" i="1" s="1"/>
  <c r="AC192" i="1" s="1"/>
  <c r="AD191" i="1" s="1"/>
  <c r="AE190" i="1" s="1"/>
  <c r="AF189" i="1" s="1"/>
  <c r="AG188" i="1" s="1"/>
  <c r="S203" i="1"/>
  <c r="T202" i="1" s="1"/>
  <c r="U201" i="1" s="1"/>
  <c r="V200" i="1" s="1"/>
  <c r="W199" i="1" s="1"/>
  <c r="X198" i="1" s="1"/>
  <c r="Y197" i="1" s="1"/>
  <c r="Z196" i="1" s="1"/>
  <c r="AA195" i="1" s="1"/>
  <c r="AB194" i="1" s="1"/>
  <c r="AC193" i="1" s="1"/>
  <c r="AD192" i="1" s="1"/>
  <c r="AE191" i="1" s="1"/>
  <c r="AF190" i="1" s="1"/>
  <c r="AG189" i="1" s="1"/>
  <c r="S204" i="1"/>
  <c r="T203" i="1" s="1"/>
  <c r="U202" i="1" s="1"/>
  <c r="V201" i="1" s="1"/>
  <c r="W200" i="1" s="1"/>
  <c r="X199" i="1" s="1"/>
  <c r="Y198" i="1" s="1"/>
  <c r="Z197" i="1" s="1"/>
  <c r="AA196" i="1" s="1"/>
  <c r="AB195" i="1" s="1"/>
  <c r="AC194" i="1" s="1"/>
  <c r="AD193" i="1" s="1"/>
  <c r="AE192" i="1" s="1"/>
  <c r="AF191" i="1" s="1"/>
  <c r="AG190" i="1" s="1"/>
  <c r="S205" i="1"/>
  <c r="T204" i="1" s="1"/>
  <c r="U203" i="1" s="1"/>
  <c r="V202" i="1" s="1"/>
  <c r="W201" i="1" s="1"/>
  <c r="X200" i="1" s="1"/>
  <c r="Y199" i="1" s="1"/>
  <c r="Z198" i="1" s="1"/>
  <c r="AA197" i="1" s="1"/>
  <c r="AB196" i="1" s="1"/>
  <c r="AC195" i="1" s="1"/>
  <c r="AD194" i="1" s="1"/>
  <c r="AE193" i="1" s="1"/>
  <c r="AF192" i="1" s="1"/>
  <c r="AG191" i="1" s="1"/>
  <c r="S206" i="1"/>
  <c r="T205" i="1" s="1"/>
  <c r="U204" i="1" s="1"/>
  <c r="V203" i="1" s="1"/>
  <c r="W202" i="1" s="1"/>
  <c r="X201" i="1" s="1"/>
  <c r="Y200" i="1" s="1"/>
  <c r="Z199" i="1" s="1"/>
  <c r="AA198" i="1" s="1"/>
  <c r="AB197" i="1" s="1"/>
  <c r="AC196" i="1" s="1"/>
  <c r="AD195" i="1" s="1"/>
  <c r="AE194" i="1" s="1"/>
  <c r="AF193" i="1" s="1"/>
  <c r="AG192" i="1" s="1"/>
  <c r="S207" i="1"/>
  <c r="T206" i="1" s="1"/>
  <c r="U205" i="1" s="1"/>
  <c r="V204" i="1" s="1"/>
  <c r="W203" i="1" s="1"/>
  <c r="X202" i="1" s="1"/>
  <c r="Y201" i="1" s="1"/>
  <c r="Z200" i="1" s="1"/>
  <c r="AA199" i="1" s="1"/>
  <c r="AB198" i="1" s="1"/>
  <c r="AC197" i="1" s="1"/>
  <c r="AD196" i="1" s="1"/>
  <c r="AE195" i="1" s="1"/>
  <c r="AF194" i="1" s="1"/>
  <c r="AG193" i="1" s="1"/>
  <c r="S208" i="1"/>
  <c r="T207" i="1" s="1"/>
  <c r="U206" i="1" s="1"/>
  <c r="V205" i="1" s="1"/>
  <c r="W204" i="1" s="1"/>
  <c r="X203" i="1" s="1"/>
  <c r="Y202" i="1" s="1"/>
  <c r="Z201" i="1" s="1"/>
  <c r="AA200" i="1" s="1"/>
  <c r="AB199" i="1" s="1"/>
  <c r="AC198" i="1" s="1"/>
  <c r="AD197" i="1" s="1"/>
  <c r="AE196" i="1" s="1"/>
  <c r="AF195" i="1" s="1"/>
  <c r="AG194" i="1" s="1"/>
  <c r="S209" i="1"/>
  <c r="T208" i="1" s="1"/>
  <c r="U207" i="1" s="1"/>
  <c r="V206" i="1" s="1"/>
  <c r="W205" i="1" s="1"/>
  <c r="X204" i="1" s="1"/>
  <c r="Y203" i="1" s="1"/>
  <c r="Z202" i="1" s="1"/>
  <c r="AA201" i="1" s="1"/>
  <c r="AB200" i="1" s="1"/>
  <c r="AC199" i="1" s="1"/>
  <c r="AD198" i="1" s="1"/>
  <c r="AE197" i="1" s="1"/>
  <c r="AF196" i="1" s="1"/>
  <c r="AG195" i="1" s="1"/>
  <c r="S210" i="1"/>
  <c r="T209" i="1" s="1"/>
  <c r="U208" i="1" s="1"/>
  <c r="V207" i="1" s="1"/>
  <c r="W206" i="1" s="1"/>
  <c r="X205" i="1" s="1"/>
  <c r="Y204" i="1" s="1"/>
  <c r="Z203" i="1" s="1"/>
  <c r="AA202" i="1" s="1"/>
  <c r="AB201" i="1" s="1"/>
  <c r="AC200" i="1" s="1"/>
  <c r="AD199" i="1" s="1"/>
  <c r="AE198" i="1" s="1"/>
  <c r="AF197" i="1" s="1"/>
  <c r="AG196" i="1" s="1"/>
  <c r="S211" i="1"/>
  <c r="T210" i="1" s="1"/>
  <c r="U209" i="1" s="1"/>
  <c r="V208" i="1" s="1"/>
  <c r="W207" i="1" s="1"/>
  <c r="X206" i="1" s="1"/>
  <c r="Y205" i="1" s="1"/>
  <c r="Z204" i="1" s="1"/>
  <c r="AA203" i="1" s="1"/>
  <c r="AB202" i="1" s="1"/>
  <c r="AC201" i="1" s="1"/>
  <c r="AD200" i="1" s="1"/>
  <c r="AE199" i="1" s="1"/>
  <c r="AF198" i="1" s="1"/>
  <c r="AG197" i="1" s="1"/>
  <c r="S212" i="1"/>
  <c r="T211" i="1" s="1"/>
  <c r="U210" i="1" s="1"/>
  <c r="V209" i="1" s="1"/>
  <c r="W208" i="1" s="1"/>
  <c r="X207" i="1" s="1"/>
  <c r="Y206" i="1" s="1"/>
  <c r="Z205" i="1" s="1"/>
  <c r="AA204" i="1" s="1"/>
  <c r="AB203" i="1" s="1"/>
  <c r="AC202" i="1" s="1"/>
  <c r="AD201" i="1" s="1"/>
  <c r="AE200" i="1" s="1"/>
  <c r="AF199" i="1" s="1"/>
  <c r="AG198" i="1" s="1"/>
  <c r="S213" i="1"/>
  <c r="T212" i="1" s="1"/>
  <c r="U211" i="1" s="1"/>
  <c r="V210" i="1" s="1"/>
  <c r="W209" i="1" s="1"/>
  <c r="X208" i="1" s="1"/>
  <c r="Y207" i="1" s="1"/>
  <c r="Z206" i="1" s="1"/>
  <c r="AA205" i="1" s="1"/>
  <c r="AB204" i="1" s="1"/>
  <c r="AC203" i="1" s="1"/>
  <c r="AD202" i="1" s="1"/>
  <c r="AE201" i="1" s="1"/>
  <c r="AF200" i="1" s="1"/>
  <c r="AG199" i="1" s="1"/>
  <c r="S214" i="1"/>
  <c r="T213" i="1" s="1"/>
  <c r="U212" i="1" s="1"/>
  <c r="V211" i="1" s="1"/>
  <c r="W210" i="1" s="1"/>
  <c r="X209" i="1" s="1"/>
  <c r="Y208" i="1" s="1"/>
  <c r="Z207" i="1" s="1"/>
  <c r="AA206" i="1" s="1"/>
  <c r="AB205" i="1" s="1"/>
  <c r="AC204" i="1" s="1"/>
  <c r="AD203" i="1" s="1"/>
  <c r="AE202" i="1" s="1"/>
  <c r="AF201" i="1" s="1"/>
  <c r="AG200" i="1" s="1"/>
  <c r="S215" i="1"/>
  <c r="T214" i="1" s="1"/>
  <c r="U213" i="1" s="1"/>
  <c r="V212" i="1" s="1"/>
  <c r="W211" i="1" s="1"/>
  <c r="X210" i="1" s="1"/>
  <c r="Y209" i="1" s="1"/>
  <c r="Z208" i="1" s="1"/>
  <c r="AA207" i="1" s="1"/>
  <c r="AB206" i="1" s="1"/>
  <c r="AC205" i="1" s="1"/>
  <c r="AD204" i="1" s="1"/>
  <c r="AE203" i="1" s="1"/>
  <c r="AF202" i="1" s="1"/>
  <c r="AG201" i="1" s="1"/>
  <c r="S216" i="1"/>
  <c r="T215" i="1" s="1"/>
  <c r="U214" i="1" s="1"/>
  <c r="V213" i="1" s="1"/>
  <c r="W212" i="1" s="1"/>
  <c r="X211" i="1" s="1"/>
  <c r="Y210" i="1" s="1"/>
  <c r="Z209" i="1" s="1"/>
  <c r="AA208" i="1" s="1"/>
  <c r="AB207" i="1" s="1"/>
  <c r="AC206" i="1" s="1"/>
  <c r="AD205" i="1" s="1"/>
  <c r="AE204" i="1" s="1"/>
  <c r="AF203" i="1" s="1"/>
  <c r="AG202" i="1" s="1"/>
  <c r="S217" i="1"/>
  <c r="T216" i="1" s="1"/>
  <c r="U215" i="1" s="1"/>
  <c r="V214" i="1" s="1"/>
  <c r="W213" i="1" s="1"/>
  <c r="X212" i="1" s="1"/>
  <c r="Y211" i="1" s="1"/>
  <c r="Z210" i="1" s="1"/>
  <c r="AA209" i="1" s="1"/>
  <c r="AB208" i="1" s="1"/>
  <c r="AC207" i="1" s="1"/>
  <c r="AD206" i="1" s="1"/>
  <c r="AE205" i="1" s="1"/>
  <c r="AF204" i="1" s="1"/>
  <c r="AG203" i="1" s="1"/>
  <c r="S218" i="1"/>
  <c r="T217" i="1" s="1"/>
  <c r="U216" i="1" s="1"/>
  <c r="V215" i="1" s="1"/>
  <c r="W214" i="1" s="1"/>
  <c r="X213" i="1" s="1"/>
  <c r="Y212" i="1" s="1"/>
  <c r="Z211" i="1" s="1"/>
  <c r="AA210" i="1" s="1"/>
  <c r="AB209" i="1" s="1"/>
  <c r="AC208" i="1" s="1"/>
  <c r="AD207" i="1" s="1"/>
  <c r="AE206" i="1" s="1"/>
  <c r="AF205" i="1" s="1"/>
  <c r="AG204" i="1" s="1"/>
  <c r="S219" i="1"/>
  <c r="T218" i="1" s="1"/>
  <c r="U217" i="1" s="1"/>
  <c r="V216" i="1" s="1"/>
  <c r="W215" i="1" s="1"/>
  <c r="X214" i="1" s="1"/>
  <c r="Y213" i="1" s="1"/>
  <c r="Z212" i="1" s="1"/>
  <c r="AA211" i="1" s="1"/>
  <c r="AB210" i="1" s="1"/>
  <c r="AC209" i="1" s="1"/>
  <c r="AD208" i="1" s="1"/>
  <c r="AE207" i="1" s="1"/>
  <c r="AF206" i="1" s="1"/>
  <c r="AG205" i="1" s="1"/>
  <c r="S220" i="1"/>
  <c r="T219" i="1" s="1"/>
  <c r="U218" i="1" s="1"/>
  <c r="V217" i="1" s="1"/>
  <c r="W216" i="1" s="1"/>
  <c r="X215" i="1" s="1"/>
  <c r="Y214" i="1" s="1"/>
  <c r="Z213" i="1" s="1"/>
  <c r="AA212" i="1" s="1"/>
  <c r="AB211" i="1" s="1"/>
  <c r="AC210" i="1" s="1"/>
  <c r="AD209" i="1" s="1"/>
  <c r="AE208" i="1" s="1"/>
  <c r="AF207" i="1" s="1"/>
  <c r="AG206" i="1" s="1"/>
  <c r="S221" i="1"/>
  <c r="T220" i="1" s="1"/>
  <c r="U219" i="1" s="1"/>
  <c r="V218" i="1" s="1"/>
  <c r="W217" i="1" s="1"/>
  <c r="X216" i="1" s="1"/>
  <c r="Y215" i="1" s="1"/>
  <c r="Z214" i="1" s="1"/>
  <c r="AA213" i="1" s="1"/>
  <c r="AB212" i="1" s="1"/>
  <c r="AC211" i="1" s="1"/>
  <c r="AD210" i="1" s="1"/>
  <c r="AE209" i="1" s="1"/>
  <c r="AF208" i="1" s="1"/>
  <c r="AG207" i="1" s="1"/>
  <c r="S222" i="1"/>
  <c r="T221" i="1" s="1"/>
  <c r="U220" i="1" s="1"/>
  <c r="V219" i="1" s="1"/>
  <c r="W218" i="1" s="1"/>
  <c r="X217" i="1" s="1"/>
  <c r="Y216" i="1" s="1"/>
  <c r="Z215" i="1" s="1"/>
  <c r="AA214" i="1" s="1"/>
  <c r="AB213" i="1" s="1"/>
  <c r="AC212" i="1" s="1"/>
  <c r="AD211" i="1" s="1"/>
  <c r="AE210" i="1" s="1"/>
  <c r="AF209" i="1" s="1"/>
  <c r="AG208" i="1" s="1"/>
  <c r="S223" i="1"/>
  <c r="T222" i="1" s="1"/>
  <c r="U221" i="1" s="1"/>
  <c r="V220" i="1" s="1"/>
  <c r="W219" i="1" s="1"/>
  <c r="X218" i="1" s="1"/>
  <c r="Y217" i="1" s="1"/>
  <c r="Z216" i="1" s="1"/>
  <c r="AA215" i="1" s="1"/>
  <c r="AB214" i="1" s="1"/>
  <c r="AC213" i="1" s="1"/>
  <c r="AD212" i="1" s="1"/>
  <c r="AE211" i="1" s="1"/>
  <c r="AF210" i="1" s="1"/>
  <c r="AG209" i="1" s="1"/>
  <c r="S224" i="1"/>
  <c r="T223" i="1" s="1"/>
  <c r="U222" i="1" s="1"/>
  <c r="V221" i="1" s="1"/>
  <c r="W220" i="1" s="1"/>
  <c r="X219" i="1" s="1"/>
  <c r="Y218" i="1" s="1"/>
  <c r="Z217" i="1" s="1"/>
  <c r="AA216" i="1" s="1"/>
  <c r="AB215" i="1" s="1"/>
  <c r="AC214" i="1" s="1"/>
  <c r="AD213" i="1" s="1"/>
  <c r="AE212" i="1" s="1"/>
  <c r="AF211" i="1" s="1"/>
  <c r="AG210" i="1" s="1"/>
  <c r="S225" i="1"/>
  <c r="T224" i="1" s="1"/>
  <c r="U223" i="1" s="1"/>
  <c r="V222" i="1" s="1"/>
  <c r="W221" i="1" s="1"/>
  <c r="X220" i="1" s="1"/>
  <c r="Y219" i="1" s="1"/>
  <c r="Z218" i="1" s="1"/>
  <c r="AA217" i="1" s="1"/>
  <c r="AB216" i="1" s="1"/>
  <c r="AC215" i="1" s="1"/>
  <c r="AD214" i="1" s="1"/>
  <c r="AE213" i="1" s="1"/>
  <c r="AF212" i="1" s="1"/>
  <c r="AG211" i="1" s="1"/>
  <c r="S226" i="1"/>
  <c r="T225" i="1" s="1"/>
  <c r="U224" i="1" s="1"/>
  <c r="V223" i="1" s="1"/>
  <c r="W222" i="1" s="1"/>
  <c r="X221" i="1" s="1"/>
  <c r="Y220" i="1" s="1"/>
  <c r="Z219" i="1" s="1"/>
  <c r="AA218" i="1" s="1"/>
  <c r="AB217" i="1" s="1"/>
  <c r="AC216" i="1" s="1"/>
  <c r="AD215" i="1" s="1"/>
  <c r="AE214" i="1" s="1"/>
  <c r="AF213" i="1" s="1"/>
  <c r="AG212" i="1" s="1"/>
  <c r="S227" i="1"/>
  <c r="T226" i="1" s="1"/>
  <c r="U225" i="1" s="1"/>
  <c r="V224" i="1" s="1"/>
  <c r="W223" i="1" s="1"/>
  <c r="X222" i="1" s="1"/>
  <c r="Y221" i="1" s="1"/>
  <c r="Z220" i="1" s="1"/>
  <c r="AA219" i="1" s="1"/>
  <c r="AB218" i="1" s="1"/>
  <c r="AC217" i="1" s="1"/>
  <c r="AD216" i="1" s="1"/>
  <c r="AE215" i="1" s="1"/>
  <c r="AF214" i="1" s="1"/>
  <c r="AG213" i="1" s="1"/>
  <c r="S228" i="1"/>
  <c r="T227" i="1" s="1"/>
  <c r="U226" i="1" s="1"/>
  <c r="V225" i="1" s="1"/>
  <c r="W224" i="1" s="1"/>
  <c r="X223" i="1" s="1"/>
  <c r="Y222" i="1" s="1"/>
  <c r="Z221" i="1" s="1"/>
  <c r="AA220" i="1" s="1"/>
  <c r="AB219" i="1" s="1"/>
  <c r="AC218" i="1" s="1"/>
  <c r="AD217" i="1" s="1"/>
  <c r="AE216" i="1" s="1"/>
  <c r="AF215" i="1" s="1"/>
  <c r="AG214" i="1" s="1"/>
  <c r="S229" i="1"/>
  <c r="T228" i="1" s="1"/>
  <c r="U227" i="1" s="1"/>
  <c r="V226" i="1" s="1"/>
  <c r="W225" i="1" s="1"/>
  <c r="X224" i="1" s="1"/>
  <c r="Y223" i="1" s="1"/>
  <c r="Z222" i="1" s="1"/>
  <c r="AA221" i="1" s="1"/>
  <c r="AB220" i="1" s="1"/>
  <c r="AC219" i="1" s="1"/>
  <c r="AD218" i="1" s="1"/>
  <c r="AE217" i="1" s="1"/>
  <c r="AF216" i="1" s="1"/>
  <c r="AG215" i="1" s="1"/>
  <c r="S230" i="1"/>
  <c r="T229" i="1" s="1"/>
  <c r="U228" i="1" s="1"/>
  <c r="V227" i="1" s="1"/>
  <c r="W226" i="1" s="1"/>
  <c r="X225" i="1" s="1"/>
  <c r="Y224" i="1" s="1"/>
  <c r="Z223" i="1" s="1"/>
  <c r="AA222" i="1" s="1"/>
  <c r="AB221" i="1" s="1"/>
  <c r="AC220" i="1" s="1"/>
  <c r="AD219" i="1" s="1"/>
  <c r="AE218" i="1" s="1"/>
  <c r="AF217" i="1" s="1"/>
  <c r="AG216" i="1" s="1"/>
  <c r="S231" i="1"/>
  <c r="T230" i="1" s="1"/>
  <c r="U229" i="1" s="1"/>
  <c r="V228" i="1" s="1"/>
  <c r="W227" i="1" s="1"/>
  <c r="X226" i="1" s="1"/>
  <c r="Y225" i="1" s="1"/>
  <c r="Z224" i="1" s="1"/>
  <c r="AA223" i="1" s="1"/>
  <c r="AB222" i="1" s="1"/>
  <c r="AC221" i="1" s="1"/>
  <c r="AD220" i="1" s="1"/>
  <c r="AE219" i="1" s="1"/>
  <c r="AF218" i="1" s="1"/>
  <c r="AG217" i="1" s="1"/>
  <c r="S232" i="1"/>
  <c r="T231" i="1" s="1"/>
  <c r="U230" i="1" s="1"/>
  <c r="V229" i="1" s="1"/>
  <c r="W228" i="1" s="1"/>
  <c r="X227" i="1" s="1"/>
  <c r="Y226" i="1" s="1"/>
  <c r="Z225" i="1" s="1"/>
  <c r="AA224" i="1" s="1"/>
  <c r="AB223" i="1" s="1"/>
  <c r="AC222" i="1" s="1"/>
  <c r="AD221" i="1" s="1"/>
  <c r="AE220" i="1" s="1"/>
  <c r="AF219" i="1" s="1"/>
  <c r="AG218" i="1" s="1"/>
  <c r="S233" i="1"/>
  <c r="T232" i="1" s="1"/>
  <c r="U231" i="1" s="1"/>
  <c r="V230" i="1" s="1"/>
  <c r="W229" i="1" s="1"/>
  <c r="X228" i="1" s="1"/>
  <c r="Y227" i="1" s="1"/>
  <c r="Z226" i="1" s="1"/>
  <c r="AA225" i="1" s="1"/>
  <c r="AB224" i="1" s="1"/>
  <c r="AC223" i="1" s="1"/>
  <c r="AD222" i="1" s="1"/>
  <c r="AE221" i="1" s="1"/>
  <c r="AF220" i="1" s="1"/>
  <c r="AG219" i="1" s="1"/>
  <c r="S234" i="1"/>
  <c r="T233" i="1" s="1"/>
  <c r="U232" i="1" s="1"/>
  <c r="V231" i="1" s="1"/>
  <c r="W230" i="1" s="1"/>
  <c r="X229" i="1" s="1"/>
  <c r="Y228" i="1" s="1"/>
  <c r="Z227" i="1" s="1"/>
  <c r="AA226" i="1" s="1"/>
  <c r="AB225" i="1" s="1"/>
  <c r="AC224" i="1" s="1"/>
  <c r="AD223" i="1" s="1"/>
  <c r="AE222" i="1" s="1"/>
  <c r="AF221" i="1" s="1"/>
  <c r="AG220" i="1" s="1"/>
  <c r="S235" i="1"/>
  <c r="T234" i="1" s="1"/>
  <c r="U233" i="1" s="1"/>
  <c r="V232" i="1" s="1"/>
  <c r="W231" i="1" s="1"/>
  <c r="X230" i="1" s="1"/>
  <c r="Y229" i="1" s="1"/>
  <c r="Z228" i="1" s="1"/>
  <c r="AA227" i="1" s="1"/>
  <c r="AB226" i="1" s="1"/>
  <c r="AC225" i="1" s="1"/>
  <c r="AD224" i="1" s="1"/>
  <c r="AE223" i="1" s="1"/>
  <c r="AF222" i="1" s="1"/>
  <c r="AG221" i="1" s="1"/>
  <c r="S236" i="1"/>
  <c r="T235" i="1" s="1"/>
  <c r="U234" i="1" s="1"/>
  <c r="V233" i="1" s="1"/>
  <c r="W232" i="1" s="1"/>
  <c r="X231" i="1" s="1"/>
  <c r="Y230" i="1" s="1"/>
  <c r="Z229" i="1" s="1"/>
  <c r="AA228" i="1" s="1"/>
  <c r="AB227" i="1" s="1"/>
  <c r="AC226" i="1" s="1"/>
  <c r="AD225" i="1" s="1"/>
  <c r="AE224" i="1" s="1"/>
  <c r="AF223" i="1" s="1"/>
  <c r="AG222" i="1" s="1"/>
  <c r="S237" i="1"/>
  <c r="T236" i="1" s="1"/>
  <c r="U235" i="1" s="1"/>
  <c r="V234" i="1" s="1"/>
  <c r="W233" i="1" s="1"/>
  <c r="X232" i="1" s="1"/>
  <c r="Y231" i="1" s="1"/>
  <c r="Z230" i="1" s="1"/>
  <c r="AA229" i="1" s="1"/>
  <c r="AB228" i="1" s="1"/>
  <c r="AC227" i="1" s="1"/>
  <c r="AD226" i="1" s="1"/>
  <c r="AE225" i="1" s="1"/>
  <c r="AF224" i="1" s="1"/>
  <c r="AG223" i="1" s="1"/>
  <c r="S238" i="1"/>
  <c r="T237" i="1" s="1"/>
  <c r="U236" i="1" s="1"/>
  <c r="V235" i="1" s="1"/>
  <c r="W234" i="1" s="1"/>
  <c r="X233" i="1" s="1"/>
  <c r="Y232" i="1" s="1"/>
  <c r="Z231" i="1" s="1"/>
  <c r="AA230" i="1" s="1"/>
  <c r="AB229" i="1" s="1"/>
  <c r="AC228" i="1" s="1"/>
  <c r="AD227" i="1" s="1"/>
  <c r="AE226" i="1" s="1"/>
  <c r="AF225" i="1" s="1"/>
  <c r="AG224" i="1" s="1"/>
  <c r="S239" i="1"/>
  <c r="T238" i="1" s="1"/>
  <c r="U237" i="1" s="1"/>
  <c r="V236" i="1" s="1"/>
  <c r="W235" i="1" s="1"/>
  <c r="X234" i="1" s="1"/>
  <c r="Y233" i="1" s="1"/>
  <c r="Z232" i="1" s="1"/>
  <c r="AA231" i="1" s="1"/>
  <c r="AB230" i="1" s="1"/>
  <c r="AC229" i="1" s="1"/>
  <c r="AD228" i="1" s="1"/>
  <c r="AE227" i="1" s="1"/>
  <c r="AF226" i="1" s="1"/>
  <c r="AG225" i="1" s="1"/>
  <c r="S240" i="1"/>
  <c r="T239" i="1" s="1"/>
  <c r="U238" i="1" s="1"/>
  <c r="V237" i="1" s="1"/>
  <c r="W236" i="1" s="1"/>
  <c r="X235" i="1" s="1"/>
  <c r="Y234" i="1" s="1"/>
  <c r="Z233" i="1" s="1"/>
  <c r="AA232" i="1" s="1"/>
  <c r="AB231" i="1" s="1"/>
  <c r="AC230" i="1" s="1"/>
  <c r="AD229" i="1" s="1"/>
  <c r="AE228" i="1" s="1"/>
  <c r="AF227" i="1" s="1"/>
  <c r="AG226" i="1" s="1"/>
  <c r="S241" i="1"/>
  <c r="T240" i="1" s="1"/>
  <c r="U239" i="1" s="1"/>
  <c r="V238" i="1" s="1"/>
  <c r="W237" i="1" s="1"/>
  <c r="X236" i="1" s="1"/>
  <c r="Y235" i="1" s="1"/>
  <c r="Z234" i="1" s="1"/>
  <c r="AA233" i="1" s="1"/>
  <c r="AB232" i="1" s="1"/>
  <c r="AC231" i="1" s="1"/>
  <c r="AD230" i="1" s="1"/>
  <c r="AE229" i="1" s="1"/>
  <c r="AF228" i="1" s="1"/>
  <c r="AG227" i="1" s="1"/>
  <c r="S242" i="1"/>
  <c r="T241" i="1" s="1"/>
  <c r="U240" i="1" s="1"/>
  <c r="V239" i="1" s="1"/>
  <c r="W238" i="1" s="1"/>
  <c r="X237" i="1" s="1"/>
  <c r="Y236" i="1" s="1"/>
  <c r="Z235" i="1" s="1"/>
  <c r="AA234" i="1" s="1"/>
  <c r="AB233" i="1" s="1"/>
  <c r="AC232" i="1" s="1"/>
  <c r="AD231" i="1" s="1"/>
  <c r="AE230" i="1" s="1"/>
  <c r="AF229" i="1" s="1"/>
  <c r="AG228" i="1" s="1"/>
  <c r="S243" i="1"/>
  <c r="T242" i="1" s="1"/>
  <c r="U241" i="1" s="1"/>
  <c r="V240" i="1" s="1"/>
  <c r="W239" i="1" s="1"/>
  <c r="X238" i="1" s="1"/>
  <c r="Y237" i="1" s="1"/>
  <c r="Z236" i="1" s="1"/>
  <c r="AA235" i="1" s="1"/>
  <c r="AB234" i="1" s="1"/>
  <c r="AC233" i="1" s="1"/>
  <c r="AD232" i="1" s="1"/>
  <c r="AE231" i="1" s="1"/>
  <c r="AF230" i="1" s="1"/>
  <c r="AG229" i="1" s="1"/>
  <c r="S244" i="1"/>
  <c r="T243" i="1" s="1"/>
  <c r="U242" i="1" s="1"/>
  <c r="V241" i="1" s="1"/>
  <c r="W240" i="1" s="1"/>
  <c r="X239" i="1" s="1"/>
  <c r="Y238" i="1" s="1"/>
  <c r="Z237" i="1" s="1"/>
  <c r="AA236" i="1" s="1"/>
  <c r="AB235" i="1" s="1"/>
  <c r="AC234" i="1" s="1"/>
  <c r="AD233" i="1" s="1"/>
  <c r="AE232" i="1" s="1"/>
  <c r="AF231" i="1" s="1"/>
  <c r="AG230" i="1" s="1"/>
  <c r="S245" i="1"/>
  <c r="T244" i="1" s="1"/>
  <c r="U243" i="1" s="1"/>
  <c r="V242" i="1" s="1"/>
  <c r="W241" i="1" s="1"/>
  <c r="X240" i="1" s="1"/>
  <c r="Y239" i="1" s="1"/>
  <c r="Z238" i="1" s="1"/>
  <c r="AA237" i="1" s="1"/>
  <c r="AB236" i="1" s="1"/>
  <c r="AC235" i="1" s="1"/>
  <c r="AD234" i="1" s="1"/>
  <c r="AE233" i="1" s="1"/>
  <c r="AF232" i="1" s="1"/>
  <c r="AG231" i="1" s="1"/>
  <c r="S246" i="1"/>
  <c r="T245" i="1" s="1"/>
  <c r="U244" i="1" s="1"/>
  <c r="V243" i="1" s="1"/>
  <c r="W242" i="1" s="1"/>
  <c r="X241" i="1" s="1"/>
  <c r="Y240" i="1" s="1"/>
  <c r="Z239" i="1" s="1"/>
  <c r="AA238" i="1" s="1"/>
  <c r="AB237" i="1" s="1"/>
  <c r="AC236" i="1" s="1"/>
  <c r="AD235" i="1" s="1"/>
  <c r="AE234" i="1" s="1"/>
  <c r="AF233" i="1" s="1"/>
  <c r="AG232" i="1" s="1"/>
  <c r="S247" i="1"/>
  <c r="T246" i="1" s="1"/>
  <c r="U245" i="1" s="1"/>
  <c r="V244" i="1" s="1"/>
  <c r="W243" i="1" s="1"/>
  <c r="X242" i="1" s="1"/>
  <c r="Y241" i="1" s="1"/>
  <c r="Z240" i="1" s="1"/>
  <c r="AA239" i="1" s="1"/>
  <c r="AB238" i="1" s="1"/>
  <c r="AC237" i="1" s="1"/>
  <c r="AD236" i="1" s="1"/>
  <c r="AE235" i="1" s="1"/>
  <c r="AF234" i="1" s="1"/>
  <c r="AG233" i="1" s="1"/>
  <c r="S248" i="1"/>
  <c r="T247" i="1" s="1"/>
  <c r="U246" i="1" s="1"/>
  <c r="V245" i="1" s="1"/>
  <c r="W244" i="1" s="1"/>
  <c r="X243" i="1" s="1"/>
  <c r="Y242" i="1" s="1"/>
  <c r="Z241" i="1" s="1"/>
  <c r="AA240" i="1" s="1"/>
  <c r="AB239" i="1" s="1"/>
  <c r="AC238" i="1" s="1"/>
  <c r="AD237" i="1" s="1"/>
  <c r="AE236" i="1" s="1"/>
  <c r="AF235" i="1" s="1"/>
  <c r="AG234" i="1" s="1"/>
  <c r="S249" i="1"/>
  <c r="T248" i="1" s="1"/>
  <c r="U247" i="1" s="1"/>
  <c r="V246" i="1" s="1"/>
  <c r="W245" i="1" s="1"/>
  <c r="X244" i="1" s="1"/>
  <c r="Y243" i="1" s="1"/>
  <c r="Z242" i="1" s="1"/>
  <c r="AA241" i="1" s="1"/>
  <c r="AB240" i="1" s="1"/>
  <c r="AC239" i="1" s="1"/>
  <c r="AD238" i="1" s="1"/>
  <c r="AE237" i="1" s="1"/>
  <c r="AF236" i="1" s="1"/>
  <c r="AG235" i="1" s="1"/>
  <c r="S250" i="1"/>
  <c r="T249" i="1" s="1"/>
  <c r="U248" i="1" s="1"/>
  <c r="V247" i="1" s="1"/>
  <c r="W246" i="1" s="1"/>
  <c r="X245" i="1" s="1"/>
  <c r="Y244" i="1" s="1"/>
  <c r="Z243" i="1" s="1"/>
  <c r="AA242" i="1" s="1"/>
  <c r="AB241" i="1" s="1"/>
  <c r="AC240" i="1" s="1"/>
  <c r="AD239" i="1" s="1"/>
  <c r="AE238" i="1" s="1"/>
  <c r="AF237" i="1" s="1"/>
  <c r="AG236" i="1" s="1"/>
  <c r="S251" i="1"/>
  <c r="T250" i="1" s="1"/>
  <c r="U249" i="1" s="1"/>
  <c r="V248" i="1" s="1"/>
  <c r="W247" i="1" s="1"/>
  <c r="X246" i="1" s="1"/>
  <c r="Y245" i="1" s="1"/>
  <c r="Z244" i="1" s="1"/>
  <c r="AA243" i="1" s="1"/>
  <c r="AB242" i="1" s="1"/>
  <c r="AC241" i="1" s="1"/>
  <c r="AD240" i="1" s="1"/>
  <c r="AE239" i="1" s="1"/>
  <c r="AF238" i="1" s="1"/>
  <c r="AG237" i="1" s="1"/>
  <c r="S252" i="1"/>
  <c r="T251" i="1" s="1"/>
  <c r="U250" i="1" s="1"/>
  <c r="V249" i="1" s="1"/>
  <c r="W248" i="1" s="1"/>
  <c r="X247" i="1" s="1"/>
  <c r="Y246" i="1" s="1"/>
  <c r="Z245" i="1" s="1"/>
  <c r="AA244" i="1" s="1"/>
  <c r="AB243" i="1" s="1"/>
  <c r="AC242" i="1" s="1"/>
  <c r="AD241" i="1" s="1"/>
  <c r="AE240" i="1" s="1"/>
  <c r="AF239" i="1" s="1"/>
  <c r="AG238" i="1" s="1"/>
  <c r="S253" i="1"/>
  <c r="T252" i="1" s="1"/>
  <c r="U251" i="1" s="1"/>
  <c r="V250" i="1" s="1"/>
  <c r="W249" i="1" s="1"/>
  <c r="X248" i="1" s="1"/>
  <c r="Y247" i="1" s="1"/>
  <c r="Z246" i="1" s="1"/>
  <c r="AA245" i="1" s="1"/>
  <c r="AB244" i="1" s="1"/>
  <c r="AC243" i="1" s="1"/>
  <c r="AD242" i="1" s="1"/>
  <c r="AE241" i="1" s="1"/>
  <c r="AF240" i="1" s="1"/>
  <c r="AG239" i="1" s="1"/>
  <c r="S254" i="1"/>
  <c r="T253" i="1" s="1"/>
  <c r="U252" i="1" s="1"/>
  <c r="V251" i="1" s="1"/>
  <c r="W250" i="1" s="1"/>
  <c r="X249" i="1" s="1"/>
  <c r="Y248" i="1" s="1"/>
  <c r="Z247" i="1" s="1"/>
  <c r="AA246" i="1" s="1"/>
  <c r="AB245" i="1" s="1"/>
  <c r="AC244" i="1" s="1"/>
  <c r="AD243" i="1" s="1"/>
  <c r="AE242" i="1" s="1"/>
  <c r="AF241" i="1" s="1"/>
  <c r="AG240" i="1" s="1"/>
  <c r="S255" i="1"/>
  <c r="T254" i="1" s="1"/>
  <c r="U253" i="1" s="1"/>
  <c r="V252" i="1" s="1"/>
  <c r="W251" i="1" s="1"/>
  <c r="X250" i="1" s="1"/>
  <c r="Y249" i="1" s="1"/>
  <c r="Z248" i="1" s="1"/>
  <c r="AA247" i="1" s="1"/>
  <c r="AB246" i="1" s="1"/>
  <c r="AC245" i="1" s="1"/>
  <c r="AD244" i="1" s="1"/>
  <c r="AE243" i="1" s="1"/>
  <c r="AF242" i="1" s="1"/>
  <c r="AG241" i="1" s="1"/>
  <c r="S256" i="1"/>
  <c r="T255" i="1" s="1"/>
  <c r="U254" i="1" s="1"/>
  <c r="V253" i="1" s="1"/>
  <c r="W252" i="1" s="1"/>
  <c r="X251" i="1" s="1"/>
  <c r="Y250" i="1" s="1"/>
  <c r="Z249" i="1" s="1"/>
  <c r="AA248" i="1" s="1"/>
  <c r="AB247" i="1" s="1"/>
  <c r="AC246" i="1" s="1"/>
  <c r="AD245" i="1" s="1"/>
  <c r="AE244" i="1" s="1"/>
  <c r="AF243" i="1" s="1"/>
  <c r="AG242" i="1" s="1"/>
  <c r="S257" i="1"/>
  <c r="T256" i="1" s="1"/>
  <c r="U255" i="1" s="1"/>
  <c r="V254" i="1" s="1"/>
  <c r="W253" i="1" s="1"/>
  <c r="X252" i="1" s="1"/>
  <c r="Y251" i="1" s="1"/>
  <c r="Z250" i="1" s="1"/>
  <c r="AA249" i="1" s="1"/>
  <c r="AB248" i="1" s="1"/>
  <c r="AC247" i="1" s="1"/>
  <c r="AD246" i="1" s="1"/>
  <c r="AE245" i="1" s="1"/>
  <c r="AF244" i="1" s="1"/>
  <c r="AG243" i="1" s="1"/>
  <c r="S258" i="1"/>
  <c r="T257" i="1" s="1"/>
  <c r="U256" i="1" s="1"/>
  <c r="V255" i="1" s="1"/>
  <c r="W254" i="1" s="1"/>
  <c r="X253" i="1" s="1"/>
  <c r="Y252" i="1" s="1"/>
  <c r="Z251" i="1" s="1"/>
  <c r="AA250" i="1" s="1"/>
  <c r="AB249" i="1" s="1"/>
  <c r="AC248" i="1" s="1"/>
  <c r="AD247" i="1" s="1"/>
  <c r="AE246" i="1" s="1"/>
  <c r="AF245" i="1" s="1"/>
  <c r="AG244" i="1" s="1"/>
  <c r="S259" i="1"/>
  <c r="T258" i="1" s="1"/>
  <c r="U257" i="1" s="1"/>
  <c r="V256" i="1" s="1"/>
  <c r="W255" i="1" s="1"/>
  <c r="X254" i="1" s="1"/>
  <c r="Y253" i="1" s="1"/>
  <c r="Z252" i="1" s="1"/>
  <c r="AA251" i="1" s="1"/>
  <c r="AB250" i="1" s="1"/>
  <c r="AC249" i="1" s="1"/>
  <c r="AD248" i="1" s="1"/>
  <c r="AE247" i="1" s="1"/>
  <c r="AF246" i="1" s="1"/>
  <c r="AG245" i="1" s="1"/>
  <c r="S260" i="1"/>
  <c r="T259" i="1" s="1"/>
  <c r="U258" i="1" s="1"/>
  <c r="V257" i="1" s="1"/>
  <c r="W256" i="1" s="1"/>
  <c r="X255" i="1" s="1"/>
  <c r="Y254" i="1" s="1"/>
  <c r="Z253" i="1" s="1"/>
  <c r="AA252" i="1" s="1"/>
  <c r="AB251" i="1" s="1"/>
  <c r="AC250" i="1" s="1"/>
  <c r="AD249" i="1" s="1"/>
  <c r="AE248" i="1" s="1"/>
  <c r="AF247" i="1" s="1"/>
  <c r="AG246" i="1" s="1"/>
  <c r="S261" i="1"/>
  <c r="T260" i="1" s="1"/>
  <c r="U259" i="1" s="1"/>
  <c r="V258" i="1" s="1"/>
  <c r="W257" i="1" s="1"/>
  <c r="X256" i="1" s="1"/>
  <c r="Y255" i="1" s="1"/>
  <c r="Z254" i="1" s="1"/>
  <c r="AA253" i="1" s="1"/>
  <c r="AB252" i="1" s="1"/>
  <c r="AC251" i="1" s="1"/>
  <c r="AD250" i="1" s="1"/>
  <c r="AE249" i="1" s="1"/>
  <c r="AF248" i="1" s="1"/>
  <c r="AG247" i="1" s="1"/>
  <c r="S262" i="1"/>
  <c r="T261" i="1" s="1"/>
  <c r="U260" i="1" s="1"/>
  <c r="V259" i="1" s="1"/>
  <c r="W258" i="1" s="1"/>
  <c r="X257" i="1" s="1"/>
  <c r="Y256" i="1" s="1"/>
  <c r="Z255" i="1" s="1"/>
  <c r="AA254" i="1" s="1"/>
  <c r="AB253" i="1" s="1"/>
  <c r="AC252" i="1" s="1"/>
  <c r="AD251" i="1" s="1"/>
  <c r="AE250" i="1" s="1"/>
  <c r="AF249" i="1" s="1"/>
  <c r="AG248" i="1" s="1"/>
  <c r="S263" i="1"/>
  <c r="T262" i="1" s="1"/>
  <c r="U261" i="1" s="1"/>
  <c r="V260" i="1" s="1"/>
  <c r="W259" i="1" s="1"/>
  <c r="X258" i="1" s="1"/>
  <c r="Y257" i="1" s="1"/>
  <c r="Z256" i="1" s="1"/>
  <c r="AA255" i="1" s="1"/>
  <c r="AB254" i="1" s="1"/>
  <c r="AC253" i="1" s="1"/>
  <c r="AD252" i="1" s="1"/>
  <c r="AE251" i="1" s="1"/>
  <c r="AF250" i="1" s="1"/>
  <c r="AG249" i="1" s="1"/>
  <c r="S264" i="1"/>
  <c r="T263" i="1" s="1"/>
  <c r="U262" i="1" s="1"/>
  <c r="V261" i="1" s="1"/>
  <c r="W260" i="1" s="1"/>
  <c r="X259" i="1" s="1"/>
  <c r="Y258" i="1" s="1"/>
  <c r="Z257" i="1" s="1"/>
  <c r="AA256" i="1" s="1"/>
  <c r="AB255" i="1" s="1"/>
  <c r="AC254" i="1" s="1"/>
  <c r="AD253" i="1" s="1"/>
  <c r="AE252" i="1" s="1"/>
  <c r="AF251" i="1" s="1"/>
  <c r="AG250" i="1" s="1"/>
  <c r="S265" i="1"/>
  <c r="T264" i="1" s="1"/>
  <c r="U263" i="1" s="1"/>
  <c r="V262" i="1" s="1"/>
  <c r="W261" i="1" s="1"/>
  <c r="X260" i="1" s="1"/>
  <c r="Y259" i="1" s="1"/>
  <c r="Z258" i="1" s="1"/>
  <c r="AA257" i="1" s="1"/>
  <c r="AB256" i="1" s="1"/>
  <c r="AC255" i="1" s="1"/>
  <c r="AD254" i="1" s="1"/>
  <c r="AE253" i="1" s="1"/>
  <c r="AF252" i="1" s="1"/>
  <c r="AG251" i="1" s="1"/>
  <c r="S266" i="1"/>
  <c r="T265" i="1" s="1"/>
  <c r="U264" i="1" s="1"/>
  <c r="V263" i="1" s="1"/>
  <c r="W262" i="1" s="1"/>
  <c r="X261" i="1" s="1"/>
  <c r="Y260" i="1" s="1"/>
  <c r="Z259" i="1" s="1"/>
  <c r="AA258" i="1" s="1"/>
  <c r="AB257" i="1" s="1"/>
  <c r="AC256" i="1" s="1"/>
  <c r="AD255" i="1" s="1"/>
  <c r="AE254" i="1" s="1"/>
  <c r="AF253" i="1" s="1"/>
  <c r="AG252" i="1" s="1"/>
  <c r="S267" i="1"/>
  <c r="T266" i="1" s="1"/>
  <c r="U265" i="1" s="1"/>
  <c r="V264" i="1" s="1"/>
  <c r="W263" i="1" s="1"/>
  <c r="X262" i="1" s="1"/>
  <c r="Y261" i="1" s="1"/>
  <c r="Z260" i="1" s="1"/>
  <c r="AA259" i="1" s="1"/>
  <c r="AB258" i="1" s="1"/>
  <c r="AC257" i="1" s="1"/>
  <c r="AD256" i="1" s="1"/>
  <c r="AE255" i="1" s="1"/>
  <c r="AF254" i="1" s="1"/>
  <c r="AG253" i="1" s="1"/>
  <c r="S268" i="1"/>
  <c r="T267" i="1" s="1"/>
  <c r="U266" i="1" s="1"/>
  <c r="V265" i="1" s="1"/>
  <c r="W264" i="1" s="1"/>
  <c r="X263" i="1" s="1"/>
  <c r="Y262" i="1" s="1"/>
  <c r="Z261" i="1" s="1"/>
  <c r="AA260" i="1" s="1"/>
  <c r="AB259" i="1" s="1"/>
  <c r="AC258" i="1" s="1"/>
  <c r="AD257" i="1" s="1"/>
  <c r="AE256" i="1" s="1"/>
  <c r="AF255" i="1" s="1"/>
  <c r="AG254" i="1" s="1"/>
  <c r="S269" i="1"/>
  <c r="T268" i="1" s="1"/>
  <c r="U267" i="1" s="1"/>
  <c r="V266" i="1" s="1"/>
  <c r="W265" i="1" s="1"/>
  <c r="X264" i="1" s="1"/>
  <c r="Y263" i="1" s="1"/>
  <c r="Z262" i="1" s="1"/>
  <c r="AA261" i="1" s="1"/>
  <c r="AB260" i="1" s="1"/>
  <c r="AC259" i="1" s="1"/>
  <c r="AD258" i="1" s="1"/>
  <c r="AE257" i="1" s="1"/>
  <c r="AF256" i="1" s="1"/>
  <c r="AG255" i="1" s="1"/>
  <c r="S270" i="1"/>
  <c r="T269" i="1" s="1"/>
  <c r="U268" i="1" s="1"/>
  <c r="V267" i="1" s="1"/>
  <c r="W266" i="1" s="1"/>
  <c r="X265" i="1" s="1"/>
  <c r="Y264" i="1" s="1"/>
  <c r="Z263" i="1" s="1"/>
  <c r="AA262" i="1" s="1"/>
  <c r="AB261" i="1" s="1"/>
  <c r="AC260" i="1" s="1"/>
  <c r="AD259" i="1" s="1"/>
  <c r="AE258" i="1" s="1"/>
  <c r="AF257" i="1" s="1"/>
  <c r="AG256" i="1" s="1"/>
  <c r="S271" i="1"/>
  <c r="T270" i="1" s="1"/>
  <c r="U269" i="1" s="1"/>
  <c r="V268" i="1" s="1"/>
  <c r="W267" i="1" s="1"/>
  <c r="X266" i="1" s="1"/>
  <c r="Y265" i="1" s="1"/>
  <c r="Z264" i="1" s="1"/>
  <c r="AA263" i="1" s="1"/>
  <c r="AB262" i="1" s="1"/>
  <c r="AC261" i="1" s="1"/>
  <c r="AD260" i="1" s="1"/>
  <c r="AE259" i="1" s="1"/>
  <c r="AF258" i="1" s="1"/>
  <c r="AG257" i="1" s="1"/>
  <c r="S272" i="1"/>
  <c r="T271" i="1" s="1"/>
  <c r="U270" i="1" s="1"/>
  <c r="V269" i="1" s="1"/>
  <c r="W268" i="1" s="1"/>
  <c r="X267" i="1" s="1"/>
  <c r="Y266" i="1" s="1"/>
  <c r="Z265" i="1" s="1"/>
  <c r="AA264" i="1" s="1"/>
  <c r="AB263" i="1" s="1"/>
  <c r="AC262" i="1" s="1"/>
  <c r="AD261" i="1" s="1"/>
  <c r="AE260" i="1" s="1"/>
  <c r="AF259" i="1" s="1"/>
  <c r="AG258" i="1" s="1"/>
  <c r="S273" i="1"/>
  <c r="T272" i="1" s="1"/>
  <c r="U271" i="1" s="1"/>
  <c r="V270" i="1" s="1"/>
  <c r="W269" i="1" s="1"/>
  <c r="X268" i="1" s="1"/>
  <c r="Y267" i="1" s="1"/>
  <c r="Z266" i="1" s="1"/>
  <c r="AA265" i="1" s="1"/>
  <c r="AB264" i="1" s="1"/>
  <c r="AC263" i="1" s="1"/>
  <c r="AD262" i="1" s="1"/>
  <c r="AE261" i="1" s="1"/>
  <c r="AF260" i="1" s="1"/>
  <c r="AG259" i="1" s="1"/>
  <c r="S274" i="1"/>
  <c r="T273" i="1" s="1"/>
  <c r="U272" i="1" s="1"/>
  <c r="V271" i="1" s="1"/>
  <c r="W270" i="1" s="1"/>
  <c r="X269" i="1" s="1"/>
  <c r="Y268" i="1" s="1"/>
  <c r="Z267" i="1" s="1"/>
  <c r="AA266" i="1" s="1"/>
  <c r="AB265" i="1" s="1"/>
  <c r="AC264" i="1" s="1"/>
  <c r="AD263" i="1" s="1"/>
  <c r="AE262" i="1" s="1"/>
  <c r="AF261" i="1" s="1"/>
  <c r="AG260" i="1" s="1"/>
  <c r="S275" i="1"/>
  <c r="T274" i="1" s="1"/>
  <c r="U273" i="1" s="1"/>
  <c r="V272" i="1" s="1"/>
  <c r="W271" i="1" s="1"/>
  <c r="X270" i="1" s="1"/>
  <c r="Y269" i="1" s="1"/>
  <c r="Z268" i="1" s="1"/>
  <c r="AA267" i="1" s="1"/>
  <c r="AB266" i="1" s="1"/>
  <c r="AC265" i="1" s="1"/>
  <c r="AD264" i="1" s="1"/>
  <c r="AE263" i="1" s="1"/>
  <c r="AF262" i="1" s="1"/>
  <c r="AG261" i="1" s="1"/>
  <c r="S276" i="1"/>
  <c r="T275" i="1" s="1"/>
  <c r="U274" i="1" s="1"/>
  <c r="V273" i="1" s="1"/>
  <c r="W272" i="1" s="1"/>
  <c r="X271" i="1" s="1"/>
  <c r="Y270" i="1" s="1"/>
  <c r="Z269" i="1" s="1"/>
  <c r="AA268" i="1" s="1"/>
  <c r="AB267" i="1" s="1"/>
  <c r="AC266" i="1" s="1"/>
  <c r="AD265" i="1" s="1"/>
  <c r="AE264" i="1" s="1"/>
  <c r="AF263" i="1" s="1"/>
  <c r="AG262" i="1" s="1"/>
  <c r="S277" i="1"/>
  <c r="T276" i="1" s="1"/>
  <c r="U275" i="1" s="1"/>
  <c r="V274" i="1" s="1"/>
  <c r="W273" i="1" s="1"/>
  <c r="X272" i="1" s="1"/>
  <c r="Y271" i="1" s="1"/>
  <c r="Z270" i="1" s="1"/>
  <c r="AA269" i="1" s="1"/>
  <c r="AB268" i="1" s="1"/>
  <c r="AC267" i="1" s="1"/>
  <c r="AD266" i="1" s="1"/>
  <c r="AE265" i="1" s="1"/>
  <c r="AF264" i="1" s="1"/>
  <c r="AG263" i="1" s="1"/>
  <c r="S278" i="1"/>
  <c r="T277" i="1" s="1"/>
  <c r="U276" i="1" s="1"/>
  <c r="V275" i="1" s="1"/>
  <c r="W274" i="1" s="1"/>
  <c r="X273" i="1" s="1"/>
  <c r="Y272" i="1" s="1"/>
  <c r="Z271" i="1" s="1"/>
  <c r="AA270" i="1" s="1"/>
  <c r="AB269" i="1" s="1"/>
  <c r="AC268" i="1" s="1"/>
  <c r="AD267" i="1" s="1"/>
  <c r="AE266" i="1" s="1"/>
  <c r="AF265" i="1" s="1"/>
  <c r="AG264" i="1" s="1"/>
  <c r="S279" i="1"/>
  <c r="T278" i="1" s="1"/>
  <c r="U277" i="1" s="1"/>
  <c r="V276" i="1" s="1"/>
  <c r="W275" i="1" s="1"/>
  <c r="X274" i="1" s="1"/>
  <c r="Y273" i="1" s="1"/>
  <c r="Z272" i="1" s="1"/>
  <c r="AA271" i="1" s="1"/>
  <c r="AB270" i="1" s="1"/>
  <c r="AC269" i="1" s="1"/>
  <c r="AD268" i="1" s="1"/>
  <c r="AE267" i="1" s="1"/>
  <c r="AF266" i="1" s="1"/>
  <c r="AG265" i="1" s="1"/>
  <c r="S280" i="1"/>
  <c r="T279" i="1" s="1"/>
  <c r="U278" i="1" s="1"/>
  <c r="V277" i="1" s="1"/>
  <c r="W276" i="1" s="1"/>
  <c r="X275" i="1" s="1"/>
  <c r="Y274" i="1" s="1"/>
  <c r="Z273" i="1" s="1"/>
  <c r="AA272" i="1" s="1"/>
  <c r="AB271" i="1" s="1"/>
  <c r="AC270" i="1" s="1"/>
  <c r="AD269" i="1" s="1"/>
  <c r="AE268" i="1" s="1"/>
  <c r="AF267" i="1" s="1"/>
  <c r="AG266" i="1" s="1"/>
  <c r="S281" i="1"/>
  <c r="T280" i="1" s="1"/>
  <c r="U279" i="1" s="1"/>
  <c r="V278" i="1" s="1"/>
  <c r="W277" i="1" s="1"/>
  <c r="X276" i="1" s="1"/>
  <c r="Y275" i="1" s="1"/>
  <c r="Z274" i="1" s="1"/>
  <c r="AA273" i="1" s="1"/>
  <c r="AB272" i="1" s="1"/>
  <c r="AC271" i="1" s="1"/>
  <c r="AD270" i="1" s="1"/>
  <c r="AE269" i="1" s="1"/>
  <c r="AF268" i="1" s="1"/>
  <c r="AG267" i="1" s="1"/>
  <c r="S282" i="1"/>
  <c r="T281" i="1" s="1"/>
  <c r="U280" i="1" s="1"/>
  <c r="V279" i="1" s="1"/>
  <c r="W278" i="1" s="1"/>
  <c r="X277" i="1" s="1"/>
  <c r="Y276" i="1" s="1"/>
  <c r="Z275" i="1" s="1"/>
  <c r="AA274" i="1" s="1"/>
  <c r="AB273" i="1" s="1"/>
  <c r="AC272" i="1" s="1"/>
  <c r="AD271" i="1" s="1"/>
  <c r="AE270" i="1" s="1"/>
  <c r="AF269" i="1" s="1"/>
  <c r="AG268" i="1" s="1"/>
  <c r="S283" i="1"/>
  <c r="T282" i="1" s="1"/>
  <c r="U281" i="1" s="1"/>
  <c r="V280" i="1" s="1"/>
  <c r="W279" i="1" s="1"/>
  <c r="X278" i="1" s="1"/>
  <c r="Y277" i="1" s="1"/>
  <c r="Z276" i="1" s="1"/>
  <c r="AA275" i="1" s="1"/>
  <c r="AB274" i="1" s="1"/>
  <c r="AC273" i="1" s="1"/>
  <c r="AD272" i="1" s="1"/>
  <c r="AE271" i="1" s="1"/>
  <c r="AF270" i="1" s="1"/>
  <c r="AG269" i="1" s="1"/>
  <c r="S284" i="1"/>
  <c r="T283" i="1" s="1"/>
  <c r="U282" i="1" s="1"/>
  <c r="V281" i="1" s="1"/>
  <c r="W280" i="1" s="1"/>
  <c r="X279" i="1" s="1"/>
  <c r="Y278" i="1" s="1"/>
  <c r="Z277" i="1" s="1"/>
  <c r="AA276" i="1" s="1"/>
  <c r="AB275" i="1" s="1"/>
  <c r="AC274" i="1" s="1"/>
  <c r="AD273" i="1" s="1"/>
  <c r="AE272" i="1" s="1"/>
  <c r="AF271" i="1" s="1"/>
  <c r="AG270" i="1" s="1"/>
  <c r="S285" i="1"/>
  <c r="T284" i="1" s="1"/>
  <c r="U283" i="1" s="1"/>
  <c r="V282" i="1" s="1"/>
  <c r="W281" i="1" s="1"/>
  <c r="X280" i="1" s="1"/>
  <c r="Y279" i="1" s="1"/>
  <c r="Z278" i="1" s="1"/>
  <c r="AA277" i="1" s="1"/>
  <c r="AB276" i="1" s="1"/>
  <c r="AC275" i="1" s="1"/>
  <c r="AD274" i="1" s="1"/>
  <c r="AE273" i="1" s="1"/>
  <c r="AF272" i="1" s="1"/>
  <c r="AG271" i="1" s="1"/>
  <c r="S286" i="1"/>
  <c r="T285" i="1" s="1"/>
  <c r="U284" i="1" s="1"/>
  <c r="V283" i="1" s="1"/>
  <c r="W282" i="1" s="1"/>
  <c r="X281" i="1" s="1"/>
  <c r="Y280" i="1" s="1"/>
  <c r="Z279" i="1" s="1"/>
  <c r="AA278" i="1" s="1"/>
  <c r="AB277" i="1" s="1"/>
  <c r="AC276" i="1" s="1"/>
  <c r="AD275" i="1" s="1"/>
  <c r="AE274" i="1" s="1"/>
  <c r="AF273" i="1" s="1"/>
  <c r="AG272" i="1" s="1"/>
  <c r="S287" i="1"/>
  <c r="T286" i="1" s="1"/>
  <c r="U285" i="1" s="1"/>
  <c r="V284" i="1" s="1"/>
  <c r="W283" i="1" s="1"/>
  <c r="X282" i="1" s="1"/>
  <c r="Y281" i="1" s="1"/>
  <c r="Z280" i="1" s="1"/>
  <c r="AA279" i="1" s="1"/>
  <c r="AB278" i="1" s="1"/>
  <c r="AC277" i="1" s="1"/>
  <c r="AD276" i="1" s="1"/>
  <c r="AE275" i="1" s="1"/>
  <c r="AF274" i="1" s="1"/>
  <c r="AG273" i="1" s="1"/>
  <c r="S288" i="1"/>
  <c r="T287" i="1" s="1"/>
  <c r="U286" i="1" s="1"/>
  <c r="V285" i="1" s="1"/>
  <c r="W284" i="1" s="1"/>
  <c r="X283" i="1" s="1"/>
  <c r="Y282" i="1" s="1"/>
  <c r="Z281" i="1" s="1"/>
  <c r="AA280" i="1" s="1"/>
  <c r="AB279" i="1" s="1"/>
  <c r="AC278" i="1" s="1"/>
  <c r="AD277" i="1" s="1"/>
  <c r="AE276" i="1" s="1"/>
  <c r="AF275" i="1" s="1"/>
  <c r="AG274" i="1" s="1"/>
  <c r="S289" i="1"/>
  <c r="T288" i="1" s="1"/>
  <c r="U287" i="1" s="1"/>
  <c r="V286" i="1" s="1"/>
  <c r="W285" i="1" s="1"/>
  <c r="X284" i="1" s="1"/>
  <c r="Y283" i="1" s="1"/>
  <c r="Z282" i="1" s="1"/>
  <c r="AA281" i="1" s="1"/>
  <c r="AB280" i="1" s="1"/>
  <c r="AC279" i="1" s="1"/>
  <c r="AD278" i="1" s="1"/>
  <c r="AE277" i="1" s="1"/>
  <c r="AF276" i="1" s="1"/>
  <c r="AG275" i="1" s="1"/>
  <c r="S290" i="1"/>
  <c r="T289" i="1" s="1"/>
  <c r="U288" i="1" s="1"/>
  <c r="V287" i="1" s="1"/>
  <c r="W286" i="1" s="1"/>
  <c r="X285" i="1" s="1"/>
  <c r="Y284" i="1" s="1"/>
  <c r="Z283" i="1" s="1"/>
  <c r="AA282" i="1" s="1"/>
  <c r="AB281" i="1" s="1"/>
  <c r="AC280" i="1" s="1"/>
  <c r="AD279" i="1" s="1"/>
  <c r="AE278" i="1" s="1"/>
  <c r="AF277" i="1" s="1"/>
  <c r="AG276" i="1" s="1"/>
  <c r="S291" i="1"/>
  <c r="T290" i="1" s="1"/>
  <c r="U289" i="1" s="1"/>
  <c r="V288" i="1" s="1"/>
  <c r="W287" i="1" s="1"/>
  <c r="X286" i="1" s="1"/>
  <c r="Y285" i="1" s="1"/>
  <c r="Z284" i="1" s="1"/>
  <c r="AA283" i="1" s="1"/>
  <c r="AB282" i="1" s="1"/>
  <c r="AC281" i="1" s="1"/>
  <c r="AD280" i="1" s="1"/>
  <c r="AE279" i="1" s="1"/>
  <c r="AF278" i="1" s="1"/>
  <c r="AG277" i="1" s="1"/>
  <c r="S292" i="1"/>
  <c r="T291" i="1" s="1"/>
  <c r="U290" i="1" s="1"/>
  <c r="V289" i="1" s="1"/>
  <c r="W288" i="1" s="1"/>
  <c r="X287" i="1" s="1"/>
  <c r="Y286" i="1" s="1"/>
  <c r="Z285" i="1" s="1"/>
  <c r="AA284" i="1" s="1"/>
  <c r="AB283" i="1" s="1"/>
  <c r="AC282" i="1" s="1"/>
  <c r="AD281" i="1" s="1"/>
  <c r="AE280" i="1" s="1"/>
  <c r="AF279" i="1" s="1"/>
  <c r="AG278" i="1" s="1"/>
  <c r="S293" i="1"/>
  <c r="T292" i="1" s="1"/>
  <c r="U291" i="1" s="1"/>
  <c r="V290" i="1" s="1"/>
  <c r="W289" i="1" s="1"/>
  <c r="X288" i="1" s="1"/>
  <c r="Y287" i="1" s="1"/>
  <c r="Z286" i="1" s="1"/>
  <c r="AA285" i="1" s="1"/>
  <c r="AB284" i="1" s="1"/>
  <c r="AC283" i="1" s="1"/>
  <c r="AD282" i="1" s="1"/>
  <c r="AE281" i="1" s="1"/>
  <c r="AF280" i="1" s="1"/>
  <c r="AG279" i="1" s="1"/>
  <c r="S294" i="1"/>
  <c r="T293" i="1" s="1"/>
  <c r="U292" i="1" s="1"/>
  <c r="V291" i="1" s="1"/>
  <c r="W290" i="1" s="1"/>
  <c r="X289" i="1" s="1"/>
  <c r="Y288" i="1" s="1"/>
  <c r="Z287" i="1" s="1"/>
  <c r="AA286" i="1" s="1"/>
  <c r="AB285" i="1" s="1"/>
  <c r="AC284" i="1" s="1"/>
  <c r="AD283" i="1" s="1"/>
  <c r="AE282" i="1" s="1"/>
  <c r="AF281" i="1" s="1"/>
  <c r="AG280" i="1" s="1"/>
  <c r="S295" i="1"/>
  <c r="T294" i="1" s="1"/>
  <c r="U293" i="1" s="1"/>
  <c r="V292" i="1" s="1"/>
  <c r="W291" i="1" s="1"/>
  <c r="X290" i="1" s="1"/>
  <c r="Y289" i="1" s="1"/>
  <c r="Z288" i="1" s="1"/>
  <c r="AA287" i="1" s="1"/>
  <c r="AB286" i="1" s="1"/>
  <c r="AC285" i="1" s="1"/>
  <c r="AD284" i="1" s="1"/>
  <c r="AE283" i="1" s="1"/>
  <c r="AF282" i="1" s="1"/>
  <c r="AG281" i="1" s="1"/>
  <c r="S296" i="1"/>
  <c r="T295" i="1" s="1"/>
  <c r="U294" i="1" s="1"/>
  <c r="V293" i="1" s="1"/>
  <c r="W292" i="1" s="1"/>
  <c r="X291" i="1" s="1"/>
  <c r="Y290" i="1" s="1"/>
  <c r="Z289" i="1" s="1"/>
  <c r="AA288" i="1" s="1"/>
  <c r="AB287" i="1" s="1"/>
  <c r="AC286" i="1" s="1"/>
  <c r="AD285" i="1" s="1"/>
  <c r="AE284" i="1" s="1"/>
  <c r="AF283" i="1" s="1"/>
  <c r="AG282" i="1" s="1"/>
  <c r="S297" i="1"/>
  <c r="T296" i="1" s="1"/>
  <c r="U295" i="1" s="1"/>
  <c r="V294" i="1" s="1"/>
  <c r="W293" i="1" s="1"/>
  <c r="X292" i="1" s="1"/>
  <c r="Y291" i="1" s="1"/>
  <c r="Z290" i="1" s="1"/>
  <c r="AA289" i="1" s="1"/>
  <c r="AB288" i="1" s="1"/>
  <c r="AC287" i="1" s="1"/>
  <c r="AD286" i="1" s="1"/>
  <c r="AE285" i="1" s="1"/>
  <c r="AF284" i="1" s="1"/>
  <c r="AG283" i="1" s="1"/>
  <c r="S298" i="1"/>
  <c r="T297" i="1" s="1"/>
  <c r="U296" i="1" s="1"/>
  <c r="V295" i="1" s="1"/>
  <c r="W294" i="1" s="1"/>
  <c r="X293" i="1" s="1"/>
  <c r="Y292" i="1" s="1"/>
  <c r="Z291" i="1" s="1"/>
  <c r="AA290" i="1" s="1"/>
  <c r="AB289" i="1" s="1"/>
  <c r="AC288" i="1" s="1"/>
  <c r="AD287" i="1" s="1"/>
  <c r="AE286" i="1" s="1"/>
  <c r="AF285" i="1" s="1"/>
  <c r="AG284" i="1" s="1"/>
  <c r="S299" i="1"/>
  <c r="T298" i="1" s="1"/>
  <c r="U297" i="1" s="1"/>
  <c r="V296" i="1" s="1"/>
  <c r="W295" i="1" s="1"/>
  <c r="X294" i="1" s="1"/>
  <c r="Y293" i="1" s="1"/>
  <c r="Z292" i="1" s="1"/>
  <c r="AA291" i="1" s="1"/>
  <c r="AB290" i="1" s="1"/>
  <c r="AC289" i="1" s="1"/>
  <c r="AD288" i="1" s="1"/>
  <c r="AE287" i="1" s="1"/>
  <c r="AF286" i="1" s="1"/>
  <c r="AG285" i="1" s="1"/>
  <c r="S300" i="1"/>
  <c r="T299" i="1" s="1"/>
  <c r="U298" i="1" s="1"/>
  <c r="V297" i="1" s="1"/>
  <c r="W296" i="1" s="1"/>
  <c r="X295" i="1" s="1"/>
  <c r="Y294" i="1" s="1"/>
  <c r="Z293" i="1" s="1"/>
  <c r="AA292" i="1" s="1"/>
  <c r="AB291" i="1" s="1"/>
  <c r="AC290" i="1" s="1"/>
  <c r="AD289" i="1" s="1"/>
  <c r="AE288" i="1" s="1"/>
  <c r="AF287" i="1" s="1"/>
  <c r="AG286" i="1" s="1"/>
  <c r="S301" i="1"/>
  <c r="T300" i="1" s="1"/>
  <c r="U299" i="1" s="1"/>
  <c r="V298" i="1" s="1"/>
  <c r="W297" i="1" s="1"/>
  <c r="X296" i="1" s="1"/>
  <c r="Y295" i="1" s="1"/>
  <c r="Z294" i="1" s="1"/>
  <c r="AA293" i="1" s="1"/>
  <c r="AB292" i="1" s="1"/>
  <c r="AC291" i="1" s="1"/>
  <c r="AD290" i="1" s="1"/>
  <c r="AE289" i="1" s="1"/>
  <c r="AF288" i="1" s="1"/>
  <c r="AG287" i="1" s="1"/>
  <c r="S302" i="1"/>
  <c r="T301" i="1" s="1"/>
  <c r="U300" i="1" s="1"/>
  <c r="V299" i="1" s="1"/>
  <c r="W298" i="1" s="1"/>
  <c r="X297" i="1" s="1"/>
  <c r="Y296" i="1" s="1"/>
  <c r="Z295" i="1" s="1"/>
  <c r="AA294" i="1" s="1"/>
  <c r="AB293" i="1" s="1"/>
  <c r="AC292" i="1" s="1"/>
  <c r="AD291" i="1" s="1"/>
  <c r="AE290" i="1" s="1"/>
  <c r="AF289" i="1" s="1"/>
  <c r="AG288" i="1" s="1"/>
  <c r="S5" i="1"/>
  <c r="T4" i="1" s="1"/>
  <c r="U303" i="1" s="1"/>
  <c r="V302" i="1" s="1"/>
  <c r="W301" i="1" s="1"/>
  <c r="X300" i="1" s="1"/>
  <c r="Y299" i="1" s="1"/>
  <c r="Z298" i="1" s="1"/>
  <c r="AA297" i="1" s="1"/>
  <c r="AB296" i="1" s="1"/>
  <c r="AC295" i="1" s="1"/>
  <c r="AD294" i="1" s="1"/>
  <c r="AE293" i="1" s="1"/>
  <c r="AF292" i="1" s="1"/>
  <c r="AG291" i="1" s="1"/>
  <c r="S4" i="1"/>
  <c r="T303" i="1" s="1"/>
  <c r="U302" i="1" s="1"/>
  <c r="V301" i="1" s="1"/>
  <c r="W300" i="1" s="1"/>
  <c r="X299" i="1" s="1"/>
  <c r="Y298" i="1" s="1"/>
  <c r="Z297" i="1" s="1"/>
  <c r="AA296" i="1" s="1"/>
  <c r="AB295" i="1" s="1"/>
  <c r="AC294" i="1" s="1"/>
  <c r="AD293" i="1" s="1"/>
  <c r="AE292" i="1" s="1"/>
  <c r="AF291" i="1" s="1"/>
  <c r="AG290" i="1" s="1"/>
  <c r="P5" i="16"/>
  <c r="P6" i="16"/>
  <c r="P7" i="16"/>
  <c r="P4" i="16"/>
  <c r="G4" i="16"/>
  <c r="B8" i="16" s="1"/>
  <c r="G3" i="16"/>
  <c r="P5" i="15"/>
  <c r="P6" i="15"/>
  <c r="P7" i="15"/>
  <c r="P4" i="15"/>
  <c r="G4" i="15"/>
  <c r="B21" i="15" s="1"/>
  <c r="G3" i="15"/>
  <c r="P5" i="14"/>
  <c r="P6" i="14"/>
  <c r="P7" i="14"/>
  <c r="P4" i="14"/>
  <c r="G4" i="14"/>
  <c r="B51" i="14" s="1"/>
  <c r="G3" i="14"/>
  <c r="B3" i="14"/>
  <c r="P5" i="13"/>
  <c r="P6" i="13"/>
  <c r="P7" i="13"/>
  <c r="P4" i="13"/>
  <c r="G3" i="13"/>
  <c r="G2" i="13" s="1"/>
  <c r="G4" i="13" s="1"/>
  <c r="P5" i="12"/>
  <c r="P6" i="12"/>
  <c r="P7" i="12"/>
  <c r="P4" i="12"/>
  <c r="G3" i="12"/>
  <c r="G2" i="12" s="1"/>
  <c r="G3" i="11"/>
  <c r="G2" i="11" s="1"/>
  <c r="C39" i="10"/>
  <c r="C8" i="10"/>
  <c r="C2" i="10" s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1" i="9"/>
  <c r="U39" i="10"/>
  <c r="A1" i="9" a="1"/>
  <c r="A1" i="9" s="1"/>
  <c r="D1" i="9" s="1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C39" i="8"/>
  <c r="C9" i="8"/>
  <c r="C8" i="8"/>
  <c r="C2" i="8" s="1"/>
  <c r="S303" i="1"/>
  <c r="T302" i="1" s="1"/>
  <c r="U301" i="1" s="1"/>
  <c r="V300" i="1" s="1"/>
  <c r="W299" i="1" s="1"/>
  <c r="X298" i="1" s="1"/>
  <c r="Y297" i="1" s="1"/>
  <c r="Z296" i="1" s="1"/>
  <c r="AA295" i="1" s="1"/>
  <c r="AB294" i="1" s="1"/>
  <c r="AC293" i="1" s="1"/>
  <c r="AD292" i="1" s="1"/>
  <c r="AE291" i="1" s="1"/>
  <c r="AF290" i="1" s="1"/>
  <c r="AG289" i="1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4" i="1"/>
  <c r="G3" i="7"/>
  <c r="G2" i="7" s="1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G3" i="6"/>
  <c r="G2" i="6" s="1"/>
  <c r="G2" i="5"/>
  <c r="G4" i="5"/>
  <c r="B51" i="5" s="1"/>
  <c r="G3" i="5"/>
  <c r="G4" i="4"/>
  <c r="B21" i="4" s="1"/>
  <c r="G3" i="4"/>
  <c r="G5" i="3"/>
  <c r="G4" i="3"/>
  <c r="B7" i="3" s="1"/>
  <c r="G3" i="3"/>
  <c r="M9" i="2"/>
  <c r="M8" i="2"/>
  <c r="I9" i="2"/>
  <c r="I8" i="2"/>
  <c r="K9" i="2"/>
  <c r="K10" i="2"/>
  <c r="K8" i="2"/>
  <c r="G9" i="2"/>
  <c r="G10" i="2"/>
  <c r="M10" i="2" s="1"/>
  <c r="G8" i="2"/>
  <c r="G4" i="2"/>
  <c r="B5" i="2" s="1"/>
  <c r="G3" i="2"/>
  <c r="E8" i="8" l="1"/>
  <c r="E9" i="8" s="1"/>
  <c r="C3" i="8"/>
  <c r="D2" i="8" s="1"/>
  <c r="T1" i="1"/>
  <c r="U13" i="1"/>
  <c r="V12" i="1" s="1"/>
  <c r="W11" i="1" s="1"/>
  <c r="X10" i="1" s="1"/>
  <c r="Y9" i="1" s="1"/>
  <c r="Z8" i="1" s="1"/>
  <c r="AA7" i="1" s="1"/>
  <c r="AB6" i="1" s="1"/>
  <c r="AC5" i="1" s="1"/>
  <c r="AD4" i="1" s="1"/>
  <c r="AE303" i="1" s="1"/>
  <c r="AF302" i="1" s="1"/>
  <c r="AG301" i="1" s="1"/>
  <c r="S1" i="1"/>
  <c r="AG303" i="17"/>
  <c r="AB303" i="17"/>
  <c r="AC302" i="17" s="1"/>
  <c r="AD301" i="17" s="1"/>
  <c r="AE300" i="17" s="1"/>
  <c r="AF299" i="17" s="1"/>
  <c r="AG298" i="17" s="1"/>
  <c r="W303" i="17"/>
  <c r="X302" i="17" s="1"/>
  <c r="Y301" i="17" s="1"/>
  <c r="Z300" i="17" s="1"/>
  <c r="AA299" i="17" s="1"/>
  <c r="AB298" i="17" s="1"/>
  <c r="AC297" i="17" s="1"/>
  <c r="AD296" i="17" s="1"/>
  <c r="AE295" i="17" s="1"/>
  <c r="AF294" i="17" s="1"/>
  <c r="AG293" i="17" s="1"/>
  <c r="X303" i="17"/>
  <c r="Y302" i="17" s="1"/>
  <c r="Z301" i="17" s="1"/>
  <c r="AA300" i="17" s="1"/>
  <c r="AB299" i="17" s="1"/>
  <c r="AC298" i="17" s="1"/>
  <c r="AD297" i="17" s="1"/>
  <c r="AE296" i="17" s="1"/>
  <c r="AF295" i="17" s="1"/>
  <c r="AG294" i="17" s="1"/>
  <c r="AF303" i="17"/>
  <c r="AG302" i="17" s="1"/>
  <c r="AC303" i="17"/>
  <c r="AD302" i="17" s="1"/>
  <c r="AE301" i="17" s="1"/>
  <c r="AF300" i="17" s="1"/>
  <c r="AG299" i="17" s="1"/>
  <c r="AD4" i="17"/>
  <c r="Y303" i="17"/>
  <c r="Z302" i="17" s="1"/>
  <c r="AA301" i="17" s="1"/>
  <c r="AB300" i="17" s="1"/>
  <c r="AC299" i="17" s="1"/>
  <c r="AD298" i="17" s="1"/>
  <c r="AE297" i="17" s="1"/>
  <c r="AF296" i="17" s="1"/>
  <c r="AG295" i="17" s="1"/>
  <c r="Z303" i="17"/>
  <c r="AA302" i="17" s="1"/>
  <c r="AB301" i="17" s="1"/>
  <c r="AC300" i="17" s="1"/>
  <c r="AD299" i="17" s="1"/>
  <c r="AE298" i="17" s="1"/>
  <c r="AF297" i="17" s="1"/>
  <c r="AG296" i="17" s="1"/>
  <c r="AA303" i="17"/>
  <c r="AB302" i="17" s="1"/>
  <c r="AC301" i="17" s="1"/>
  <c r="AD300" i="17" s="1"/>
  <c r="AE299" i="17" s="1"/>
  <c r="AF298" i="17" s="1"/>
  <c r="AG297" i="17" s="1"/>
  <c r="V303" i="17"/>
  <c r="W302" i="17" s="1"/>
  <c r="X301" i="17" s="1"/>
  <c r="Y300" i="17" s="1"/>
  <c r="Z299" i="17" s="1"/>
  <c r="AA298" i="17" s="1"/>
  <c r="AB297" i="17" s="1"/>
  <c r="AC296" i="17" s="1"/>
  <c r="AD295" i="17" s="1"/>
  <c r="AE294" i="17" s="1"/>
  <c r="AF293" i="17" s="1"/>
  <c r="AG292" i="17" s="1"/>
  <c r="U1" i="17"/>
  <c r="S1" i="17"/>
  <c r="T1" i="17"/>
  <c r="U1" i="1"/>
  <c r="V1" i="1"/>
  <c r="B9" i="16"/>
  <c r="B6" i="16"/>
  <c r="K9" i="16"/>
  <c r="B2" i="16"/>
  <c r="K10" i="16"/>
  <c r="B7" i="16"/>
  <c r="B3" i="16"/>
  <c r="B5" i="16"/>
  <c r="B11" i="16"/>
  <c r="K8" i="16"/>
  <c r="B10" i="16"/>
  <c r="B4" i="16"/>
  <c r="B2" i="15"/>
  <c r="B3" i="15"/>
  <c r="B7" i="15"/>
  <c r="K10" i="15"/>
  <c r="K8" i="15"/>
  <c r="B6" i="15"/>
  <c r="K9" i="15"/>
  <c r="B19" i="15"/>
  <c r="B11" i="15"/>
  <c r="B8" i="15"/>
  <c r="B13" i="15"/>
  <c r="B16" i="15"/>
  <c r="B17" i="15"/>
  <c r="B18" i="15"/>
  <c r="B20" i="15"/>
  <c r="B4" i="15"/>
  <c r="B12" i="15"/>
  <c r="B14" i="15"/>
  <c r="B5" i="15"/>
  <c r="B15" i="15"/>
  <c r="B9" i="15"/>
  <c r="B10" i="15"/>
  <c r="K10" i="14"/>
  <c r="B20" i="14"/>
  <c r="B21" i="14"/>
  <c r="B22" i="14"/>
  <c r="B23" i="14"/>
  <c r="B24" i="14"/>
  <c r="B25" i="14"/>
  <c r="B11" i="14"/>
  <c r="B41" i="14"/>
  <c r="B2" i="14"/>
  <c r="B26" i="14"/>
  <c r="B36" i="14"/>
  <c r="B37" i="14"/>
  <c r="B38" i="14"/>
  <c r="B39" i="14"/>
  <c r="B7" i="14"/>
  <c r="B40" i="14"/>
  <c r="B10" i="14"/>
  <c r="B42" i="14"/>
  <c r="O4" i="14"/>
  <c r="B29" i="14"/>
  <c r="B45" i="14"/>
  <c r="K8" i="14"/>
  <c r="B14" i="14"/>
  <c r="B30" i="14"/>
  <c r="B46" i="14"/>
  <c r="B8" i="14"/>
  <c r="B43" i="14"/>
  <c r="B13" i="14"/>
  <c r="B31" i="14"/>
  <c r="B16" i="14"/>
  <c r="B17" i="14"/>
  <c r="B33" i="14"/>
  <c r="B49" i="14"/>
  <c r="B4" i="14"/>
  <c r="B12" i="14"/>
  <c r="B27" i="14"/>
  <c r="B28" i="14"/>
  <c r="B15" i="14"/>
  <c r="B48" i="14"/>
  <c r="B18" i="14"/>
  <c r="B34" i="14"/>
  <c r="B50" i="14"/>
  <c r="B44" i="14"/>
  <c r="B5" i="14"/>
  <c r="B47" i="14"/>
  <c r="B9" i="14"/>
  <c r="B32" i="14"/>
  <c r="B6" i="14"/>
  <c r="K9" i="14"/>
  <c r="B19" i="14"/>
  <c r="B35" i="14"/>
  <c r="B101" i="13"/>
  <c r="B85" i="13"/>
  <c r="B69" i="13"/>
  <c r="B53" i="13"/>
  <c r="B37" i="13"/>
  <c r="B21" i="13"/>
  <c r="B10" i="13"/>
  <c r="B65" i="13"/>
  <c r="B33" i="13"/>
  <c r="B45" i="13"/>
  <c r="B76" i="13"/>
  <c r="B44" i="13"/>
  <c r="B59" i="13"/>
  <c r="B58" i="13"/>
  <c r="B73" i="13"/>
  <c r="B25" i="13"/>
  <c r="B40" i="13"/>
  <c r="B87" i="13"/>
  <c r="B7" i="13"/>
  <c r="B86" i="13"/>
  <c r="B38" i="13"/>
  <c r="B22" i="13"/>
  <c r="B100" i="13"/>
  <c r="B84" i="13"/>
  <c r="B68" i="13"/>
  <c r="B52" i="13"/>
  <c r="B36" i="13"/>
  <c r="B20" i="13"/>
  <c r="B49" i="13"/>
  <c r="B17" i="13"/>
  <c r="B61" i="13"/>
  <c r="O4" i="13"/>
  <c r="B60" i="13"/>
  <c r="B28" i="13"/>
  <c r="B43" i="13"/>
  <c r="B12" i="13"/>
  <c r="B42" i="13"/>
  <c r="B89" i="13"/>
  <c r="B41" i="13"/>
  <c r="B56" i="13"/>
  <c r="B71" i="13"/>
  <c r="B23" i="13"/>
  <c r="B2" i="13"/>
  <c r="B70" i="13"/>
  <c r="B99" i="13"/>
  <c r="B83" i="13"/>
  <c r="B67" i="13"/>
  <c r="B51" i="13"/>
  <c r="B35" i="13"/>
  <c r="B19" i="13"/>
  <c r="K9" i="13"/>
  <c r="B6" i="13"/>
  <c r="B81" i="13"/>
  <c r="B98" i="13"/>
  <c r="B82" i="13"/>
  <c r="B66" i="13"/>
  <c r="B50" i="13"/>
  <c r="B34" i="13"/>
  <c r="B18" i="13"/>
  <c r="B97" i="13"/>
  <c r="B96" i="13"/>
  <c r="B80" i="13"/>
  <c r="B64" i="13"/>
  <c r="B48" i="13"/>
  <c r="B32" i="13"/>
  <c r="B16" i="13"/>
  <c r="B9" i="13"/>
  <c r="B95" i="13"/>
  <c r="B79" i="13"/>
  <c r="B63" i="13"/>
  <c r="B47" i="13"/>
  <c r="B31" i="13"/>
  <c r="B15" i="13"/>
  <c r="B5" i="13"/>
  <c r="B93" i="13"/>
  <c r="B75" i="13"/>
  <c r="B27" i="13"/>
  <c r="B8" i="13"/>
  <c r="B90" i="13"/>
  <c r="B11" i="13"/>
  <c r="B57" i="13"/>
  <c r="B3" i="13"/>
  <c r="B88" i="13"/>
  <c r="K10" i="13"/>
  <c r="B55" i="13"/>
  <c r="B54" i="13"/>
  <c r="B94" i="13"/>
  <c r="B78" i="13"/>
  <c r="B62" i="13"/>
  <c r="B46" i="13"/>
  <c r="B30" i="13"/>
  <c r="B14" i="13"/>
  <c r="K8" i="13"/>
  <c r="B77" i="13"/>
  <c r="B29" i="13"/>
  <c r="B92" i="13"/>
  <c r="B13" i="13"/>
  <c r="B91" i="13"/>
  <c r="B4" i="13"/>
  <c r="B74" i="13"/>
  <c r="B26" i="13"/>
  <c r="B72" i="13"/>
  <c r="B24" i="13"/>
  <c r="B39" i="13"/>
  <c r="G4" i="12"/>
  <c r="O4" i="12" s="1"/>
  <c r="G4" i="11"/>
  <c r="D39" i="10"/>
  <c r="C9" i="10"/>
  <c r="E8" i="10" s="1"/>
  <c r="E9" i="10" s="1"/>
  <c r="C3" i="10" s="1"/>
  <c r="D2" i="10" s="1"/>
  <c r="D209" i="9"/>
  <c r="D129" i="9"/>
  <c r="D49" i="9"/>
  <c r="D256" i="9"/>
  <c r="D176" i="9"/>
  <c r="D80" i="9"/>
  <c r="D287" i="9"/>
  <c r="D223" i="9"/>
  <c r="D143" i="9"/>
  <c r="D63" i="9"/>
  <c r="D270" i="9"/>
  <c r="D94" i="9"/>
  <c r="D173" i="9"/>
  <c r="D92" i="9"/>
  <c r="D299" i="9"/>
  <c r="D283" i="9"/>
  <c r="D267" i="9"/>
  <c r="D251" i="9"/>
  <c r="D235" i="9"/>
  <c r="D219" i="9"/>
  <c r="D203" i="9"/>
  <c r="D187" i="9"/>
  <c r="D171" i="9"/>
  <c r="D155" i="9"/>
  <c r="D139" i="9"/>
  <c r="D123" i="9"/>
  <c r="D107" i="9"/>
  <c r="D91" i="9"/>
  <c r="D75" i="9"/>
  <c r="D59" i="9"/>
  <c r="D43" i="9"/>
  <c r="D27" i="9"/>
  <c r="D11" i="9"/>
  <c r="D237" i="9"/>
  <c r="D125" i="9"/>
  <c r="D13" i="9"/>
  <c r="D236" i="9"/>
  <c r="D172" i="9"/>
  <c r="D76" i="9"/>
  <c r="D298" i="9"/>
  <c r="D74" i="9"/>
  <c r="D297" i="9"/>
  <c r="D217" i="9"/>
  <c r="D73" i="9"/>
  <c r="D296" i="9"/>
  <c r="D72" i="9"/>
  <c r="D247" i="9"/>
  <c r="D183" i="9"/>
  <c r="D119" i="9"/>
  <c r="D103" i="9"/>
  <c r="D87" i="9"/>
  <c r="D23" i="9"/>
  <c r="D294" i="9"/>
  <c r="D278" i="9"/>
  <c r="D262" i="9"/>
  <c r="D246" i="9"/>
  <c r="D230" i="9"/>
  <c r="D214" i="9"/>
  <c r="D198" i="9"/>
  <c r="D182" i="9"/>
  <c r="D166" i="9"/>
  <c r="D150" i="9"/>
  <c r="D134" i="9"/>
  <c r="D118" i="9"/>
  <c r="D102" i="9"/>
  <c r="D86" i="9"/>
  <c r="D70" i="9"/>
  <c r="D54" i="9"/>
  <c r="D38" i="9"/>
  <c r="D22" i="9"/>
  <c r="D6" i="9"/>
  <c r="D241" i="9"/>
  <c r="D161" i="9"/>
  <c r="D33" i="9"/>
  <c r="D272" i="9"/>
  <c r="D192" i="9"/>
  <c r="D112" i="9"/>
  <c r="D48" i="9"/>
  <c r="D271" i="9"/>
  <c r="D159" i="9"/>
  <c r="D95" i="9"/>
  <c r="D15" i="9"/>
  <c r="D254" i="9"/>
  <c r="D222" i="9"/>
  <c r="D190" i="9"/>
  <c r="D126" i="9"/>
  <c r="D78" i="9"/>
  <c r="D30" i="9"/>
  <c r="D285" i="9"/>
  <c r="D221" i="9"/>
  <c r="D141" i="9"/>
  <c r="D77" i="9"/>
  <c r="D300" i="9"/>
  <c r="D220" i="9"/>
  <c r="D140" i="9"/>
  <c r="D60" i="9"/>
  <c r="D266" i="9"/>
  <c r="D202" i="9"/>
  <c r="D138" i="9"/>
  <c r="D106" i="9"/>
  <c r="D10" i="9"/>
  <c r="D249" i="9"/>
  <c r="D169" i="9"/>
  <c r="D105" i="9"/>
  <c r="D57" i="9"/>
  <c r="D280" i="9"/>
  <c r="D200" i="9"/>
  <c r="D120" i="9"/>
  <c r="D24" i="9"/>
  <c r="D295" i="9"/>
  <c r="D231" i="9"/>
  <c r="D151" i="9"/>
  <c r="D55" i="9"/>
  <c r="D293" i="9"/>
  <c r="D277" i="9"/>
  <c r="D261" i="9"/>
  <c r="D245" i="9"/>
  <c r="D229" i="9"/>
  <c r="D213" i="9"/>
  <c r="D197" i="9"/>
  <c r="D181" i="9"/>
  <c r="D165" i="9"/>
  <c r="D149" i="9"/>
  <c r="D133" i="9"/>
  <c r="D117" i="9"/>
  <c r="D101" i="9"/>
  <c r="D85" i="9"/>
  <c r="D69" i="9"/>
  <c r="D53" i="9"/>
  <c r="D37" i="9"/>
  <c r="D21" i="9"/>
  <c r="D5" i="9"/>
  <c r="D289" i="9"/>
  <c r="D225" i="9"/>
  <c r="D145" i="9"/>
  <c r="D81" i="9"/>
  <c r="D224" i="9"/>
  <c r="D128" i="9"/>
  <c r="D16" i="9"/>
  <c r="D239" i="9"/>
  <c r="D175" i="9"/>
  <c r="D111" i="9"/>
  <c r="D31" i="9"/>
  <c r="D238" i="9"/>
  <c r="D174" i="9"/>
  <c r="D14" i="9"/>
  <c r="D253" i="9"/>
  <c r="D157" i="9"/>
  <c r="D61" i="9"/>
  <c r="D284" i="9"/>
  <c r="D204" i="9"/>
  <c r="D108" i="9"/>
  <c r="D28" i="9"/>
  <c r="D250" i="9"/>
  <c r="D186" i="9"/>
  <c r="D154" i="9"/>
  <c r="D90" i="9"/>
  <c r="D26" i="9"/>
  <c r="D281" i="9"/>
  <c r="D185" i="9"/>
  <c r="D137" i="9"/>
  <c r="D41" i="9"/>
  <c r="D264" i="9"/>
  <c r="D216" i="9"/>
  <c r="D152" i="9"/>
  <c r="D136" i="9"/>
  <c r="D88" i="9"/>
  <c r="D40" i="9"/>
  <c r="D279" i="9"/>
  <c r="D167" i="9"/>
  <c r="D7" i="9"/>
  <c r="D292" i="9"/>
  <c r="D276" i="9"/>
  <c r="D260" i="9"/>
  <c r="D244" i="9"/>
  <c r="D228" i="9"/>
  <c r="D212" i="9"/>
  <c r="D196" i="9"/>
  <c r="D180" i="9"/>
  <c r="D164" i="9"/>
  <c r="D148" i="9"/>
  <c r="D132" i="9"/>
  <c r="D116" i="9"/>
  <c r="D100" i="9"/>
  <c r="D84" i="9"/>
  <c r="D68" i="9"/>
  <c r="D52" i="9"/>
  <c r="D36" i="9"/>
  <c r="D20" i="9"/>
  <c r="D4" i="9"/>
  <c r="D273" i="9"/>
  <c r="D193" i="9"/>
  <c r="D113" i="9"/>
  <c r="D65" i="9"/>
  <c r="D240" i="9"/>
  <c r="D144" i="9"/>
  <c r="D32" i="9"/>
  <c r="D207" i="9"/>
  <c r="D79" i="9"/>
  <c r="D286" i="9"/>
  <c r="D142" i="9"/>
  <c r="D110" i="9"/>
  <c r="D62" i="9"/>
  <c r="D205" i="9"/>
  <c r="D93" i="9"/>
  <c r="D29" i="9"/>
  <c r="D252" i="9"/>
  <c r="D156" i="9"/>
  <c r="D44" i="9"/>
  <c r="D282" i="9"/>
  <c r="D218" i="9"/>
  <c r="D170" i="9"/>
  <c r="D122" i="9"/>
  <c r="D42" i="9"/>
  <c r="D233" i="9"/>
  <c r="D121" i="9"/>
  <c r="D25" i="9"/>
  <c r="D248" i="9"/>
  <c r="D184" i="9"/>
  <c r="D56" i="9"/>
  <c r="D199" i="9"/>
  <c r="D39" i="9"/>
  <c r="D291" i="9"/>
  <c r="D275" i="9"/>
  <c r="D259" i="9"/>
  <c r="D243" i="9"/>
  <c r="D227" i="9"/>
  <c r="D211" i="9"/>
  <c r="D195" i="9"/>
  <c r="D179" i="9"/>
  <c r="D163" i="9"/>
  <c r="D147" i="9"/>
  <c r="D131" i="9"/>
  <c r="D115" i="9"/>
  <c r="D99" i="9"/>
  <c r="D83" i="9"/>
  <c r="D67" i="9"/>
  <c r="D51" i="9"/>
  <c r="D35" i="9"/>
  <c r="D19" i="9"/>
  <c r="D3" i="9"/>
  <c r="D257" i="9"/>
  <c r="D177" i="9"/>
  <c r="D97" i="9"/>
  <c r="D17" i="9"/>
  <c r="D288" i="9"/>
  <c r="D208" i="9"/>
  <c r="D160" i="9"/>
  <c r="D96" i="9"/>
  <c r="D64" i="9"/>
  <c r="D255" i="9"/>
  <c r="D191" i="9"/>
  <c r="D127" i="9"/>
  <c r="D47" i="9"/>
  <c r="D206" i="9"/>
  <c r="D158" i="9"/>
  <c r="D46" i="9"/>
  <c r="D269" i="9"/>
  <c r="D189" i="9"/>
  <c r="D109" i="9"/>
  <c r="D45" i="9"/>
  <c r="D268" i="9"/>
  <c r="D188" i="9"/>
  <c r="D124" i="9"/>
  <c r="D12" i="9"/>
  <c r="D234" i="9"/>
  <c r="D58" i="9"/>
  <c r="D265" i="9"/>
  <c r="D201" i="9"/>
  <c r="D153" i="9"/>
  <c r="D89" i="9"/>
  <c r="D9" i="9"/>
  <c r="D232" i="9"/>
  <c r="D168" i="9"/>
  <c r="D104" i="9"/>
  <c r="D8" i="9"/>
  <c r="D263" i="9"/>
  <c r="D215" i="9"/>
  <c r="D135" i="9"/>
  <c r="D71" i="9"/>
  <c r="D290" i="9"/>
  <c r="D274" i="9"/>
  <c r="D258" i="9"/>
  <c r="D242" i="9"/>
  <c r="D226" i="9"/>
  <c r="D210" i="9"/>
  <c r="D194" i="9"/>
  <c r="D178" i="9"/>
  <c r="D162" i="9"/>
  <c r="D146" i="9"/>
  <c r="D130" i="9"/>
  <c r="D114" i="9"/>
  <c r="D98" i="9"/>
  <c r="D82" i="9"/>
  <c r="D66" i="9"/>
  <c r="D50" i="9"/>
  <c r="D34" i="9"/>
  <c r="D18" i="9"/>
  <c r="D2" i="9"/>
  <c r="I10" i="2"/>
  <c r="G4" i="7"/>
  <c r="G4" i="6"/>
  <c r="B83" i="5"/>
  <c r="B66" i="5"/>
  <c r="B64" i="5"/>
  <c r="B62" i="5"/>
  <c r="B56" i="5"/>
  <c r="B98" i="5"/>
  <c r="B96" i="5"/>
  <c r="B63" i="5"/>
  <c r="B93" i="5"/>
  <c r="B92" i="5"/>
  <c r="B91" i="5"/>
  <c r="B90" i="5"/>
  <c r="B73" i="5"/>
  <c r="B88" i="5"/>
  <c r="B87" i="5"/>
  <c r="B71" i="5"/>
  <c r="B55" i="5"/>
  <c r="B86" i="5"/>
  <c r="B70" i="5"/>
  <c r="B54" i="5"/>
  <c r="B67" i="5"/>
  <c r="B97" i="5"/>
  <c r="B65" i="5"/>
  <c r="B95" i="5"/>
  <c r="B79" i="5"/>
  <c r="B61" i="5"/>
  <c r="B60" i="5"/>
  <c r="B59" i="5"/>
  <c r="B74" i="5"/>
  <c r="B89" i="5"/>
  <c r="B57" i="5"/>
  <c r="B101" i="5"/>
  <c r="B85" i="5"/>
  <c r="B69" i="5"/>
  <c r="B53" i="5"/>
  <c r="B99" i="5"/>
  <c r="B82" i="5"/>
  <c r="B81" i="5"/>
  <c r="B80" i="5"/>
  <c r="B94" i="5"/>
  <c r="B78" i="5"/>
  <c r="B77" i="5"/>
  <c r="B76" i="5"/>
  <c r="B75" i="5"/>
  <c r="B58" i="5"/>
  <c r="B72" i="5"/>
  <c r="B100" i="5"/>
  <c r="B84" i="5"/>
  <c r="B68" i="5"/>
  <c r="B52" i="5"/>
  <c r="B36" i="5"/>
  <c r="B10" i="5"/>
  <c r="B22" i="5"/>
  <c r="B40" i="5"/>
  <c r="B25" i="5"/>
  <c r="B11" i="5"/>
  <c r="B43" i="5"/>
  <c r="B13" i="5"/>
  <c r="B29" i="5"/>
  <c r="K8" i="5"/>
  <c r="B14" i="5"/>
  <c r="B30" i="5"/>
  <c r="B46" i="5"/>
  <c r="K10" i="5"/>
  <c r="B20" i="5"/>
  <c r="B21" i="5"/>
  <c r="B38" i="5"/>
  <c r="B24" i="5"/>
  <c r="B41" i="5"/>
  <c r="B42" i="5"/>
  <c r="B27" i="5"/>
  <c r="B31" i="5"/>
  <c r="B2" i="5"/>
  <c r="B9" i="5"/>
  <c r="B16" i="5"/>
  <c r="B32" i="5"/>
  <c r="B48" i="5"/>
  <c r="B39" i="5"/>
  <c r="B26" i="5"/>
  <c r="B12" i="5"/>
  <c r="B28" i="5"/>
  <c r="B47" i="5"/>
  <c r="B3" i="5"/>
  <c r="B17" i="5"/>
  <c r="B33" i="5"/>
  <c r="B49" i="5"/>
  <c r="B18" i="5"/>
  <c r="B34" i="5"/>
  <c r="B50" i="5"/>
  <c r="B5" i="5"/>
  <c r="B37" i="5"/>
  <c r="B6" i="5"/>
  <c r="B23" i="5"/>
  <c r="B7" i="5"/>
  <c r="B8" i="5"/>
  <c r="B44" i="5"/>
  <c r="B45" i="5"/>
  <c r="B15" i="5"/>
  <c r="B4" i="5"/>
  <c r="K9" i="5"/>
  <c r="B19" i="5"/>
  <c r="B35" i="5"/>
  <c r="B45" i="4"/>
  <c r="B47" i="4"/>
  <c r="B37" i="4"/>
  <c r="B35" i="4"/>
  <c r="B34" i="4"/>
  <c r="B48" i="4"/>
  <c r="B46" i="4"/>
  <c r="B29" i="4"/>
  <c r="B42" i="4"/>
  <c r="B26" i="4"/>
  <c r="B40" i="4"/>
  <c r="B24" i="4"/>
  <c r="B36" i="4"/>
  <c r="B51" i="4"/>
  <c r="B49" i="4"/>
  <c r="B32" i="4"/>
  <c r="B44" i="4"/>
  <c r="B43" i="4"/>
  <c r="B41" i="4"/>
  <c r="B39" i="4"/>
  <c r="B23" i="4"/>
  <c r="B50" i="4"/>
  <c r="B33" i="4"/>
  <c r="B31" i="4"/>
  <c r="B30" i="4"/>
  <c r="B28" i="4"/>
  <c r="B27" i="4"/>
  <c r="B25" i="4"/>
  <c r="B38" i="4"/>
  <c r="B22" i="4"/>
  <c r="B3" i="4"/>
  <c r="B6" i="4"/>
  <c r="B7" i="4"/>
  <c r="B8" i="4"/>
  <c r="K8" i="4"/>
  <c r="B9" i="4"/>
  <c r="K10" i="4"/>
  <c r="B11" i="4"/>
  <c r="B12" i="4"/>
  <c r="B13" i="4"/>
  <c r="B14" i="4"/>
  <c r="B15" i="4"/>
  <c r="B16" i="4"/>
  <c r="B2" i="4"/>
  <c r="B17" i="4"/>
  <c r="B18" i="4"/>
  <c r="B4" i="4"/>
  <c r="K9" i="4"/>
  <c r="B19" i="4"/>
  <c r="B20" i="4"/>
  <c r="B5" i="4"/>
  <c r="B10" i="4"/>
  <c r="B21" i="3"/>
  <c r="B19" i="3"/>
  <c r="B17" i="3"/>
  <c r="B16" i="3"/>
  <c r="B20" i="3"/>
  <c r="B18" i="3"/>
  <c r="B14" i="3"/>
  <c r="B15" i="3"/>
  <c r="B13" i="3"/>
  <c r="B12" i="3"/>
  <c r="K10" i="3"/>
  <c r="B11" i="3"/>
  <c r="K8" i="3"/>
  <c r="K9" i="3"/>
  <c r="B8" i="3"/>
  <c r="B2" i="3"/>
  <c r="B9" i="3"/>
  <c r="B3" i="3"/>
  <c r="B10" i="3"/>
  <c r="B6" i="3"/>
  <c r="B4" i="3"/>
  <c r="B5" i="3"/>
  <c r="B2" i="2"/>
  <c r="B10" i="2"/>
  <c r="B7" i="2"/>
  <c r="B4" i="2"/>
  <c r="B3" i="2"/>
  <c r="B11" i="2"/>
  <c r="B9" i="2"/>
  <c r="B8" i="2"/>
  <c r="B6" i="2"/>
  <c r="D3" i="8" l="1"/>
  <c r="E2" i="8" s="1"/>
  <c r="C4" i="8"/>
  <c r="C11" i="8"/>
  <c r="E66" i="18"/>
  <c r="B214" i="7"/>
  <c r="B230" i="7"/>
  <c r="B246" i="7"/>
  <c r="B262" i="7"/>
  <c r="B278" i="7"/>
  <c r="B294" i="7"/>
  <c r="B296" i="7"/>
  <c r="B233" i="7"/>
  <c r="B265" i="7"/>
  <c r="B297" i="7"/>
  <c r="B228" i="7"/>
  <c r="F66" i="18"/>
  <c r="B215" i="7"/>
  <c r="B231" i="7"/>
  <c r="B263" i="7"/>
  <c r="B295" i="7"/>
  <c r="B217" i="7"/>
  <c r="G66" i="18"/>
  <c r="B216" i="7"/>
  <c r="B232" i="7"/>
  <c r="B248" i="7"/>
  <c r="B264" i="7"/>
  <c r="B280" i="7"/>
  <c r="P4" i="6"/>
  <c r="O4" i="6" s="1"/>
  <c r="B244" i="7"/>
  <c r="H66" i="18"/>
  <c r="I66" i="18"/>
  <c r="B202" i="7"/>
  <c r="B218" i="7"/>
  <c r="B234" i="7"/>
  <c r="B250" i="7"/>
  <c r="B266" i="7"/>
  <c r="B282" i="7"/>
  <c r="B298" i="7"/>
  <c r="J66" i="18"/>
  <c r="B203" i="7"/>
  <c r="B219" i="7"/>
  <c r="B235" i="7"/>
  <c r="B251" i="7"/>
  <c r="B267" i="7"/>
  <c r="B283" i="7"/>
  <c r="B299" i="7"/>
  <c r="B301" i="7"/>
  <c r="B223" i="7"/>
  <c r="B271" i="7"/>
  <c r="B209" i="7"/>
  <c r="B273" i="7"/>
  <c r="B290" i="7"/>
  <c r="B276" i="7"/>
  <c r="K66" i="18"/>
  <c r="B204" i="7"/>
  <c r="B220" i="7"/>
  <c r="B236" i="7"/>
  <c r="B252" i="7"/>
  <c r="B268" i="7"/>
  <c r="B284" i="7"/>
  <c r="B300" i="7"/>
  <c r="B205" i="7"/>
  <c r="B221" i="7"/>
  <c r="B237" i="7"/>
  <c r="B253" i="7"/>
  <c r="B269" i="7"/>
  <c r="B285" i="7"/>
  <c r="B207" i="7"/>
  <c r="B255" i="7"/>
  <c r="B287" i="7"/>
  <c r="B225" i="7"/>
  <c r="B257" i="7"/>
  <c r="B258" i="7"/>
  <c r="L66" i="18"/>
  <c r="P4" i="3"/>
  <c r="O4" i="3" s="1"/>
  <c r="B241" i="7"/>
  <c r="B260" i="7"/>
  <c r="M66" i="18"/>
  <c r="B206" i="7"/>
  <c r="B222" i="7"/>
  <c r="B238" i="7"/>
  <c r="B254" i="7"/>
  <c r="B270" i="7"/>
  <c r="B286" i="7"/>
  <c r="N66" i="18"/>
  <c r="B239" i="7"/>
  <c r="B212" i="7"/>
  <c r="O66" i="18"/>
  <c r="B208" i="7"/>
  <c r="B224" i="7"/>
  <c r="B240" i="7"/>
  <c r="B256" i="7"/>
  <c r="B272" i="7"/>
  <c r="B288" i="7"/>
  <c r="P4" i="4"/>
  <c r="O4" i="4" s="1"/>
  <c r="B289" i="7"/>
  <c r="A66" i="18"/>
  <c r="B210" i="7"/>
  <c r="B226" i="7"/>
  <c r="B242" i="7"/>
  <c r="B274" i="7"/>
  <c r="B66" i="18"/>
  <c r="P4" i="11"/>
  <c r="O4" i="11" s="1"/>
  <c r="B211" i="7"/>
  <c r="B227" i="7"/>
  <c r="B243" i="7"/>
  <c r="B259" i="7"/>
  <c r="B275" i="7"/>
  <c r="B291" i="7"/>
  <c r="B292" i="7"/>
  <c r="C66" i="18"/>
  <c r="D66" i="18"/>
  <c r="P4" i="5"/>
  <c r="O4" i="5" s="1"/>
  <c r="B213" i="7"/>
  <c r="B229" i="7"/>
  <c r="B245" i="7"/>
  <c r="B261" i="7"/>
  <c r="B277" i="7"/>
  <c r="B293" i="7"/>
  <c r="B247" i="7"/>
  <c r="B279" i="7"/>
  <c r="P4" i="2"/>
  <c r="O4" i="2" s="1"/>
  <c r="B249" i="7"/>
  <c r="B281" i="7"/>
  <c r="AC1" i="17"/>
  <c r="AB1" i="17"/>
  <c r="AE1" i="17"/>
  <c r="W1" i="17"/>
  <c r="V1" i="17"/>
  <c r="AE303" i="17"/>
  <c r="AF302" i="17" s="1"/>
  <c r="AG301" i="17" s="1"/>
  <c r="AG1" i="17" s="1"/>
  <c r="AD1" i="17"/>
  <c r="Z1" i="17"/>
  <c r="AA1" i="17"/>
  <c r="Y1" i="17"/>
  <c r="AF1" i="17"/>
  <c r="X1" i="17"/>
  <c r="W1" i="1"/>
  <c r="G5" i="16"/>
  <c r="G5" i="15"/>
  <c r="G6" i="15" s="1"/>
  <c r="G13" i="15"/>
  <c r="G5" i="14"/>
  <c r="G6" i="14" s="1"/>
  <c r="G13" i="14"/>
  <c r="O5" i="14"/>
  <c r="G5" i="13"/>
  <c r="G13" i="13" s="1"/>
  <c r="O5" i="13"/>
  <c r="B201" i="12"/>
  <c r="B185" i="12"/>
  <c r="B169" i="12"/>
  <c r="B153" i="12"/>
  <c r="B137" i="12"/>
  <c r="B121" i="12"/>
  <c r="B105" i="12"/>
  <c r="B89" i="12"/>
  <c r="B73" i="12"/>
  <c r="B57" i="12"/>
  <c r="B41" i="12"/>
  <c r="B25" i="12"/>
  <c r="B3" i="12"/>
  <c r="B184" i="12"/>
  <c r="B168" i="12"/>
  <c r="B152" i="12"/>
  <c r="B136" i="12"/>
  <c r="B120" i="12"/>
  <c r="B104" i="12"/>
  <c r="B88" i="12"/>
  <c r="B72" i="12"/>
  <c r="B56" i="12"/>
  <c r="B40" i="12"/>
  <c r="B24" i="12"/>
  <c r="K10" i="12"/>
  <c r="B199" i="12"/>
  <c r="B183" i="12"/>
  <c r="B167" i="12"/>
  <c r="B151" i="12"/>
  <c r="B135" i="12"/>
  <c r="B119" i="12"/>
  <c r="B103" i="12"/>
  <c r="B87" i="12"/>
  <c r="B71" i="12"/>
  <c r="B55" i="12"/>
  <c r="B39" i="12"/>
  <c r="B23" i="12"/>
  <c r="B7" i="12"/>
  <c r="B2" i="12"/>
  <c r="B200" i="12"/>
  <c r="B197" i="12"/>
  <c r="B181" i="12"/>
  <c r="B165" i="12"/>
  <c r="B149" i="12"/>
  <c r="B133" i="12"/>
  <c r="B117" i="12"/>
  <c r="B101" i="12"/>
  <c r="B85" i="12"/>
  <c r="B69" i="12"/>
  <c r="B53" i="12"/>
  <c r="B37" i="12"/>
  <c r="B21" i="12"/>
  <c r="B10" i="12"/>
  <c r="B196" i="12"/>
  <c r="B180" i="12"/>
  <c r="B164" i="12"/>
  <c r="B148" i="12"/>
  <c r="B132" i="12"/>
  <c r="B116" i="12"/>
  <c r="B100" i="12"/>
  <c r="B84" i="12"/>
  <c r="B68" i="12"/>
  <c r="B52" i="12"/>
  <c r="B36" i="12"/>
  <c r="B20" i="12"/>
  <c r="B195" i="12"/>
  <c r="B179" i="12"/>
  <c r="B163" i="12"/>
  <c r="B147" i="12"/>
  <c r="B131" i="12"/>
  <c r="B115" i="12"/>
  <c r="B99" i="12"/>
  <c r="B83" i="12"/>
  <c r="B67" i="12"/>
  <c r="B51" i="12"/>
  <c r="B35" i="12"/>
  <c r="B19" i="12"/>
  <c r="K9" i="12"/>
  <c r="B6" i="12"/>
  <c r="B189" i="12"/>
  <c r="B173" i="12"/>
  <c r="B157" i="12"/>
  <c r="B141" i="12"/>
  <c r="B125" i="12"/>
  <c r="B109" i="12"/>
  <c r="B93" i="12"/>
  <c r="B77" i="12"/>
  <c r="B61" i="12"/>
  <c r="B45" i="12"/>
  <c r="B29" i="12"/>
  <c r="B172" i="12"/>
  <c r="B198" i="12"/>
  <c r="B182" i="12"/>
  <c r="B166" i="12"/>
  <c r="B150" i="12"/>
  <c r="B134" i="12"/>
  <c r="B118" i="12"/>
  <c r="B102" i="12"/>
  <c r="B86" i="12"/>
  <c r="B70" i="12"/>
  <c r="B54" i="12"/>
  <c r="B38" i="12"/>
  <c r="B22" i="12"/>
  <c r="B188" i="12"/>
  <c r="B156" i="12"/>
  <c r="B140" i="12"/>
  <c r="B124" i="12"/>
  <c r="B108" i="12"/>
  <c r="B92" i="12"/>
  <c r="B76" i="12"/>
  <c r="B60" i="12"/>
  <c r="B44" i="12"/>
  <c r="B28" i="12"/>
  <c r="B13" i="12"/>
  <c r="B187" i="12"/>
  <c r="B171" i="12"/>
  <c r="B155" i="12"/>
  <c r="B139" i="12"/>
  <c r="B123" i="12"/>
  <c r="B107" i="12"/>
  <c r="B91" i="12"/>
  <c r="B75" i="12"/>
  <c r="B59" i="12"/>
  <c r="B43" i="12"/>
  <c r="B27" i="12"/>
  <c r="B12" i="12"/>
  <c r="B8" i="12"/>
  <c r="B4" i="12"/>
  <c r="B194" i="12"/>
  <c r="B178" i="12"/>
  <c r="B162" i="12"/>
  <c r="B146" i="12"/>
  <c r="B130" i="12"/>
  <c r="B114" i="12"/>
  <c r="B98" i="12"/>
  <c r="B82" i="12"/>
  <c r="B66" i="12"/>
  <c r="B50" i="12"/>
  <c r="B34" i="12"/>
  <c r="B18" i="12"/>
  <c r="B193" i="12"/>
  <c r="B177" i="12"/>
  <c r="B161" i="12"/>
  <c r="B145" i="12"/>
  <c r="B129" i="12"/>
  <c r="B113" i="12"/>
  <c r="B97" i="12"/>
  <c r="B81" i="12"/>
  <c r="B65" i="12"/>
  <c r="B49" i="12"/>
  <c r="B33" i="12"/>
  <c r="B17" i="12"/>
  <c r="B192" i="12"/>
  <c r="B176" i="12"/>
  <c r="B160" i="12"/>
  <c r="B144" i="12"/>
  <c r="B128" i="12"/>
  <c r="B112" i="12"/>
  <c r="B96" i="12"/>
  <c r="B80" i="12"/>
  <c r="B64" i="12"/>
  <c r="B48" i="12"/>
  <c r="B32" i="12"/>
  <c r="B16" i="12"/>
  <c r="B9" i="12"/>
  <c r="B191" i="12"/>
  <c r="B175" i="12"/>
  <c r="B159" i="12"/>
  <c r="B143" i="12"/>
  <c r="B127" i="12"/>
  <c r="B111" i="12"/>
  <c r="B95" i="12"/>
  <c r="B79" i="12"/>
  <c r="B63" i="12"/>
  <c r="B47" i="12"/>
  <c r="B31" i="12"/>
  <c r="B15" i="12"/>
  <c r="B5" i="12"/>
  <c r="B190" i="12"/>
  <c r="B174" i="12"/>
  <c r="B158" i="12"/>
  <c r="B142" i="12"/>
  <c r="B126" i="12"/>
  <c r="B110" i="12"/>
  <c r="B94" i="12"/>
  <c r="B78" i="12"/>
  <c r="B62" i="12"/>
  <c r="B46" i="12"/>
  <c r="B30" i="12"/>
  <c r="B14" i="12"/>
  <c r="K8" i="12"/>
  <c r="B186" i="12"/>
  <c r="B170" i="12"/>
  <c r="B154" i="12"/>
  <c r="B138" i="12"/>
  <c r="B122" i="12"/>
  <c r="B106" i="12"/>
  <c r="B90" i="12"/>
  <c r="B74" i="12"/>
  <c r="B58" i="12"/>
  <c r="B42" i="12"/>
  <c r="B26" i="12"/>
  <c r="B11" i="12"/>
  <c r="B301" i="11"/>
  <c r="B285" i="11"/>
  <c r="B269" i="11"/>
  <c r="B253" i="11"/>
  <c r="B237" i="11"/>
  <c r="B221" i="11"/>
  <c r="B205" i="11"/>
  <c r="B189" i="11"/>
  <c r="B173" i="11"/>
  <c r="B157" i="11"/>
  <c r="B141" i="11"/>
  <c r="B125" i="11"/>
  <c r="B109" i="11"/>
  <c r="B93" i="11"/>
  <c r="B77" i="11"/>
  <c r="B61" i="11"/>
  <c r="B45" i="11"/>
  <c r="B29" i="11"/>
  <c r="B15" i="11"/>
  <c r="B2" i="11"/>
  <c r="B190" i="11"/>
  <c r="B300" i="11"/>
  <c r="B284" i="11"/>
  <c r="B268" i="11"/>
  <c r="B252" i="11"/>
  <c r="B236" i="11"/>
  <c r="B220" i="11"/>
  <c r="B204" i="11"/>
  <c r="B188" i="11"/>
  <c r="B172" i="11"/>
  <c r="B156" i="11"/>
  <c r="B140" i="11"/>
  <c r="B124" i="11"/>
  <c r="B108" i="11"/>
  <c r="B92" i="11"/>
  <c r="B76" i="11"/>
  <c r="B60" i="11"/>
  <c r="B44" i="11"/>
  <c r="B28" i="11"/>
  <c r="B14" i="11"/>
  <c r="K8" i="11"/>
  <c r="B281" i="11"/>
  <c r="B249" i="11"/>
  <c r="B233" i="11"/>
  <c r="B217" i="11"/>
  <c r="B201" i="11"/>
  <c r="B185" i="11"/>
  <c r="B169" i="11"/>
  <c r="B153" i="11"/>
  <c r="B121" i="11"/>
  <c r="B73" i="11"/>
  <c r="B41" i="11"/>
  <c r="B25" i="11"/>
  <c r="B84" i="11"/>
  <c r="B243" i="11"/>
  <c r="B179" i="11"/>
  <c r="B131" i="11"/>
  <c r="B83" i="11"/>
  <c r="B35" i="11"/>
  <c r="B274" i="11"/>
  <c r="B194" i="11"/>
  <c r="B146" i="11"/>
  <c r="B82" i="11"/>
  <c r="B66" i="11"/>
  <c r="B289" i="11"/>
  <c r="B193" i="11"/>
  <c r="B161" i="11"/>
  <c r="B81" i="11"/>
  <c r="B288" i="11"/>
  <c r="B287" i="11"/>
  <c r="B207" i="11"/>
  <c r="B175" i="11"/>
  <c r="B143" i="11"/>
  <c r="B79" i="11"/>
  <c r="B17" i="11"/>
  <c r="B286" i="11"/>
  <c r="B174" i="11"/>
  <c r="B142" i="11"/>
  <c r="B126" i="11"/>
  <c r="B78" i="11"/>
  <c r="B46" i="11"/>
  <c r="B9" i="11"/>
  <c r="B299" i="11"/>
  <c r="B283" i="11"/>
  <c r="B267" i="11"/>
  <c r="B251" i="11"/>
  <c r="B235" i="11"/>
  <c r="B219" i="11"/>
  <c r="B203" i="11"/>
  <c r="B187" i="11"/>
  <c r="B171" i="11"/>
  <c r="B155" i="11"/>
  <c r="B139" i="11"/>
  <c r="B123" i="11"/>
  <c r="B107" i="11"/>
  <c r="B91" i="11"/>
  <c r="B75" i="11"/>
  <c r="B59" i="11"/>
  <c r="B43" i="11"/>
  <c r="B27" i="11"/>
  <c r="B265" i="11"/>
  <c r="B137" i="11"/>
  <c r="B89" i="11"/>
  <c r="B57" i="11"/>
  <c r="B12" i="11"/>
  <c r="B164" i="11"/>
  <c r="B291" i="11"/>
  <c r="B115" i="11"/>
  <c r="B10" i="11"/>
  <c r="B226" i="11"/>
  <c r="B34" i="11"/>
  <c r="B257" i="11"/>
  <c r="B65" i="11"/>
  <c r="B224" i="11"/>
  <c r="B112" i="11"/>
  <c r="B18" i="11"/>
  <c r="B255" i="11"/>
  <c r="B238" i="11"/>
  <c r="B298" i="11"/>
  <c r="B282" i="11"/>
  <c r="B266" i="11"/>
  <c r="B250" i="11"/>
  <c r="B234" i="11"/>
  <c r="B218" i="11"/>
  <c r="B202" i="11"/>
  <c r="B186" i="11"/>
  <c r="B170" i="11"/>
  <c r="B154" i="11"/>
  <c r="B138" i="11"/>
  <c r="B122" i="11"/>
  <c r="B106" i="11"/>
  <c r="B90" i="11"/>
  <c r="B74" i="11"/>
  <c r="B58" i="11"/>
  <c r="B42" i="11"/>
  <c r="B26" i="11"/>
  <c r="B13" i="11"/>
  <c r="B297" i="11"/>
  <c r="B105" i="11"/>
  <c r="B8" i="11"/>
  <c r="B132" i="11"/>
  <c r="B259" i="11"/>
  <c r="B163" i="11"/>
  <c r="B51" i="11"/>
  <c r="B5" i="11"/>
  <c r="B258" i="11"/>
  <c r="B114" i="11"/>
  <c r="B225" i="11"/>
  <c r="B129" i="11"/>
  <c r="B208" i="11"/>
  <c r="B64" i="11"/>
  <c r="B239" i="11"/>
  <c r="B47" i="11"/>
  <c r="B254" i="11"/>
  <c r="B62" i="11"/>
  <c r="B296" i="11"/>
  <c r="B280" i="11"/>
  <c r="B264" i="11"/>
  <c r="B248" i="11"/>
  <c r="B232" i="11"/>
  <c r="B216" i="11"/>
  <c r="B200" i="11"/>
  <c r="B184" i="11"/>
  <c r="B168" i="11"/>
  <c r="B152" i="11"/>
  <c r="B136" i="11"/>
  <c r="B120" i="11"/>
  <c r="B104" i="11"/>
  <c r="B88" i="11"/>
  <c r="B72" i="11"/>
  <c r="B56" i="11"/>
  <c r="B40" i="11"/>
  <c r="B24" i="11"/>
  <c r="B11" i="11"/>
  <c r="B295" i="11"/>
  <c r="B279" i="11"/>
  <c r="B263" i="11"/>
  <c r="B247" i="11"/>
  <c r="B231" i="11"/>
  <c r="B215" i="11"/>
  <c r="B199" i="11"/>
  <c r="B183" i="11"/>
  <c r="B167" i="11"/>
  <c r="B151" i="11"/>
  <c r="B135" i="11"/>
  <c r="B119" i="11"/>
  <c r="B103" i="11"/>
  <c r="B87" i="11"/>
  <c r="B71" i="11"/>
  <c r="B55" i="11"/>
  <c r="B39" i="11"/>
  <c r="B23" i="11"/>
  <c r="B7" i="11"/>
  <c r="B36" i="11"/>
  <c r="B211" i="11"/>
  <c r="B242" i="11"/>
  <c r="B241" i="11"/>
  <c r="B33" i="11"/>
  <c r="B256" i="11"/>
  <c r="B144" i="11"/>
  <c r="B48" i="11"/>
  <c r="B223" i="11"/>
  <c r="B63" i="11"/>
  <c r="B222" i="11"/>
  <c r="B294" i="11"/>
  <c r="B278" i="11"/>
  <c r="B262" i="11"/>
  <c r="B246" i="11"/>
  <c r="B230" i="11"/>
  <c r="B214" i="11"/>
  <c r="B198" i="11"/>
  <c r="B182" i="11"/>
  <c r="B166" i="11"/>
  <c r="B150" i="11"/>
  <c r="B134" i="11"/>
  <c r="B118" i="11"/>
  <c r="B102" i="11"/>
  <c r="B86" i="11"/>
  <c r="B70" i="11"/>
  <c r="B54" i="11"/>
  <c r="B38" i="11"/>
  <c r="B22" i="11"/>
  <c r="K10" i="11"/>
  <c r="B277" i="11"/>
  <c r="B261" i="11"/>
  <c r="B245" i="11"/>
  <c r="B229" i="11"/>
  <c r="B213" i="11"/>
  <c r="B197" i="11"/>
  <c r="B181" i="11"/>
  <c r="B165" i="11"/>
  <c r="B149" i="11"/>
  <c r="B133" i="11"/>
  <c r="B117" i="11"/>
  <c r="B101" i="11"/>
  <c r="B85" i="11"/>
  <c r="B69" i="11"/>
  <c r="B53" i="11"/>
  <c r="B37" i="11"/>
  <c r="B21" i="11"/>
  <c r="B6" i="11"/>
  <c r="B292" i="11"/>
  <c r="B260" i="11"/>
  <c r="B244" i="11"/>
  <c r="B228" i="11"/>
  <c r="B212" i="11"/>
  <c r="B196" i="11"/>
  <c r="B180" i="11"/>
  <c r="B148" i="11"/>
  <c r="B116" i="11"/>
  <c r="B100" i="11"/>
  <c r="B68" i="11"/>
  <c r="B52" i="11"/>
  <c r="B20" i="11"/>
  <c r="B275" i="11"/>
  <c r="B195" i="11"/>
  <c r="B147" i="11"/>
  <c r="B99" i="11"/>
  <c r="B67" i="11"/>
  <c r="B19" i="11"/>
  <c r="B290" i="11"/>
  <c r="B210" i="11"/>
  <c r="B162" i="11"/>
  <c r="B130" i="11"/>
  <c r="B98" i="11"/>
  <c r="B50" i="11"/>
  <c r="B273" i="11"/>
  <c r="B177" i="11"/>
  <c r="B145" i="11"/>
  <c r="B113" i="11"/>
  <c r="K9" i="11"/>
  <c r="B240" i="11"/>
  <c r="B192" i="11"/>
  <c r="B160" i="11"/>
  <c r="B96" i="11"/>
  <c r="B32" i="11"/>
  <c r="B271" i="11"/>
  <c r="B191" i="11"/>
  <c r="B159" i="11"/>
  <c r="B127" i="11"/>
  <c r="B95" i="11"/>
  <c r="B31" i="11"/>
  <c r="B3" i="11"/>
  <c r="B270" i="11"/>
  <c r="B158" i="11"/>
  <c r="B293" i="11"/>
  <c r="B276" i="11"/>
  <c r="B227" i="11"/>
  <c r="B178" i="11"/>
  <c r="B209" i="11"/>
  <c r="B97" i="11"/>
  <c r="B49" i="11"/>
  <c r="B4" i="11"/>
  <c r="B272" i="11"/>
  <c r="B176" i="11"/>
  <c r="B128" i="11"/>
  <c r="B80" i="11"/>
  <c r="B111" i="11"/>
  <c r="B206" i="11"/>
  <c r="B94" i="11"/>
  <c r="B30" i="11"/>
  <c r="B16" i="11"/>
  <c r="B110" i="11"/>
  <c r="E39" i="10"/>
  <c r="D3" i="10"/>
  <c r="E2" i="10" s="1"/>
  <c r="C4" i="10"/>
  <c r="C11" i="10"/>
  <c r="B201" i="7"/>
  <c r="B185" i="7"/>
  <c r="B169" i="7"/>
  <c r="B153" i="7"/>
  <c r="B137" i="7"/>
  <c r="B121" i="7"/>
  <c r="B105" i="7"/>
  <c r="B89" i="7"/>
  <c r="B73" i="7"/>
  <c r="B57" i="7"/>
  <c r="B41" i="7"/>
  <c r="B25" i="7"/>
  <c r="B7" i="7"/>
  <c r="B148" i="7"/>
  <c r="B84" i="7"/>
  <c r="B179" i="7"/>
  <c r="B115" i="7"/>
  <c r="B19" i="7"/>
  <c r="B146" i="7"/>
  <c r="B82" i="7"/>
  <c r="B161" i="7"/>
  <c r="B81" i="7"/>
  <c r="B17" i="7"/>
  <c r="B144" i="7"/>
  <c r="B64" i="7"/>
  <c r="B16" i="7"/>
  <c r="B143" i="7"/>
  <c r="B79" i="7"/>
  <c r="B142" i="7"/>
  <c r="B126" i="7"/>
  <c r="B94" i="7"/>
  <c r="B14" i="7"/>
  <c r="B173" i="7"/>
  <c r="B141" i="7"/>
  <c r="B77" i="7"/>
  <c r="B124" i="7"/>
  <c r="B60" i="7"/>
  <c r="B139" i="7"/>
  <c r="B75" i="7"/>
  <c r="B106" i="7"/>
  <c r="B200" i="7"/>
  <c r="B184" i="7"/>
  <c r="B168" i="7"/>
  <c r="B152" i="7"/>
  <c r="B136" i="7"/>
  <c r="B120" i="7"/>
  <c r="B104" i="7"/>
  <c r="B88" i="7"/>
  <c r="B72" i="7"/>
  <c r="B56" i="7"/>
  <c r="B40" i="7"/>
  <c r="B24" i="7"/>
  <c r="K10" i="7"/>
  <c r="B164" i="7"/>
  <c r="B116" i="7"/>
  <c r="B52" i="7"/>
  <c r="B195" i="7"/>
  <c r="B99" i="7"/>
  <c r="B4" i="7"/>
  <c r="B130" i="7"/>
  <c r="B50" i="7"/>
  <c r="B145" i="7"/>
  <c r="B65" i="7"/>
  <c r="B3" i="7"/>
  <c r="B160" i="7"/>
  <c r="B112" i="7"/>
  <c r="B48" i="7"/>
  <c r="B159" i="7"/>
  <c r="B111" i="7"/>
  <c r="B47" i="7"/>
  <c r="B2" i="7"/>
  <c r="B158" i="7"/>
  <c r="B110" i="7"/>
  <c r="B30" i="7"/>
  <c r="B157" i="7"/>
  <c r="B93" i="7"/>
  <c r="B45" i="7"/>
  <c r="B29" i="7"/>
  <c r="B172" i="7"/>
  <c r="B28" i="7"/>
  <c r="B171" i="7"/>
  <c r="B91" i="7"/>
  <c r="B12" i="7"/>
  <c r="B154" i="7"/>
  <c r="B90" i="7"/>
  <c r="B26" i="7"/>
  <c r="B199" i="7"/>
  <c r="B183" i="7"/>
  <c r="B167" i="7"/>
  <c r="B151" i="7"/>
  <c r="B135" i="7"/>
  <c r="B119" i="7"/>
  <c r="B103" i="7"/>
  <c r="B87" i="7"/>
  <c r="B71" i="7"/>
  <c r="B55" i="7"/>
  <c r="B39" i="7"/>
  <c r="B23" i="7"/>
  <c r="B6" i="7"/>
  <c r="B132" i="7"/>
  <c r="B68" i="7"/>
  <c r="B20" i="7"/>
  <c r="B147" i="7"/>
  <c r="B67" i="7"/>
  <c r="K9" i="7"/>
  <c r="B178" i="7"/>
  <c r="B114" i="7"/>
  <c r="B34" i="7"/>
  <c r="B193" i="7"/>
  <c r="B113" i="7"/>
  <c r="B33" i="7"/>
  <c r="B176" i="7"/>
  <c r="B128" i="7"/>
  <c r="B96" i="7"/>
  <c r="B32" i="7"/>
  <c r="B191" i="7"/>
  <c r="B127" i="7"/>
  <c r="B63" i="7"/>
  <c r="B31" i="7"/>
  <c r="B190" i="7"/>
  <c r="B78" i="7"/>
  <c r="B46" i="7"/>
  <c r="B189" i="7"/>
  <c r="B125" i="7"/>
  <c r="B61" i="7"/>
  <c r="B156" i="7"/>
  <c r="B155" i="7"/>
  <c r="B123" i="7"/>
  <c r="B59" i="7"/>
  <c r="B43" i="7"/>
  <c r="B8" i="7"/>
  <c r="B186" i="7"/>
  <c r="B138" i="7"/>
  <c r="B74" i="7"/>
  <c r="B42" i="7"/>
  <c r="B198" i="7"/>
  <c r="B182" i="7"/>
  <c r="B166" i="7"/>
  <c r="B150" i="7"/>
  <c r="B134" i="7"/>
  <c r="B118" i="7"/>
  <c r="B102" i="7"/>
  <c r="B86" i="7"/>
  <c r="B70" i="7"/>
  <c r="B54" i="7"/>
  <c r="B38" i="7"/>
  <c r="B22" i="7"/>
  <c r="B180" i="7"/>
  <c r="B36" i="7"/>
  <c r="B163" i="7"/>
  <c r="B51" i="7"/>
  <c r="B162" i="7"/>
  <c r="B98" i="7"/>
  <c r="B18" i="7"/>
  <c r="B197" i="7"/>
  <c r="B181" i="7"/>
  <c r="B165" i="7"/>
  <c r="B149" i="7"/>
  <c r="B133" i="7"/>
  <c r="B117" i="7"/>
  <c r="B101" i="7"/>
  <c r="B85" i="7"/>
  <c r="B69" i="7"/>
  <c r="B53" i="7"/>
  <c r="B37" i="7"/>
  <c r="B21" i="7"/>
  <c r="B10" i="7"/>
  <c r="B5" i="7"/>
  <c r="B196" i="7"/>
  <c r="B100" i="7"/>
  <c r="B131" i="7"/>
  <c r="B83" i="7"/>
  <c r="B35" i="7"/>
  <c r="B194" i="7"/>
  <c r="B66" i="7"/>
  <c r="B177" i="7"/>
  <c r="B129" i="7"/>
  <c r="B97" i="7"/>
  <c r="B49" i="7"/>
  <c r="B192" i="7"/>
  <c r="B80" i="7"/>
  <c r="B9" i="7"/>
  <c r="B175" i="7"/>
  <c r="B95" i="7"/>
  <c r="B15" i="7"/>
  <c r="B174" i="7"/>
  <c r="B62" i="7"/>
  <c r="K8" i="7"/>
  <c r="B109" i="7"/>
  <c r="B188" i="7"/>
  <c r="B140" i="7"/>
  <c r="B108" i="7"/>
  <c r="B92" i="7"/>
  <c r="B76" i="7"/>
  <c r="B44" i="7"/>
  <c r="B13" i="7"/>
  <c r="B187" i="7"/>
  <c r="B107" i="7"/>
  <c r="B27" i="7"/>
  <c r="B170" i="7"/>
  <c r="B122" i="7"/>
  <c r="B58" i="7"/>
  <c r="B11" i="7"/>
  <c r="B101" i="6"/>
  <c r="B85" i="6"/>
  <c r="B69" i="6"/>
  <c r="B53" i="6"/>
  <c r="B37" i="6"/>
  <c r="B21" i="6"/>
  <c r="B10" i="6"/>
  <c r="B5" i="6"/>
  <c r="B66" i="6"/>
  <c r="B34" i="6"/>
  <c r="B100" i="6"/>
  <c r="B84" i="6"/>
  <c r="B68" i="6"/>
  <c r="B52" i="6"/>
  <c r="B36" i="6"/>
  <c r="B20" i="6"/>
  <c r="B98" i="6"/>
  <c r="B50" i="6"/>
  <c r="B81" i="6"/>
  <c r="B65" i="6"/>
  <c r="B49" i="6"/>
  <c r="B17" i="6"/>
  <c r="B3" i="6"/>
  <c r="B78" i="6"/>
  <c r="B46" i="6"/>
  <c r="B30" i="6"/>
  <c r="B93" i="6"/>
  <c r="B61" i="6"/>
  <c r="B76" i="6"/>
  <c r="B60" i="6"/>
  <c r="B28" i="6"/>
  <c r="B91" i="6"/>
  <c r="B43" i="6"/>
  <c r="B12" i="6"/>
  <c r="B90" i="6"/>
  <c r="B26" i="6"/>
  <c r="B89" i="6"/>
  <c r="B25" i="6"/>
  <c r="B88" i="6"/>
  <c r="B56" i="6"/>
  <c r="B40" i="6"/>
  <c r="K10" i="6"/>
  <c r="B87" i="6"/>
  <c r="B23" i="6"/>
  <c r="B70" i="6"/>
  <c r="B99" i="6"/>
  <c r="B83" i="6"/>
  <c r="B67" i="6"/>
  <c r="B51" i="6"/>
  <c r="B35" i="6"/>
  <c r="B19" i="6"/>
  <c r="K9" i="6"/>
  <c r="B4" i="6"/>
  <c r="B82" i="6"/>
  <c r="B18" i="6"/>
  <c r="B97" i="6"/>
  <c r="B33" i="6"/>
  <c r="B94" i="6"/>
  <c r="K8" i="6"/>
  <c r="B45" i="6"/>
  <c r="B59" i="6"/>
  <c r="B8" i="6"/>
  <c r="B42" i="6"/>
  <c r="B57" i="6"/>
  <c r="B39" i="6"/>
  <c r="B86" i="6"/>
  <c r="B22" i="6"/>
  <c r="B96" i="6"/>
  <c r="B80" i="6"/>
  <c r="B64" i="6"/>
  <c r="B48" i="6"/>
  <c r="B32" i="6"/>
  <c r="B16" i="6"/>
  <c r="B9" i="6"/>
  <c r="B95" i="6"/>
  <c r="B79" i="6"/>
  <c r="B63" i="6"/>
  <c r="B47" i="6"/>
  <c r="B31" i="6"/>
  <c r="B15" i="6"/>
  <c r="B2" i="6"/>
  <c r="B62" i="6"/>
  <c r="B14" i="6"/>
  <c r="B77" i="6"/>
  <c r="B29" i="6"/>
  <c r="B92" i="6"/>
  <c r="B44" i="6"/>
  <c r="B13" i="6"/>
  <c r="B75" i="6"/>
  <c r="B27" i="6"/>
  <c r="B74" i="6"/>
  <c r="B58" i="6"/>
  <c r="B11" i="6"/>
  <c r="B73" i="6"/>
  <c r="B41" i="6"/>
  <c r="B7" i="6"/>
  <c r="B72" i="6"/>
  <c r="B24" i="6"/>
  <c r="B71" i="6"/>
  <c r="B55" i="6"/>
  <c r="B6" i="6"/>
  <c r="B54" i="6"/>
  <c r="B38" i="6"/>
  <c r="G5" i="5"/>
  <c r="G5" i="4"/>
  <c r="G13" i="3"/>
  <c r="G5" i="2"/>
  <c r="E3" i="8" l="1"/>
  <c r="F2" i="8" s="1"/>
  <c r="D4" i="8"/>
  <c r="D11" i="8"/>
  <c r="A67" i="18"/>
  <c r="A70" i="18"/>
  <c r="D67" i="18"/>
  <c r="D70" i="18"/>
  <c r="F67" i="18"/>
  <c r="F70" i="18"/>
  <c r="C70" i="18"/>
  <c r="C67" i="18"/>
  <c r="I67" i="18"/>
  <c r="I70" i="18"/>
  <c r="M67" i="18"/>
  <c r="M70" i="18"/>
  <c r="H67" i="18"/>
  <c r="H70" i="18"/>
  <c r="L67" i="18"/>
  <c r="L70" i="18"/>
  <c r="O67" i="18"/>
  <c r="O70" i="18"/>
  <c r="J67" i="18"/>
  <c r="J70" i="18"/>
  <c r="B70" i="18"/>
  <c r="B67" i="18"/>
  <c r="K67" i="18"/>
  <c r="K70" i="18"/>
  <c r="G67" i="18"/>
  <c r="G70" i="18"/>
  <c r="N67" i="18"/>
  <c r="N70" i="18"/>
  <c r="E67" i="18"/>
  <c r="E70" i="18"/>
  <c r="AJ2" i="17"/>
  <c r="AJ1" i="17"/>
  <c r="X1" i="1"/>
  <c r="G13" i="16"/>
  <c r="G6" i="16"/>
  <c r="G9" i="15"/>
  <c r="G8" i="15"/>
  <c r="G10" i="15"/>
  <c r="G7" i="15"/>
  <c r="G8" i="14"/>
  <c r="G9" i="14"/>
  <c r="G10" i="14"/>
  <c r="G7" i="14"/>
  <c r="O7" i="14" s="1"/>
  <c r="O6" i="14"/>
  <c r="G6" i="13"/>
  <c r="G7" i="13" s="1"/>
  <c r="O7" i="13" s="1"/>
  <c r="G9" i="13"/>
  <c r="G10" i="13"/>
  <c r="G8" i="13"/>
  <c r="G5" i="12"/>
  <c r="G5" i="11"/>
  <c r="F39" i="10"/>
  <c r="D4" i="10"/>
  <c r="D11" i="10"/>
  <c r="E3" i="10"/>
  <c r="F2" i="10" s="1"/>
  <c r="G5" i="7"/>
  <c r="G5" i="6"/>
  <c r="G13" i="5"/>
  <c r="G6" i="5"/>
  <c r="G7" i="5" s="1"/>
  <c r="G13" i="4"/>
  <c r="G6" i="4"/>
  <c r="G7" i="4" s="1"/>
  <c r="G6" i="3"/>
  <c r="G7" i="3" s="1"/>
  <c r="G10" i="3"/>
  <c r="G9" i="3"/>
  <c r="G8" i="3"/>
  <c r="G13" i="2"/>
  <c r="G6" i="2"/>
  <c r="G7" i="2" s="1"/>
  <c r="F3" i="8" l="1"/>
  <c r="G2" i="8" s="1"/>
  <c r="E4" i="8"/>
  <c r="E11" i="8"/>
  <c r="P5" i="2"/>
  <c r="O5" i="2" s="1"/>
  <c r="P5" i="6"/>
  <c r="O5" i="6" s="1"/>
  <c r="P5" i="3"/>
  <c r="O5" i="3" s="1"/>
  <c r="P5" i="5"/>
  <c r="O5" i="5" s="1"/>
  <c r="P5" i="11"/>
  <c r="O5" i="11" s="1"/>
  <c r="P5" i="4"/>
  <c r="O5" i="4" s="1"/>
  <c r="Y1" i="1"/>
  <c r="G7" i="16"/>
  <c r="G8" i="16"/>
  <c r="G10" i="16"/>
  <c r="G9" i="16"/>
  <c r="I10" i="15"/>
  <c r="M10" i="15"/>
  <c r="I8" i="15"/>
  <c r="M8" i="15"/>
  <c r="M9" i="15"/>
  <c r="I9" i="15"/>
  <c r="I10" i="14"/>
  <c r="M10" i="14"/>
  <c r="M9" i="14"/>
  <c r="I9" i="14"/>
  <c r="M8" i="14"/>
  <c r="I8" i="14"/>
  <c r="O6" i="13"/>
  <c r="M10" i="13"/>
  <c r="I10" i="13"/>
  <c r="I8" i="13"/>
  <c r="M8" i="13"/>
  <c r="M9" i="13"/>
  <c r="I9" i="13"/>
  <c r="G6" i="12"/>
  <c r="G13" i="12"/>
  <c r="O5" i="12"/>
  <c r="G13" i="11"/>
  <c r="G6" i="11"/>
  <c r="G39" i="10"/>
  <c r="F3" i="10"/>
  <c r="G2" i="10" s="1"/>
  <c r="E4" i="10"/>
  <c r="E11" i="10"/>
  <c r="G6" i="7"/>
  <c r="G13" i="7"/>
  <c r="G13" i="6"/>
  <c r="G6" i="6"/>
  <c r="G7" i="6" s="1"/>
  <c r="G9" i="5"/>
  <c r="G10" i="5"/>
  <c r="G8" i="5"/>
  <c r="G8" i="4"/>
  <c r="G10" i="4"/>
  <c r="G9" i="4"/>
  <c r="I8" i="3"/>
  <c r="M8" i="3"/>
  <c r="M9" i="3"/>
  <c r="I9" i="3"/>
  <c r="M10" i="3"/>
  <c r="I10" i="3"/>
  <c r="G3" i="8" l="1"/>
  <c r="H2" i="8" s="1"/>
  <c r="G4" i="8"/>
  <c r="F4" i="8"/>
  <c r="F11" i="8"/>
  <c r="G7" i="7"/>
  <c r="G18" i="7"/>
  <c r="H18" i="7" s="1"/>
  <c r="P6" i="2"/>
  <c r="O6" i="2" s="1"/>
  <c r="P6" i="6"/>
  <c r="O6" i="6" s="1"/>
  <c r="P6" i="3"/>
  <c r="O6" i="3" s="1"/>
  <c r="P6" i="4"/>
  <c r="O6" i="4" s="1"/>
  <c r="P6" i="11"/>
  <c r="O6" i="11" s="1"/>
  <c r="P6" i="5"/>
  <c r="O6" i="5" s="1"/>
  <c r="Z1" i="1"/>
  <c r="M9" i="16"/>
  <c r="I9" i="16"/>
  <c r="M10" i="16"/>
  <c r="I10" i="16"/>
  <c r="M8" i="16"/>
  <c r="I8" i="16"/>
  <c r="G10" i="12"/>
  <c r="G8" i="12"/>
  <c r="G9" i="12"/>
  <c r="G7" i="12"/>
  <c r="O7" i="12" s="1"/>
  <c r="O6" i="12"/>
  <c r="G18" i="11"/>
  <c r="H18" i="11" s="1"/>
  <c r="G7" i="11"/>
  <c r="G9" i="11"/>
  <c r="G8" i="11"/>
  <c r="G10" i="11"/>
  <c r="H39" i="10"/>
  <c r="F11" i="10"/>
  <c r="G3" i="10"/>
  <c r="H2" i="10" s="1"/>
  <c r="F4" i="10"/>
  <c r="G8" i="7"/>
  <c r="G10" i="7"/>
  <c r="G9" i="7"/>
  <c r="G10" i="6"/>
  <c r="G9" i="6"/>
  <c r="G8" i="6"/>
  <c r="M8" i="5"/>
  <c r="I8" i="5"/>
  <c r="M10" i="5"/>
  <c r="I10" i="5"/>
  <c r="I9" i="5"/>
  <c r="M9" i="5"/>
  <c r="M9" i="4"/>
  <c r="I9" i="4"/>
  <c r="I10" i="4"/>
  <c r="M10" i="4"/>
  <c r="I8" i="4"/>
  <c r="M8" i="4"/>
  <c r="G11" i="8" l="1"/>
  <c r="H3" i="8"/>
  <c r="I2" i="8" s="1"/>
  <c r="H11" i="8"/>
  <c r="H4" i="8"/>
  <c r="P9" i="6"/>
  <c r="O9" i="6" s="1"/>
  <c r="P9" i="11"/>
  <c r="O9" i="11" s="1"/>
  <c r="P9" i="2"/>
  <c r="O9" i="2" s="1"/>
  <c r="P9" i="3"/>
  <c r="O9" i="3" s="1"/>
  <c r="P9" i="4"/>
  <c r="O9" i="4" s="1"/>
  <c r="P9" i="5"/>
  <c r="O9" i="5" s="1"/>
  <c r="P10" i="6"/>
  <c r="O10" i="6" s="1"/>
  <c r="P10" i="11"/>
  <c r="O10" i="11" s="1"/>
  <c r="P10" i="2"/>
  <c r="O10" i="2" s="1"/>
  <c r="P10" i="3"/>
  <c r="O10" i="3" s="1"/>
  <c r="P10" i="4"/>
  <c r="O10" i="4" s="1"/>
  <c r="P10" i="5"/>
  <c r="O10" i="5" s="1"/>
  <c r="P8" i="11"/>
  <c r="O8" i="11" s="1"/>
  <c r="P8" i="2"/>
  <c r="O8" i="2" s="1"/>
  <c r="P8" i="3"/>
  <c r="O8" i="3" s="1"/>
  <c r="P8" i="4"/>
  <c r="O8" i="4" s="1"/>
  <c r="P8" i="5"/>
  <c r="O8" i="5" s="1"/>
  <c r="P8" i="6"/>
  <c r="O8" i="6" s="1"/>
  <c r="P7" i="2"/>
  <c r="O7" i="2" s="1"/>
  <c r="P7" i="6"/>
  <c r="O7" i="6" s="1"/>
  <c r="P7" i="3"/>
  <c r="O7" i="3" s="1"/>
  <c r="P7" i="4"/>
  <c r="O7" i="4" s="1"/>
  <c r="P7" i="11"/>
  <c r="O7" i="11" s="1"/>
  <c r="P7" i="5"/>
  <c r="O7" i="5" s="1"/>
  <c r="AA1" i="1"/>
  <c r="I9" i="12"/>
  <c r="M9" i="12"/>
  <c r="I8" i="12"/>
  <c r="M8" i="12"/>
  <c r="M10" i="12"/>
  <c r="I10" i="12"/>
  <c r="M10" i="11"/>
  <c r="I10" i="11"/>
  <c r="M8" i="11"/>
  <c r="I8" i="11"/>
  <c r="I9" i="11"/>
  <c r="M9" i="11"/>
  <c r="I39" i="10"/>
  <c r="G11" i="10"/>
  <c r="H3" i="10"/>
  <c r="I2" i="10" s="1"/>
  <c r="G4" i="10"/>
  <c r="M8" i="7"/>
  <c r="I8" i="7"/>
  <c r="I9" i="7"/>
  <c r="M9" i="7"/>
  <c r="M10" i="7"/>
  <c r="I10" i="7"/>
  <c r="M8" i="6"/>
  <c r="I8" i="6"/>
  <c r="M9" i="6"/>
  <c r="I9" i="6"/>
  <c r="I10" i="6"/>
  <c r="M10" i="6"/>
  <c r="I3" i="8" l="1"/>
  <c r="J2" i="8" s="1"/>
  <c r="I4" i="8"/>
  <c r="AB1" i="1"/>
  <c r="J39" i="10"/>
  <c r="H11" i="10"/>
  <c r="I3" i="10"/>
  <c r="J2" i="10" s="1"/>
  <c r="H4" i="10"/>
  <c r="I11" i="8" l="1"/>
  <c r="J3" i="8"/>
  <c r="K2" i="8" s="1"/>
  <c r="J11" i="8"/>
  <c r="J4" i="8"/>
  <c r="AC1" i="1"/>
  <c r="K39" i="10"/>
  <c r="J3" i="10"/>
  <c r="K2" i="10" s="1"/>
  <c r="I4" i="10"/>
  <c r="I11" i="10"/>
  <c r="K3" i="8" l="1"/>
  <c r="L2" i="8" s="1"/>
  <c r="K11" i="8"/>
  <c r="K4" i="8"/>
  <c r="AD1" i="1"/>
  <c r="L39" i="10"/>
  <c r="K3" i="10"/>
  <c r="L2" i="10" s="1"/>
  <c r="J4" i="10"/>
  <c r="J11" i="10"/>
  <c r="L3" i="8" l="1"/>
  <c r="M2" i="8" s="1"/>
  <c r="AE1" i="1"/>
  <c r="M39" i="10"/>
  <c r="K11" i="10"/>
  <c r="K4" i="10"/>
  <c r="L3" i="10"/>
  <c r="M2" i="10" s="1"/>
  <c r="L4" i="8" l="1"/>
  <c r="L11" i="8"/>
  <c r="M3" i="8"/>
  <c r="N2" i="8" s="1"/>
  <c r="M11" i="8"/>
  <c r="M4" i="8"/>
  <c r="AG1" i="1"/>
  <c r="AF1" i="1"/>
  <c r="N39" i="10"/>
  <c r="L11" i="10"/>
  <c r="M3" i="10"/>
  <c r="N2" i="10" s="1"/>
  <c r="L4" i="10"/>
  <c r="N3" i="8" l="1"/>
  <c r="O2" i="8" s="1"/>
  <c r="N11" i="8"/>
  <c r="N4" i="8"/>
  <c r="AJ1" i="1"/>
  <c r="AJ2" i="1"/>
  <c r="O39" i="10"/>
  <c r="M11" i="10"/>
  <c r="M4" i="10"/>
  <c r="N3" i="10"/>
  <c r="O2" i="10" s="1"/>
  <c r="O3" i="8" l="1"/>
  <c r="P2" i="8" s="1"/>
  <c r="O4" i="8"/>
  <c r="O11" i="8"/>
  <c r="P39" i="10"/>
  <c r="N4" i="10"/>
  <c r="N11" i="10"/>
  <c r="O3" i="10"/>
  <c r="P2" i="10" s="1"/>
  <c r="P3" i="8" l="1"/>
  <c r="Q2" i="8" s="1"/>
  <c r="Q39" i="10"/>
  <c r="O11" i="10"/>
  <c r="O4" i="10"/>
  <c r="P3" i="10"/>
  <c r="Q2" i="10" s="1"/>
  <c r="P4" i="8" l="1"/>
  <c r="P11" i="8"/>
  <c r="Q3" i="8"/>
  <c r="R2" i="8" s="1"/>
  <c r="R39" i="10"/>
  <c r="P4" i="10"/>
  <c r="P11" i="10"/>
  <c r="Q3" i="10"/>
  <c r="R2" i="10" s="1"/>
  <c r="Q4" i="8" l="1"/>
  <c r="Q11" i="8"/>
  <c r="R3" i="8"/>
  <c r="S2" i="8" s="1"/>
  <c r="S39" i="10"/>
  <c r="R3" i="10"/>
  <c r="S2" i="10" s="1"/>
  <c r="Q11" i="10"/>
  <c r="Q4" i="10"/>
  <c r="R11" i="8" l="1"/>
  <c r="R4" i="8"/>
  <c r="S3" i="8"/>
  <c r="T2" i="8" s="1"/>
  <c r="S11" i="8"/>
  <c r="S4" i="8"/>
  <c r="T39" i="10"/>
  <c r="R4" i="10"/>
  <c r="R11" i="10"/>
  <c r="S3" i="10"/>
  <c r="T2" i="10" s="1"/>
  <c r="T3" i="8" l="1"/>
  <c r="T11" i="8" s="1"/>
  <c r="S4" i="10"/>
  <c r="T3" i="10"/>
  <c r="T11" i="10" s="1"/>
  <c r="S11" i="10"/>
  <c r="T4" i="8" l="1"/>
  <c r="T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<sst xmlns="http://schemas.openxmlformats.org/spreadsheetml/2006/main" count="286" uniqueCount="59">
  <si>
    <t>мат ож</t>
  </si>
  <si>
    <t>дисперсия</t>
  </si>
  <si>
    <t>ср кв отклонение</t>
  </si>
  <si>
    <t>коэфф вариации</t>
  </si>
  <si>
    <t>доверительный интервал</t>
  </si>
  <si>
    <t>относ отклонение (относ 300)</t>
  </si>
  <si>
    <t>кол-во</t>
  </si>
  <si>
    <t>x - m_volna ^ 2</t>
  </si>
  <si>
    <t>sigma_m</t>
  </si>
  <si>
    <t>t_p</t>
  </si>
  <si>
    <t>&lt;</t>
  </si>
  <si>
    <t>Отклонение от эталона</t>
  </si>
  <si>
    <t>x - m</t>
  </si>
  <si>
    <t>левая</t>
  </si>
  <si>
    <t>правая</t>
  </si>
  <si>
    <t>частота</t>
  </si>
  <si>
    <t>шаг</t>
  </si>
  <si>
    <t>ВАЩЕ ЖЕСТЬ ПОХОЖЕ!!!</t>
  </si>
  <si>
    <t>24.13; 78.91</t>
  </si>
  <si>
    <t>78.91; 133.7</t>
  </si>
  <si>
    <t>133.7; 188.48</t>
  </si>
  <si>
    <t>188.48; 243.26</t>
  </si>
  <si>
    <t>243.26; 298.04</t>
  </si>
  <si>
    <t>298.04; 352.83</t>
  </si>
  <si>
    <t>352.83; 407.61</t>
  </si>
  <si>
    <t>407.61; 462.39</t>
  </si>
  <si>
    <t>462.39; 517.18</t>
  </si>
  <si>
    <t>517.18; 571.96</t>
  </si>
  <si>
    <t>571.96; 626.74</t>
  </si>
  <si>
    <t>626.74; 681.53</t>
  </si>
  <si>
    <t>681.53; 736.31</t>
  </si>
  <si>
    <t>736.31; 791.09</t>
  </si>
  <si>
    <t>791.09; 845.88</t>
  </si>
  <si>
    <t>845.88; 900.66</t>
  </si>
  <si>
    <t>900.66; 955.44</t>
  </si>
  <si>
    <t>955.44; 1010.23</t>
  </si>
  <si>
    <t>20.67; 84.81</t>
  </si>
  <si>
    <t>84.81; 148.96</t>
  </si>
  <si>
    <t>148.96; 213.1</t>
  </si>
  <si>
    <t>213.1; 277.25</t>
  </si>
  <si>
    <t>277.25; 341.39</t>
  </si>
  <si>
    <t>341.39; 405.53</t>
  </si>
  <si>
    <t>405.53; 469.68</t>
  </si>
  <si>
    <t>469.68; 533.82</t>
  </si>
  <si>
    <t>533.82; 597.96</t>
  </si>
  <si>
    <t>597.96; 662.11</t>
  </si>
  <si>
    <t>662.11; 726.25</t>
  </si>
  <si>
    <t>726.25; 790.4</t>
  </si>
  <si>
    <t>790.4; 854.54</t>
  </si>
  <si>
    <t>854.54; 918.68</t>
  </si>
  <si>
    <t>918.68; 982.83</t>
  </si>
  <si>
    <t>982.83; 1046.97</t>
  </si>
  <si>
    <t>1046.97; 1111.11</t>
  </si>
  <si>
    <t>1111.11; 1175.26</t>
  </si>
  <si>
    <t>x - x ovel</t>
  </si>
  <si>
    <t>y - y over</t>
  </si>
  <si>
    <t>x-x * y-y\</t>
  </si>
  <si>
    <t>x-x 2</t>
  </si>
  <si>
    <t>y-y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</si>
</sst>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164" fontId="2" fillId="0" borderId="0" xfId="2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9" fontId="0" fillId="2" borderId="0" xfId="1" applyFont="1" applyFill="1"/>
    <xf numFmtId="9" fontId="0" fillId="0" borderId="0" xfId="1" applyFont="1"/>
    <xf numFmtId="0" fontId="0" fillId="0" borderId="0" xfId="0" applyAlignment="1">
      <alignment horizontal="center" wrapText="1"/>
    </xf>
    <xf numFmtId="164" fontId="2" fillId="0" borderId="0" xfId="2" applyNumberFormat="1"/>
    <xf numFmtId="164" fontId="2" fillId="0" borderId="0" xfId="2" applyNumberFormat="1"/>
  </cellXfs>
  <cellStyles count="3">
    <cellStyle name="Обычный" xfId="0" builtinId="0"/>
    <cellStyle name="Обычный 2" xfId="2" xr:uid="{406A7428-22E9-4981-9A90-53C6AB3FBD8D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256486653056829E-2"/>
          <c:y val="0.10795135937462835"/>
          <c:w val="0.90601492589586996"/>
          <c:h val="0.83302087898598021"/>
        </c:manualLayout>
      </c:layout>
      <c:lineChart>
        <c:grouping val="standard"/>
        <c:varyColors val="0"/>
        <c:ser>
          <c:idx val="1"/>
          <c:order val="0"/>
          <c:marker>
            <c:symbol val="none"/>
          </c:marker>
          <c:val>
            <c:numRef>
              <c:f>'Лист1 ген'!$S$1:$AG$1</c:f>
              <c:numCache>
                <c:formatCode>General</c:formatCode>
                <c:ptCount val="15"/>
                <c:pt idx="0">
                  <c:v>2.0994280652664357E-2</c:v>
                </c:pt>
                <c:pt idx="1">
                  <c:v>-1.2883530260951043E-2</c:v>
                </c:pt>
                <c:pt idx="2">
                  <c:v>-0.12895105735293214</c:v>
                </c:pt>
                <c:pt idx="3">
                  <c:v>3.0501461247311838E-2</c:v>
                </c:pt>
                <c:pt idx="4">
                  <c:v>-5.042559850138132E-2</c:v>
                </c:pt>
                <c:pt idx="5">
                  <c:v>3.618547806985891E-2</c:v>
                </c:pt>
                <c:pt idx="6">
                  <c:v>-2.9315588048041186E-2</c:v>
                </c:pt>
                <c:pt idx="7">
                  <c:v>2.3654263430050365E-2</c:v>
                </c:pt>
                <c:pt idx="8">
                  <c:v>-8.233706081661965E-2</c:v>
                </c:pt>
                <c:pt idx="9">
                  <c:v>-7.1618303882132403E-2</c:v>
                </c:pt>
                <c:pt idx="10">
                  <c:v>-1.4472613836696308E-2</c:v>
                </c:pt>
                <c:pt idx="11">
                  <c:v>4.3918925221466121E-2</c:v>
                </c:pt>
                <c:pt idx="12">
                  <c:v>-6.5759763209642436E-4</c:v>
                </c:pt>
                <c:pt idx="13">
                  <c:v>-5.7710804347221804E-2</c:v>
                </c:pt>
                <c:pt idx="14">
                  <c:v>-7.0019005461876949E-2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4C-49EB-A1B9-4E3C2F21B3D1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Лист1!$S$1:$AG$1</c:f>
              <c:numCache>
                <c:formatCode>0.000</c:formatCode>
                <c:ptCount val="15"/>
                <c:pt idx="0">
                  <c:v>-3.1988354872457853E-2</c:v>
                </c:pt>
                <c:pt idx="1">
                  <c:v>-3.0426632726997145E-2</c:v>
                </c:pt>
                <c:pt idx="2">
                  <c:v>-4.9195742628947541E-2</c:v>
                </c:pt>
                <c:pt idx="3">
                  <c:v>4.2372882773105656E-3</c:v>
                </c:pt>
                <c:pt idx="4">
                  <c:v>2.9058435421817096E-2</c:v>
                </c:pt>
                <c:pt idx="5">
                  <c:v>6.8666815576322232E-2</c:v>
                </c:pt>
                <c:pt idx="6">
                  <c:v>1.1581391236112614E-2</c:v>
                </c:pt>
                <c:pt idx="7">
                  <c:v>5.8080888573985655E-2</c:v>
                </c:pt>
                <c:pt idx="8">
                  <c:v>7.0174641794295264E-2</c:v>
                </c:pt>
                <c:pt idx="9">
                  <c:v>-4.1811578677852304E-2</c:v>
                </c:pt>
                <c:pt idx="10">
                  <c:v>1.087997281537898E-2</c:v>
                </c:pt>
                <c:pt idx="11">
                  <c:v>-4.5146029319797151E-3</c:v>
                </c:pt>
                <c:pt idx="12">
                  <c:v>-2.4007167643684633E-2</c:v>
                </c:pt>
                <c:pt idx="13">
                  <c:v>-3.5223292687641343E-2</c:v>
                </c:pt>
                <c:pt idx="14">
                  <c:v>7.7740053206234007E-3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4C-49EB-A1B9-4E3C2F21B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92959"/>
        <c:axId val="1394193919"/>
      </c:lineChart>
      <c:catAx>
        <c:axId val="1394192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3919"/>
        <c:crosses val="autoZero"/>
        <c:auto val="1"/>
        <c:lblAlgn val="ctr"/>
        <c:lblOffset val="100"/>
        <c:noMultiLvlLbl val="0"/>
      </c:catAx>
      <c:valAx>
        <c:axId val="139419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2959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гистограмм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сравнение!$A$30:$R$30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сравнение!$A$31:$R$31</c:f>
              <c:numCache>
                <c:formatCode>General</c:formatCode>
                <c:ptCount val="18"/>
                <c:pt idx="0">
                  <c:v>25</c:v>
                </c:pt>
                <c:pt idx="1">
                  <c:v>50</c:v>
                </c:pt>
                <c:pt idx="2">
                  <c:v>55</c:v>
                </c:pt>
                <c:pt idx="3">
                  <c:v>41</c:v>
                </c:pt>
                <c:pt idx="4">
                  <c:v>40</c:v>
                </c:pt>
                <c:pt idx="5">
                  <c:v>28</c:v>
                </c:pt>
                <c:pt idx="6">
                  <c:v>22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80-43EA-B106-0AD42B739B19}"/>
            </c:ext>
          </c:extLst>
        </c:ser>
        <c:ser>
          <c:idx val="1"/>
          <c:order val="1"/>
          <c:tx>
            <c:strRef>
              <c:f>сравнение!$A$30:$R$30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сравнение!$A$32:$R$32</c:f>
              <c:numCache>
                <c:formatCode>General</c:formatCode>
                <c:ptCount val="18"/>
                <c:pt idx="0">
                  <c:v>26</c:v>
                </c:pt>
                <c:pt idx="1">
                  <c:v>36</c:v>
                </c:pt>
                <c:pt idx="2">
                  <c:v>49</c:v>
                </c:pt>
                <c:pt idx="3">
                  <c:v>39</c:v>
                </c:pt>
                <c:pt idx="4">
                  <c:v>39</c:v>
                </c:pt>
                <c:pt idx="5">
                  <c:v>25</c:v>
                </c:pt>
                <c:pt idx="6">
                  <c:v>18</c:v>
                </c:pt>
                <c:pt idx="7">
                  <c:v>19</c:v>
                </c:pt>
                <c:pt idx="8">
                  <c:v>23</c:v>
                </c:pt>
                <c:pt idx="9">
                  <c:v>8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80-43EA-B106-0AD42B739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533951"/>
        <c:axId val="1271533471"/>
      </c:barChart>
      <c:catAx>
        <c:axId val="1271533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33471"/>
        <c:crosses val="autoZero"/>
        <c:auto val="1"/>
        <c:lblAlgn val="ctr"/>
        <c:lblOffset val="100"/>
        <c:noMultiLvlLbl val="0"/>
      </c:catAx>
      <c:valAx>
        <c:axId val="127153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53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801277261785718E-2"/>
          <c:y val="9.6969666119568559E-2"/>
          <c:w val="0.88949627657439723"/>
          <c:h val="0.6818440525430518"/>
        </c:manualLayout>
      </c:layout>
      <c:lineChart>
        <c:grouping val="standard"/>
        <c:varyColors val="0"/>
        <c:ser>
          <c:idx val="1"/>
          <c:order val="0"/>
          <c:tx>
            <c:strRef>
              <c:f>ген!$C$38:$U$38</c:f>
              <c:strCache>
                <c:ptCount val="19"/>
                <c:pt idx="0">
                  <c:v>24.12892002</c:v>
                </c:pt>
                <c:pt idx="1">
                  <c:v>78.91213059</c:v>
                </c:pt>
                <c:pt idx="2">
                  <c:v>133.6953412</c:v>
                </c:pt>
                <c:pt idx="3">
                  <c:v>188.4785517</c:v>
                </c:pt>
                <c:pt idx="4">
                  <c:v>243.2617623</c:v>
                </c:pt>
                <c:pt idx="5">
                  <c:v>298.0449729</c:v>
                </c:pt>
                <c:pt idx="6">
                  <c:v>352.8281834</c:v>
                </c:pt>
                <c:pt idx="7">
                  <c:v>407.611394</c:v>
                </c:pt>
                <c:pt idx="8">
                  <c:v>462.3946046</c:v>
                </c:pt>
                <c:pt idx="9">
                  <c:v>517.1778151</c:v>
                </c:pt>
                <c:pt idx="10">
                  <c:v>571.9610257</c:v>
                </c:pt>
                <c:pt idx="11">
                  <c:v>626.7442363</c:v>
                </c:pt>
                <c:pt idx="12">
                  <c:v>681.5274469</c:v>
                </c:pt>
                <c:pt idx="13">
                  <c:v>736.3106574</c:v>
                </c:pt>
                <c:pt idx="14">
                  <c:v>791.093868</c:v>
                </c:pt>
                <c:pt idx="15">
                  <c:v>845.8770786</c:v>
                </c:pt>
                <c:pt idx="16">
                  <c:v>900.6602891</c:v>
                </c:pt>
                <c:pt idx="17">
                  <c:v>955.4434997</c:v>
                </c:pt>
                <c:pt idx="18">
                  <c:v>1010.22671</c:v>
                </c:pt>
              </c:strCache>
            </c:strRef>
          </c:tx>
          <c:marker>
            <c:symbol val="none"/>
          </c:marker>
          <c:val>
            <c:numRef>
              <c:f>ген!$C$39:$U$39</c:f>
              <c:numCache>
                <c:formatCode>General</c:formatCode>
                <c:ptCount val="19"/>
                <c:pt idx="0">
                  <c:v>6.945521352187151E-4</c:v>
                </c:pt>
                <c:pt idx="1">
                  <c:v>2.7897928121633784E-3</c:v>
                </c:pt>
                <c:pt idx="2">
                  <c:v>3.88685080974913E-3</c:v>
                </c:pt>
                <c:pt idx="3">
                  <c:v>4.0281956685508579E-3</c:v>
                </c:pt>
                <c:pt idx="4">
                  <c:v>3.6216772211380161E-3</c:v>
                </c:pt>
                <c:pt idx="5">
                  <c:v>2.9944620213159089E-3</c:v>
                </c:pt>
                <c:pt idx="6">
                  <c:v>2.3425977913182016E-3</c:v>
                </c:pt>
                <c:pt idx="7">
                  <c:v>1.7620338675948585E-3</c:v>
                </c:pt>
                <c:pt idx="8">
                  <c:v>1.2870215911068997E-3</c:v>
                </c:pt>
                <c:pt idx="9">
                  <c:v>9.1891159865253619E-4</c:v>
                </c:pt>
                <c:pt idx="10">
                  <c:v>6.4427635076609667E-4</c:v>
                </c:pt>
                <c:pt idx="11">
                  <c:v>4.4506844274601906E-4</c:v>
                </c:pt>
                <c:pt idx="12">
                  <c:v>3.0368195115987843E-4</c:v>
                </c:pt>
                <c:pt idx="13">
                  <c:v>2.0505901331708634E-4</c:v>
                </c:pt>
                <c:pt idx="14">
                  <c:v>1.3723269490370941E-4</c:v>
                </c:pt>
                <c:pt idx="15">
                  <c:v>9.1132932052038584E-5</c:v>
                </c:pt>
                <c:pt idx="16">
                  <c:v>6.0111041621564554E-5</c:v>
                </c:pt>
                <c:pt idx="17">
                  <c:v>3.9413191816507512E-5</c:v>
                </c:pt>
                <c:pt idx="18">
                  <c:v>2.5705529153013902E-5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EB-4667-AA21-0D9AC3B36655}"/>
            </c:ext>
          </c:extLst>
        </c:ser>
        <c:ser>
          <c:idx val="0"/>
          <c:order val="1"/>
          <c:tx>
            <c:strRef>
              <c:f>Лист8!$C$38:$U$38</c:f>
              <c:strCache>
                <c:ptCount val="19"/>
                <c:pt idx="0">
                  <c:v>20.67041365</c:v>
                </c:pt>
                <c:pt idx="1">
                  <c:v>84.81413992</c:v>
                </c:pt>
                <c:pt idx="2">
                  <c:v>148.9578662</c:v>
                </c:pt>
                <c:pt idx="3">
                  <c:v>213.1015925</c:v>
                </c:pt>
                <c:pt idx="4">
                  <c:v>277.2453187</c:v>
                </c:pt>
                <c:pt idx="5">
                  <c:v>341.389045</c:v>
                </c:pt>
                <c:pt idx="6">
                  <c:v>405.5327713</c:v>
                </c:pt>
                <c:pt idx="7">
                  <c:v>469.6764976</c:v>
                </c:pt>
                <c:pt idx="8">
                  <c:v>533.8202238</c:v>
                </c:pt>
                <c:pt idx="9">
                  <c:v>597.9639501</c:v>
                </c:pt>
                <c:pt idx="10">
                  <c:v>662.1076764</c:v>
                </c:pt>
                <c:pt idx="11">
                  <c:v>726.2514027</c:v>
                </c:pt>
                <c:pt idx="12">
                  <c:v>790.3951289</c:v>
                </c:pt>
                <c:pt idx="13">
                  <c:v>854.5388552</c:v>
                </c:pt>
                <c:pt idx="14">
                  <c:v>918.6825815</c:v>
                </c:pt>
                <c:pt idx="15">
                  <c:v>982.8263078</c:v>
                </c:pt>
                <c:pt idx="16">
                  <c:v>1046.970034</c:v>
                </c:pt>
                <c:pt idx="17">
                  <c:v>1111.11376</c:v>
                </c:pt>
                <c:pt idx="18">
                  <c:v>1175.257487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Лист8!$C$39:$U$39</c:f>
              <c:numCache>
                <c:formatCode>General</c:formatCode>
                <c:ptCount val="19"/>
                <c:pt idx="0">
                  <c:v>5.5939259512751815E-4</c:v>
                </c:pt>
                <c:pt idx="1">
                  <c:v>2.963497390952237E-3</c:v>
                </c:pt>
                <c:pt idx="2">
                  <c:v>4.0050296455482965E-3</c:v>
                </c:pt>
                <c:pt idx="3">
                  <c:v>3.8905412563577861E-3</c:v>
                </c:pt>
                <c:pt idx="4">
                  <c:v>3.2434919232938722E-3</c:v>
                </c:pt>
                <c:pt idx="5">
                  <c:v>2.4748655795307052E-3</c:v>
                </c:pt>
                <c:pt idx="6">
                  <c:v>1.7822207950757341E-3</c:v>
                </c:pt>
                <c:pt idx="7">
                  <c:v>1.232130933352742E-3</c:v>
                </c:pt>
                <c:pt idx="8">
                  <c:v>8.2639671001765792E-4</c:v>
                </c:pt>
                <c:pt idx="9">
                  <c:v>5.4144185302396064E-4</c:v>
                </c:pt>
                <c:pt idx="10">
                  <c:v>3.481954831888806E-4</c:v>
                </c:pt>
                <c:pt idx="11">
                  <c:v>2.205471673396451E-4</c:v>
                </c:pt>
                <c:pt idx="12">
                  <c:v>1.3794450976394881E-4</c:v>
                </c:pt>
                <c:pt idx="13">
                  <c:v>8.5366486563242315E-5</c:v>
                </c:pt>
                <c:pt idx="14">
                  <c:v>5.2350384325547398E-5</c:v>
                </c:pt>
                <c:pt idx="15">
                  <c:v>3.1851913448155247E-5</c:v>
                </c:pt>
                <c:pt idx="16">
                  <c:v>1.9247163139208614E-5</c:v>
                </c:pt>
                <c:pt idx="17">
                  <c:v>1.1560287427150067E-5</c:v>
                </c:pt>
                <c:pt idx="18">
                  <c:v>6.9061585700231345E-6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EB-4667-AA21-0D9AC3B36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428191"/>
        <c:axId val="1662429631"/>
      </c:lineChart>
      <c:catAx>
        <c:axId val="166242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29631"/>
        <c:crosses val="autoZero"/>
        <c:auto val="1"/>
        <c:lblAlgn val="ctr"/>
        <c:lblOffset val="100"/>
        <c:noMultiLvlLbl val="0"/>
      </c:catAx>
      <c:valAx>
        <c:axId val="166242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2819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числовой последовательности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'Лист1 ген'!$A$4:$A$303</c:f>
              <c:numCache>
                <c:formatCode>General</c:formatCode>
                <c:ptCount val="300"/>
                <c:pt idx="0">
                  <c:v>209.5288109206173</c:v>
                </c:pt>
                <c:pt idx="1">
                  <c:v>234.92815281748139</c:v>
                </c:pt>
                <c:pt idx="2">
                  <c:v>70.260555548940616</c:v>
                </c:pt>
                <c:pt idx="3">
                  <c:v>369.86281739777667</c:v>
                </c:pt>
                <c:pt idx="4">
                  <c:v>332.22945392144737</c:v>
                </c:pt>
                <c:pt idx="5">
                  <c:v>130.66504585089956</c:v>
                </c:pt>
                <c:pt idx="6">
                  <c:v>107.26249292252238</c:v>
                </c:pt>
                <c:pt idx="7">
                  <c:v>304.89436045962498</c:v>
                </c:pt>
                <c:pt idx="8">
                  <c:v>220.47323459778454</c:v>
                </c:pt>
                <c:pt idx="9">
                  <c:v>681.11685365201038</c:v>
                </c:pt>
                <c:pt idx="10">
                  <c:v>254.72990256535178</c:v>
                </c:pt>
                <c:pt idx="11">
                  <c:v>235.08798478663388</c:v>
                </c:pt>
                <c:pt idx="12">
                  <c:v>121.42862981203696</c:v>
                </c:pt>
                <c:pt idx="13">
                  <c:v>105.02894169849054</c:v>
                </c:pt>
                <c:pt idx="14">
                  <c:v>443.57479891176058</c:v>
                </c:pt>
                <c:pt idx="15">
                  <c:v>267.03746963636996</c:v>
                </c:pt>
                <c:pt idx="16">
                  <c:v>401.70769464597328</c:v>
                </c:pt>
                <c:pt idx="17">
                  <c:v>59.379924321729256</c:v>
                </c:pt>
                <c:pt idx="18">
                  <c:v>774.96763544059399</c:v>
                </c:pt>
                <c:pt idx="19">
                  <c:v>169.47108847850711</c:v>
                </c:pt>
                <c:pt idx="20">
                  <c:v>615.23664584887263</c:v>
                </c:pt>
                <c:pt idx="21">
                  <c:v>80.798660467993969</c:v>
                </c:pt>
                <c:pt idx="22">
                  <c:v>368.01975475886582</c:v>
                </c:pt>
                <c:pt idx="23">
                  <c:v>259.37419471341775</c:v>
                </c:pt>
                <c:pt idx="24">
                  <c:v>164.98614481728714</c:v>
                </c:pt>
                <c:pt idx="25">
                  <c:v>326.93468592479508</c:v>
                </c:pt>
                <c:pt idx="26">
                  <c:v>594.28891545738736</c:v>
                </c:pt>
                <c:pt idx="27">
                  <c:v>67.642177200888</c:v>
                </c:pt>
                <c:pt idx="28">
                  <c:v>327.53880603093648</c:v>
                </c:pt>
                <c:pt idx="29">
                  <c:v>244.11185637314551</c:v>
                </c:pt>
                <c:pt idx="30">
                  <c:v>341.49190856028713</c:v>
                </c:pt>
                <c:pt idx="31">
                  <c:v>245.6669964273672</c:v>
                </c:pt>
                <c:pt idx="32">
                  <c:v>90.522743756656411</c:v>
                </c:pt>
                <c:pt idx="33">
                  <c:v>372.04227444802433</c:v>
                </c:pt>
                <c:pt idx="34">
                  <c:v>234.50838155808407</c:v>
                </c:pt>
                <c:pt idx="35">
                  <c:v>271.38612176538788</c:v>
                </c:pt>
                <c:pt idx="36">
                  <c:v>276.61619037549502</c:v>
                </c:pt>
                <c:pt idx="37">
                  <c:v>305.02362963278551</c:v>
                </c:pt>
                <c:pt idx="38">
                  <c:v>132.36814076666116</c:v>
                </c:pt>
                <c:pt idx="39">
                  <c:v>315.68165521645199</c:v>
                </c:pt>
                <c:pt idx="40">
                  <c:v>190.90805625163031</c:v>
                </c:pt>
                <c:pt idx="41">
                  <c:v>169.49679909189314</c:v>
                </c:pt>
                <c:pt idx="42">
                  <c:v>387.44212866851188</c:v>
                </c:pt>
                <c:pt idx="43">
                  <c:v>482.23771912995119</c:v>
                </c:pt>
                <c:pt idx="44">
                  <c:v>169.89721429943333</c:v>
                </c:pt>
                <c:pt idx="45">
                  <c:v>169.24970694165125</c:v>
                </c:pt>
                <c:pt idx="46">
                  <c:v>157.80896181471908</c:v>
                </c:pt>
                <c:pt idx="47">
                  <c:v>234.48900683505167</c:v>
                </c:pt>
                <c:pt idx="48">
                  <c:v>223.62841557033812</c:v>
                </c:pt>
                <c:pt idx="49">
                  <c:v>144.59081370771773</c:v>
                </c:pt>
                <c:pt idx="50">
                  <c:v>538.7878849706276</c:v>
                </c:pt>
                <c:pt idx="51">
                  <c:v>268.51540072322712</c:v>
                </c:pt>
                <c:pt idx="52">
                  <c:v>486.36609639678198</c:v>
                </c:pt>
                <c:pt idx="53">
                  <c:v>280.20437326630719</c:v>
                </c:pt>
                <c:pt idx="54">
                  <c:v>467.16073967148657</c:v>
                </c:pt>
                <c:pt idx="55">
                  <c:v>163.15559400539996</c:v>
                </c:pt>
                <c:pt idx="56">
                  <c:v>504.13069662243396</c:v>
                </c:pt>
                <c:pt idx="57">
                  <c:v>434.01183362842283</c:v>
                </c:pt>
                <c:pt idx="58">
                  <c:v>488.99389597185382</c:v>
                </c:pt>
                <c:pt idx="59">
                  <c:v>166.78355523008983</c:v>
                </c:pt>
                <c:pt idx="60">
                  <c:v>52.658388575742862</c:v>
                </c:pt>
                <c:pt idx="61">
                  <c:v>173.16219460145086</c:v>
                </c:pt>
                <c:pt idx="62">
                  <c:v>252.11587739497912</c:v>
                </c:pt>
                <c:pt idx="63">
                  <c:v>441.64480091025371</c:v>
                </c:pt>
                <c:pt idx="64">
                  <c:v>47.848498048560792</c:v>
                </c:pt>
                <c:pt idx="65">
                  <c:v>144.80469715405297</c:v>
                </c:pt>
                <c:pt idx="66">
                  <c:v>59.869896269984665</c:v>
                </c:pt>
                <c:pt idx="67">
                  <c:v>335.82089896048655</c:v>
                </c:pt>
                <c:pt idx="68">
                  <c:v>473.80666636238794</c:v>
                </c:pt>
                <c:pt idx="69">
                  <c:v>297.27969468721159</c:v>
                </c:pt>
                <c:pt idx="70">
                  <c:v>98.255300531989789</c:v>
                </c:pt>
                <c:pt idx="71">
                  <c:v>518.62926994183226</c:v>
                </c:pt>
                <c:pt idx="72">
                  <c:v>93.97636635450155</c:v>
                </c:pt>
                <c:pt idx="73">
                  <c:v>142.43278079553824</c:v>
                </c:pt>
                <c:pt idx="74">
                  <c:v>455.82920256252265</c:v>
                </c:pt>
                <c:pt idx="75">
                  <c:v>596.23910759302396</c:v>
                </c:pt>
                <c:pt idx="76">
                  <c:v>295.96022618973575</c:v>
                </c:pt>
                <c:pt idx="77">
                  <c:v>67.942553282927193</c:v>
                </c:pt>
                <c:pt idx="78">
                  <c:v>96.558471319182118</c:v>
                </c:pt>
                <c:pt idx="79">
                  <c:v>343.86748024853443</c:v>
                </c:pt>
                <c:pt idx="80">
                  <c:v>281.18845620463583</c:v>
                </c:pt>
                <c:pt idx="81">
                  <c:v>917.4372022271923</c:v>
                </c:pt>
                <c:pt idx="82">
                  <c:v>262.43180773473506</c:v>
                </c:pt>
                <c:pt idx="83">
                  <c:v>524.45340443223631</c:v>
                </c:pt>
                <c:pt idx="84">
                  <c:v>134.02595032352656</c:v>
                </c:pt>
                <c:pt idx="85">
                  <c:v>396.88023212302858</c:v>
                </c:pt>
                <c:pt idx="86">
                  <c:v>141.09243653739904</c:v>
                </c:pt>
                <c:pt idx="87">
                  <c:v>218.46556492072142</c:v>
                </c:pt>
                <c:pt idx="88">
                  <c:v>44.628549494627542</c:v>
                </c:pt>
                <c:pt idx="89">
                  <c:v>71.435914829738323</c:v>
                </c:pt>
                <c:pt idx="90">
                  <c:v>76.092501582313901</c:v>
                </c:pt>
                <c:pt idx="91">
                  <c:v>228.21227440928192</c:v>
                </c:pt>
                <c:pt idx="92">
                  <c:v>164.19817093997014</c:v>
                </c:pt>
                <c:pt idx="93">
                  <c:v>386.67439941582165</c:v>
                </c:pt>
                <c:pt idx="94">
                  <c:v>227.77808120394292</c:v>
                </c:pt>
                <c:pt idx="95">
                  <c:v>90.238303630962534</c:v>
                </c:pt>
                <c:pt idx="96">
                  <c:v>49.362781749031946</c:v>
                </c:pt>
                <c:pt idx="97">
                  <c:v>174.2857724255922</c:v>
                </c:pt>
                <c:pt idx="98">
                  <c:v>67.204182385311015</c:v>
                </c:pt>
                <c:pt idx="99">
                  <c:v>321.74950872972528</c:v>
                </c:pt>
                <c:pt idx="100">
                  <c:v>206.96341547082537</c:v>
                </c:pt>
                <c:pt idx="101">
                  <c:v>475.33281283571608</c:v>
                </c:pt>
                <c:pt idx="102">
                  <c:v>562.61973907776724</c:v>
                </c:pt>
                <c:pt idx="103">
                  <c:v>135.43318257134754</c:v>
                </c:pt>
                <c:pt idx="104">
                  <c:v>502.17393063270958</c:v>
                </c:pt>
                <c:pt idx="105">
                  <c:v>70.947422021638545</c:v>
                </c:pt>
                <c:pt idx="106">
                  <c:v>318.11069672121238</c:v>
                </c:pt>
                <c:pt idx="107">
                  <c:v>345.46758011275131</c:v>
                </c:pt>
                <c:pt idx="108">
                  <c:v>482.09133774798386</c:v>
                </c:pt>
                <c:pt idx="109">
                  <c:v>383.75946144376746</c:v>
                </c:pt>
                <c:pt idx="110">
                  <c:v>263.58608042492097</c:v>
                </c:pt>
                <c:pt idx="111">
                  <c:v>179.10529315348955</c:v>
                </c:pt>
                <c:pt idx="112">
                  <c:v>88.938903663500952</c:v>
                </c:pt>
                <c:pt idx="113">
                  <c:v>202.1412280198237</c:v>
                </c:pt>
                <c:pt idx="114">
                  <c:v>431.31516352368709</c:v>
                </c:pt>
                <c:pt idx="115">
                  <c:v>112.53526346467414</c:v>
                </c:pt>
                <c:pt idx="116">
                  <c:v>156.81447719544678</c:v>
                </c:pt>
                <c:pt idx="117">
                  <c:v>179.70715529775978</c:v>
                </c:pt>
                <c:pt idx="118">
                  <c:v>152.37778879923559</c:v>
                </c:pt>
                <c:pt idx="119">
                  <c:v>142.76274535358621</c:v>
                </c:pt>
                <c:pt idx="120">
                  <c:v>42.91935684307812</c:v>
                </c:pt>
                <c:pt idx="121">
                  <c:v>311.44277532247179</c:v>
                </c:pt>
                <c:pt idx="122">
                  <c:v>85.436024999419658</c:v>
                </c:pt>
                <c:pt idx="123">
                  <c:v>218.979935251662</c:v>
                </c:pt>
                <c:pt idx="124">
                  <c:v>524.79584450048492</c:v>
                </c:pt>
                <c:pt idx="125">
                  <c:v>462.71371241146039</c:v>
                </c:pt>
                <c:pt idx="126">
                  <c:v>265.78547028910907</c:v>
                </c:pt>
                <c:pt idx="127">
                  <c:v>119.38835250673448</c:v>
                </c:pt>
                <c:pt idx="128">
                  <c:v>135.71558325092766</c:v>
                </c:pt>
                <c:pt idx="129">
                  <c:v>284.15695997124516</c:v>
                </c:pt>
                <c:pt idx="130">
                  <c:v>454.66531258920463</c:v>
                </c:pt>
                <c:pt idx="131">
                  <c:v>275.78945460876781</c:v>
                </c:pt>
                <c:pt idx="132">
                  <c:v>92.487468892436027</c:v>
                </c:pt>
                <c:pt idx="133">
                  <c:v>265.17450290722093</c:v>
                </c:pt>
                <c:pt idx="134">
                  <c:v>307.62602749770878</c:v>
                </c:pt>
                <c:pt idx="135">
                  <c:v>371.48766362664111</c:v>
                </c:pt>
                <c:pt idx="136">
                  <c:v>198.76256055552781</c:v>
                </c:pt>
                <c:pt idx="137">
                  <c:v>86.968485433386348</c:v>
                </c:pt>
                <c:pt idx="138">
                  <c:v>296.4778687331397</c:v>
                </c:pt>
                <c:pt idx="139">
                  <c:v>175.11163497781669</c:v>
                </c:pt>
                <c:pt idx="140">
                  <c:v>195.5394036311836</c:v>
                </c:pt>
                <c:pt idx="141">
                  <c:v>773.62442485022143</c:v>
                </c:pt>
                <c:pt idx="142">
                  <c:v>963.91192404331218</c:v>
                </c:pt>
                <c:pt idx="143">
                  <c:v>470.07735964383585</c:v>
                </c:pt>
                <c:pt idx="144">
                  <c:v>58.666798039845595</c:v>
                </c:pt>
                <c:pt idx="145">
                  <c:v>286.58976380434297</c:v>
                </c:pt>
                <c:pt idx="146">
                  <c:v>206.34793947422529</c:v>
                </c:pt>
                <c:pt idx="147">
                  <c:v>304.27088457688751</c:v>
                </c:pt>
                <c:pt idx="148">
                  <c:v>104.26280419099015</c:v>
                </c:pt>
                <c:pt idx="149">
                  <c:v>41.987405013056787</c:v>
                </c:pt>
                <c:pt idx="150">
                  <c:v>283.1327490709441</c:v>
                </c:pt>
                <c:pt idx="151">
                  <c:v>132.85573066642723</c:v>
                </c:pt>
                <c:pt idx="152">
                  <c:v>249.47330187908724</c:v>
                </c:pt>
                <c:pt idx="153">
                  <c:v>258.11916421926173</c:v>
                </c:pt>
                <c:pt idx="154">
                  <c:v>544.83169816681391</c:v>
                </c:pt>
                <c:pt idx="155">
                  <c:v>427.3316189693366</c:v>
                </c:pt>
                <c:pt idx="156">
                  <c:v>111.21298400891638</c:v>
                </c:pt>
                <c:pt idx="157">
                  <c:v>516.60930724462185</c:v>
                </c:pt>
                <c:pt idx="158">
                  <c:v>422.49552308820171</c:v>
                </c:pt>
                <c:pt idx="159">
                  <c:v>64.449753103583717</c:v>
                </c:pt>
                <c:pt idx="160">
                  <c:v>330.64674018688521</c:v>
                </c:pt>
                <c:pt idx="161">
                  <c:v>225.75968930738185</c:v>
                </c:pt>
                <c:pt idx="162">
                  <c:v>464.29149854897616</c:v>
                </c:pt>
                <c:pt idx="163">
                  <c:v>448.35954772690258</c:v>
                </c:pt>
                <c:pt idx="164">
                  <c:v>82.518026953077907</c:v>
                </c:pt>
                <c:pt idx="165">
                  <c:v>324.72883545157691</c:v>
                </c:pt>
                <c:pt idx="166">
                  <c:v>493.69109607150557</c:v>
                </c:pt>
                <c:pt idx="167">
                  <c:v>80.529610511574333</c:v>
                </c:pt>
                <c:pt idx="168">
                  <c:v>335.89937217365878</c:v>
                </c:pt>
                <c:pt idx="169">
                  <c:v>204.55976274179119</c:v>
                </c:pt>
                <c:pt idx="170">
                  <c:v>78.325475383001191</c:v>
                </c:pt>
                <c:pt idx="171">
                  <c:v>356.27238143444515</c:v>
                </c:pt>
                <c:pt idx="172">
                  <c:v>395.48589754866902</c:v>
                </c:pt>
                <c:pt idx="173">
                  <c:v>294.97635750957465</c:v>
                </c:pt>
                <c:pt idx="174">
                  <c:v>231.62224838345102</c:v>
                </c:pt>
                <c:pt idx="175">
                  <c:v>103.57061510226495</c:v>
                </c:pt>
                <c:pt idx="176">
                  <c:v>184.14259733673293</c:v>
                </c:pt>
                <c:pt idx="177">
                  <c:v>507.88319238193316</c:v>
                </c:pt>
                <c:pt idx="178">
                  <c:v>279.1971619750118</c:v>
                </c:pt>
                <c:pt idx="179">
                  <c:v>576.58009754434784</c:v>
                </c:pt>
                <c:pt idx="180">
                  <c:v>365.02436945535311</c:v>
                </c:pt>
                <c:pt idx="181">
                  <c:v>219.75800015658763</c:v>
                </c:pt>
                <c:pt idx="182">
                  <c:v>59.440039871478987</c:v>
                </c:pt>
                <c:pt idx="183">
                  <c:v>237.5606331091339</c:v>
                </c:pt>
                <c:pt idx="184">
                  <c:v>270.07299172374866</c:v>
                </c:pt>
                <c:pt idx="185">
                  <c:v>143.14884956100119</c:v>
                </c:pt>
                <c:pt idx="186">
                  <c:v>206.76645885639016</c:v>
                </c:pt>
                <c:pt idx="187">
                  <c:v>386.94903008010562</c:v>
                </c:pt>
                <c:pt idx="188">
                  <c:v>357.61336637106939</c:v>
                </c:pt>
                <c:pt idx="189">
                  <c:v>171.95968111762033</c:v>
                </c:pt>
                <c:pt idx="190">
                  <c:v>430.30290295743788</c:v>
                </c:pt>
                <c:pt idx="191">
                  <c:v>71.478945642640696</c:v>
                </c:pt>
                <c:pt idx="192">
                  <c:v>440.99713593209384</c:v>
                </c:pt>
                <c:pt idx="193">
                  <c:v>122.41692606926023</c:v>
                </c:pt>
                <c:pt idx="194">
                  <c:v>374.76849837459224</c:v>
                </c:pt>
                <c:pt idx="195">
                  <c:v>496.32009415987784</c:v>
                </c:pt>
                <c:pt idx="196">
                  <c:v>419.42535315511856</c:v>
                </c:pt>
                <c:pt idx="197">
                  <c:v>426.42870198813068</c:v>
                </c:pt>
                <c:pt idx="198">
                  <c:v>692.93494021757647</c:v>
                </c:pt>
                <c:pt idx="199">
                  <c:v>364.09253924617246</c:v>
                </c:pt>
                <c:pt idx="200">
                  <c:v>69.373345714430258</c:v>
                </c:pt>
                <c:pt idx="201">
                  <c:v>645.48627618446812</c:v>
                </c:pt>
                <c:pt idx="202">
                  <c:v>253.37067071593762</c:v>
                </c:pt>
                <c:pt idx="203">
                  <c:v>159.83440011729931</c:v>
                </c:pt>
                <c:pt idx="204">
                  <c:v>209.3916405160374</c:v>
                </c:pt>
                <c:pt idx="205">
                  <c:v>143.80990872984322</c:v>
                </c:pt>
                <c:pt idx="206">
                  <c:v>514.21173408566551</c:v>
                </c:pt>
                <c:pt idx="207">
                  <c:v>499.73708813840176</c:v>
                </c:pt>
                <c:pt idx="208">
                  <c:v>159.37317907293269</c:v>
                </c:pt>
                <c:pt idx="209">
                  <c:v>427.01641020644593</c:v>
                </c:pt>
                <c:pt idx="210">
                  <c:v>482.07155106892395</c:v>
                </c:pt>
                <c:pt idx="211">
                  <c:v>184.32682850765244</c:v>
                </c:pt>
                <c:pt idx="212">
                  <c:v>78.411389255675999</c:v>
                </c:pt>
                <c:pt idx="213">
                  <c:v>190.06879674926037</c:v>
                </c:pt>
                <c:pt idx="214">
                  <c:v>305.8019288501377</c:v>
                </c:pt>
                <c:pt idx="215">
                  <c:v>303.2634441342509</c:v>
                </c:pt>
                <c:pt idx="216">
                  <c:v>110.9153256499812</c:v>
                </c:pt>
                <c:pt idx="217">
                  <c:v>202.89789919264857</c:v>
                </c:pt>
                <c:pt idx="218">
                  <c:v>620.96824470108152</c:v>
                </c:pt>
                <c:pt idx="219">
                  <c:v>306.65779932290599</c:v>
                </c:pt>
                <c:pt idx="220">
                  <c:v>191.72359186815848</c:v>
                </c:pt>
                <c:pt idx="221">
                  <c:v>167.52719961827262</c:v>
                </c:pt>
                <c:pt idx="222">
                  <c:v>245.56619742881239</c:v>
                </c:pt>
                <c:pt idx="223">
                  <c:v>572.0367146050678</c:v>
                </c:pt>
                <c:pt idx="224">
                  <c:v>316.15556591700806</c:v>
                </c:pt>
                <c:pt idx="225">
                  <c:v>475.40602629370846</c:v>
                </c:pt>
                <c:pt idx="226">
                  <c:v>119.29373756874675</c:v>
                </c:pt>
                <c:pt idx="227">
                  <c:v>144.67944435296454</c:v>
                </c:pt>
                <c:pt idx="228">
                  <c:v>142.87305766255395</c:v>
                </c:pt>
                <c:pt idx="229">
                  <c:v>91.724468530486163</c:v>
                </c:pt>
                <c:pt idx="230">
                  <c:v>449.79696444579281</c:v>
                </c:pt>
                <c:pt idx="231">
                  <c:v>539.14640171921076</c:v>
                </c:pt>
                <c:pt idx="232">
                  <c:v>707.12846428479315</c:v>
                </c:pt>
                <c:pt idx="233">
                  <c:v>297.37387056660066</c:v>
                </c:pt>
                <c:pt idx="234">
                  <c:v>411.71694019403617</c:v>
                </c:pt>
                <c:pt idx="235">
                  <c:v>269.07490206475882</c:v>
                </c:pt>
                <c:pt idx="236">
                  <c:v>310.39873282001184</c:v>
                </c:pt>
                <c:pt idx="237">
                  <c:v>198.33129366907403</c:v>
                </c:pt>
                <c:pt idx="238">
                  <c:v>725.68827133689899</c:v>
                </c:pt>
                <c:pt idx="239">
                  <c:v>173.76739223868972</c:v>
                </c:pt>
                <c:pt idx="240">
                  <c:v>240.71763931171111</c:v>
                </c:pt>
                <c:pt idx="241">
                  <c:v>261.17198309051582</c:v>
                </c:pt>
                <c:pt idx="242">
                  <c:v>155.94967349642587</c:v>
                </c:pt>
                <c:pt idx="243">
                  <c:v>204.7115820006193</c:v>
                </c:pt>
                <c:pt idx="244">
                  <c:v>156.49224023096366</c:v>
                </c:pt>
                <c:pt idx="245">
                  <c:v>187.15800581920394</c:v>
                </c:pt>
                <c:pt idx="246">
                  <c:v>207.31170883845465</c:v>
                </c:pt>
                <c:pt idx="247">
                  <c:v>178.88886386522015</c:v>
                </c:pt>
                <c:pt idx="248">
                  <c:v>197.1216955817053</c:v>
                </c:pt>
                <c:pt idx="249">
                  <c:v>176.98213273698155</c:v>
                </c:pt>
                <c:pt idx="250">
                  <c:v>492.39287573879756</c:v>
                </c:pt>
                <c:pt idx="251">
                  <c:v>284.57793187841338</c:v>
                </c:pt>
                <c:pt idx="252">
                  <c:v>179.9558598678565</c:v>
                </c:pt>
                <c:pt idx="253">
                  <c:v>365.99269097519908</c:v>
                </c:pt>
                <c:pt idx="254">
                  <c:v>24.128920019391483</c:v>
                </c:pt>
                <c:pt idx="255">
                  <c:v>496.48634165446333</c:v>
                </c:pt>
                <c:pt idx="256">
                  <c:v>94.007687733024099</c:v>
                </c:pt>
                <c:pt idx="257">
                  <c:v>141.06199720421375</c:v>
                </c:pt>
                <c:pt idx="258">
                  <c:v>60.369020300939781</c:v>
                </c:pt>
                <c:pt idx="259">
                  <c:v>185.50770929294143</c:v>
                </c:pt>
                <c:pt idx="260">
                  <c:v>111.24077828697511</c:v>
                </c:pt>
                <c:pt idx="261">
                  <c:v>59.091236872534438</c:v>
                </c:pt>
                <c:pt idx="262">
                  <c:v>673.62166768614588</c:v>
                </c:pt>
                <c:pt idx="263">
                  <c:v>350.33487331005296</c:v>
                </c:pt>
                <c:pt idx="264">
                  <c:v>100.06273078864594</c:v>
                </c:pt>
                <c:pt idx="265">
                  <c:v>209.10527211242376</c:v>
                </c:pt>
                <c:pt idx="266">
                  <c:v>211.21951100103084</c:v>
                </c:pt>
                <c:pt idx="267">
                  <c:v>255.49720218641446</c:v>
                </c:pt>
                <c:pt idx="268">
                  <c:v>220.08923070512222</c:v>
                </c:pt>
                <c:pt idx="269">
                  <c:v>529.94518091120881</c:v>
                </c:pt>
                <c:pt idx="270">
                  <c:v>159.82178900298709</c:v>
                </c:pt>
                <c:pt idx="271">
                  <c:v>282.11514855665365</c:v>
                </c:pt>
                <c:pt idx="272">
                  <c:v>236.85991889522157</c:v>
                </c:pt>
                <c:pt idx="273">
                  <c:v>92.949012362501037</c:v>
                </c:pt>
                <c:pt idx="274">
                  <c:v>252.2950653435658</c:v>
                </c:pt>
                <c:pt idx="275">
                  <c:v>1010.2267102732116</c:v>
                </c:pt>
                <c:pt idx="276">
                  <c:v>349.6298490775269</c:v>
                </c:pt>
                <c:pt idx="277">
                  <c:v>124.75920068281673</c:v>
                </c:pt>
                <c:pt idx="278">
                  <c:v>143.95997646814763</c:v>
                </c:pt>
                <c:pt idx="279">
                  <c:v>452.53607754057475</c:v>
                </c:pt>
                <c:pt idx="280">
                  <c:v>187.19063384262645</c:v>
                </c:pt>
                <c:pt idx="281">
                  <c:v>420.38860496268313</c:v>
                </c:pt>
                <c:pt idx="282">
                  <c:v>143.10746768482289</c:v>
                </c:pt>
                <c:pt idx="283">
                  <c:v>220.56487627858206</c:v>
                </c:pt>
                <c:pt idx="284">
                  <c:v>43.492869574829022</c:v>
                </c:pt>
                <c:pt idx="285">
                  <c:v>439.30856511191922</c:v>
                </c:pt>
                <c:pt idx="286">
                  <c:v>80.412472320777923</c:v>
                </c:pt>
                <c:pt idx="287">
                  <c:v>145.75284822659916</c:v>
                </c:pt>
                <c:pt idx="288">
                  <c:v>210.52065759664106</c:v>
                </c:pt>
                <c:pt idx="289">
                  <c:v>471.91406291221807</c:v>
                </c:pt>
                <c:pt idx="290">
                  <c:v>295.43024536564667</c:v>
                </c:pt>
                <c:pt idx="291" formatCode="0.000">
                  <c:v>119.94525731901157</c:v>
                </c:pt>
                <c:pt idx="292" formatCode="0.000">
                  <c:v>166.84843737976666</c:v>
                </c:pt>
                <c:pt idx="293" formatCode="0.000">
                  <c:v>776.85745898782318</c:v>
                </c:pt>
                <c:pt idx="294" formatCode="0.000">
                  <c:v>268.29252853274653</c:v>
                </c:pt>
                <c:pt idx="295" formatCode="0.000">
                  <c:v>100.90005371730453</c:v>
                </c:pt>
                <c:pt idx="296" formatCode="0.000">
                  <c:v>132.23708960717579</c:v>
                </c:pt>
                <c:pt idx="297" formatCode="0.000">
                  <c:v>355.01246274237479</c:v>
                </c:pt>
                <c:pt idx="298" formatCode="0.000">
                  <c:v>287.47470278036786</c:v>
                </c:pt>
                <c:pt idx="299" formatCode="0.000">
                  <c:v>218.61940586082983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4-44A6-B081-1C31BA2FD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452656"/>
        <c:axId val="516456016"/>
      </c:lineChart>
      <c:catAx>
        <c:axId val="51645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56016"/>
        <c:crosses val="autoZero"/>
        <c:auto val="1"/>
        <c:lblAlgn val="ctr"/>
        <c:lblOffset val="100"/>
        <c:noMultiLvlLbl val="0"/>
      </c:catAx>
      <c:valAx>
        <c:axId val="5164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Коэффициенты автокорреляции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256486653056829E-2"/>
          <c:y val="0.10795135937462835"/>
          <c:w val="0.90601492589586996"/>
          <c:h val="0.833020878985980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'Лист1 ген'!$S$1:$AG$1</c:f>
              <c:numCache>
                <c:formatCode>General</c:formatCode>
                <c:ptCount val="15"/>
                <c:pt idx="0">
                  <c:v>2.0994280652664357E-2</c:v>
                </c:pt>
                <c:pt idx="1">
                  <c:v>-1.2883530260951043E-2</c:v>
                </c:pt>
                <c:pt idx="2">
                  <c:v>-0.12895105735293214</c:v>
                </c:pt>
                <c:pt idx="3">
                  <c:v>3.0501461247311838E-2</c:v>
                </c:pt>
                <c:pt idx="4">
                  <c:v>-5.042559850138132E-2</c:v>
                </c:pt>
                <c:pt idx="5">
                  <c:v>3.618547806985891E-2</c:v>
                </c:pt>
                <c:pt idx="6">
                  <c:v>-2.9315588048041186E-2</c:v>
                </c:pt>
                <c:pt idx="7">
                  <c:v>2.3654263430050365E-2</c:v>
                </c:pt>
                <c:pt idx="8">
                  <c:v>-8.233706081661965E-2</c:v>
                </c:pt>
                <c:pt idx="9">
                  <c:v>-7.1618303882132403E-2</c:v>
                </c:pt>
                <c:pt idx="10">
                  <c:v>-1.4472613836696308E-2</c:v>
                </c:pt>
                <c:pt idx="11">
                  <c:v>4.3918925221466121E-2</c:v>
                </c:pt>
                <c:pt idx="12">
                  <c:v>-6.5759763209642436E-4</c:v>
                </c:pt>
                <c:pt idx="13">
                  <c:v>-5.7710804347221804E-2</c:v>
                </c:pt>
                <c:pt idx="14">
                  <c:v>-7.0019005461876949E-2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B-4788-9AD1-B5A83B44B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92959"/>
        <c:axId val="1394193919"/>
      </c:lineChart>
      <c:catAx>
        <c:axId val="1394192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3919"/>
        <c:crosses val="autoZero"/>
        <c:auto val="1"/>
        <c:lblAlgn val="ctr"/>
        <c:lblOffset val="100"/>
        <c:noMultiLvlLbl val="0"/>
      </c:catAx>
      <c:valAx>
        <c:axId val="139419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ген!$C$11:$T$11</c:f>
              <c:strCache>
                <c:ptCount val="18"/>
                <c:pt idx="0">
                  <c:v>24.13; 78.91</c:v>
                </c:pt>
                <c:pt idx="1">
                  <c:v>78.91; 133.7</c:v>
                </c:pt>
                <c:pt idx="2">
                  <c:v>133.7; 188.48</c:v>
                </c:pt>
                <c:pt idx="3">
                  <c:v>188.48; 243.26</c:v>
                </c:pt>
                <c:pt idx="4">
                  <c:v>243.26; 298.04</c:v>
                </c:pt>
                <c:pt idx="5">
                  <c:v>298.04; 352.83</c:v>
                </c:pt>
                <c:pt idx="6">
                  <c:v>352.83; 407.61</c:v>
                </c:pt>
                <c:pt idx="7">
                  <c:v>407.61; 462.39</c:v>
                </c:pt>
                <c:pt idx="8">
                  <c:v>462.39; 517.18</c:v>
                </c:pt>
                <c:pt idx="9">
                  <c:v>517.18; 571.96</c:v>
                </c:pt>
                <c:pt idx="10">
                  <c:v>571.96; 626.74</c:v>
                </c:pt>
                <c:pt idx="11">
                  <c:v>626.74; 681.53</c:v>
                </c:pt>
                <c:pt idx="12">
                  <c:v>681.53; 736.31</c:v>
                </c:pt>
                <c:pt idx="13">
                  <c:v>736.31; 791.09</c:v>
                </c:pt>
                <c:pt idx="14">
                  <c:v>791.09; 845.88</c:v>
                </c:pt>
                <c:pt idx="15">
                  <c:v>845.88; 900.66</c:v>
                </c:pt>
                <c:pt idx="16">
                  <c:v>900.66; 955.44</c:v>
                </c:pt>
                <c:pt idx="17">
                  <c:v>955.44; 1010.23</c:v>
                </c:pt>
              </c:strCache>
            </c:strRef>
          </c:cat>
          <c:val>
            <c:numRef>
              <c:f>ген!$C$12:$T$12</c:f>
              <c:numCache>
                <c:formatCode>General</c:formatCode>
                <c:ptCount val="18"/>
                <c:pt idx="0">
                  <c:v>26</c:v>
                </c:pt>
                <c:pt idx="1">
                  <c:v>36</c:v>
                </c:pt>
                <c:pt idx="2">
                  <c:v>49</c:v>
                </c:pt>
                <c:pt idx="3">
                  <c:v>39</c:v>
                </c:pt>
                <c:pt idx="4">
                  <c:v>39</c:v>
                </c:pt>
                <c:pt idx="5">
                  <c:v>25</c:v>
                </c:pt>
                <c:pt idx="6">
                  <c:v>18</c:v>
                </c:pt>
                <c:pt idx="7">
                  <c:v>19</c:v>
                </c:pt>
                <c:pt idx="8">
                  <c:v>23</c:v>
                </c:pt>
                <c:pt idx="9">
                  <c:v>8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1-46A4-ADCC-9E65B9DA1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overlap val="-27"/>
        <c:axId val="830863504"/>
        <c:axId val="830862544"/>
      </c:barChart>
      <c:catAx>
        <c:axId val="83086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62544"/>
        <c:crosses val="autoZero"/>
        <c:auto val="1"/>
        <c:lblAlgn val="ctr"/>
        <c:lblOffset val="100"/>
        <c:noMultiLvlLbl val="0"/>
      </c:catAx>
      <c:valAx>
        <c:axId val="8308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6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801277261785718E-2"/>
          <c:y val="9.6969666119568559E-2"/>
          <c:w val="0.88949627657439723"/>
          <c:h val="0.6818440525430518"/>
        </c:manualLayout>
      </c:layout>
      <c:lineChart>
        <c:grouping val="standard"/>
        <c:varyColors val="0"/>
        <c:ser>
          <c:idx val="0"/>
          <c:order val="0"/>
          <c:tx>
            <c:strRef>
              <c:f>ген!$C$38:$U$38</c:f>
              <c:strCache>
                <c:ptCount val="19"/>
                <c:pt idx="0">
                  <c:v>24.12892002</c:v>
                </c:pt>
                <c:pt idx="1">
                  <c:v>78.91213059</c:v>
                </c:pt>
                <c:pt idx="2">
                  <c:v>133.6953412</c:v>
                </c:pt>
                <c:pt idx="3">
                  <c:v>188.4785517</c:v>
                </c:pt>
                <c:pt idx="4">
                  <c:v>243.2617623</c:v>
                </c:pt>
                <c:pt idx="5">
                  <c:v>298.0449729</c:v>
                </c:pt>
                <c:pt idx="6">
                  <c:v>352.8281834</c:v>
                </c:pt>
                <c:pt idx="7">
                  <c:v>407.611394</c:v>
                </c:pt>
                <c:pt idx="8">
                  <c:v>462.3946046</c:v>
                </c:pt>
                <c:pt idx="9">
                  <c:v>517.1778151</c:v>
                </c:pt>
                <c:pt idx="10">
                  <c:v>571.9610257</c:v>
                </c:pt>
                <c:pt idx="11">
                  <c:v>626.7442363</c:v>
                </c:pt>
                <c:pt idx="12">
                  <c:v>681.5274469</c:v>
                </c:pt>
                <c:pt idx="13">
                  <c:v>736.3106574</c:v>
                </c:pt>
                <c:pt idx="14">
                  <c:v>791.093868</c:v>
                </c:pt>
                <c:pt idx="15">
                  <c:v>845.8770786</c:v>
                </c:pt>
                <c:pt idx="16">
                  <c:v>900.6602891</c:v>
                </c:pt>
                <c:pt idx="17">
                  <c:v>955.4434997</c:v>
                </c:pt>
                <c:pt idx="18">
                  <c:v>1010.22671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ген!$C$39:$U$39</c:f>
              <c:numCache>
                <c:formatCode>General</c:formatCode>
                <c:ptCount val="19"/>
                <c:pt idx="0">
                  <c:v>6.945521352187151E-4</c:v>
                </c:pt>
                <c:pt idx="1">
                  <c:v>2.7897928121633784E-3</c:v>
                </c:pt>
                <c:pt idx="2">
                  <c:v>3.88685080974913E-3</c:v>
                </c:pt>
                <c:pt idx="3">
                  <c:v>4.0281956685508579E-3</c:v>
                </c:pt>
                <c:pt idx="4">
                  <c:v>3.6216772211380161E-3</c:v>
                </c:pt>
                <c:pt idx="5">
                  <c:v>2.9944620213159089E-3</c:v>
                </c:pt>
                <c:pt idx="6">
                  <c:v>2.3425977913182016E-3</c:v>
                </c:pt>
                <c:pt idx="7">
                  <c:v>1.7620338675948585E-3</c:v>
                </c:pt>
                <c:pt idx="8">
                  <c:v>1.2870215911068997E-3</c:v>
                </c:pt>
                <c:pt idx="9">
                  <c:v>9.1891159865253619E-4</c:v>
                </c:pt>
                <c:pt idx="10">
                  <c:v>6.4427635076609667E-4</c:v>
                </c:pt>
                <c:pt idx="11">
                  <c:v>4.4506844274601906E-4</c:v>
                </c:pt>
                <c:pt idx="12">
                  <c:v>3.0368195115987843E-4</c:v>
                </c:pt>
                <c:pt idx="13">
                  <c:v>2.0505901331708634E-4</c:v>
                </c:pt>
                <c:pt idx="14">
                  <c:v>1.3723269490370941E-4</c:v>
                </c:pt>
                <c:pt idx="15">
                  <c:v>9.1132932052038584E-5</c:v>
                </c:pt>
                <c:pt idx="16">
                  <c:v>6.0111041621564554E-5</c:v>
                </c:pt>
                <c:pt idx="17">
                  <c:v>3.9413191816507512E-5</c:v>
                </c:pt>
                <c:pt idx="18">
                  <c:v>2.5705529153013902E-5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D-4D73-98A0-624AF94A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428191"/>
        <c:axId val="1662429631"/>
      </c:lineChart>
      <c:catAx>
        <c:axId val="166242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29631"/>
        <c:crosses val="autoZero"/>
        <c:auto val="1"/>
        <c:lblAlgn val="ctr"/>
        <c:lblOffset val="100"/>
        <c:noMultiLvlLbl val="0"/>
      </c:catAx>
      <c:valAx>
        <c:axId val="166242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2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числовой последовательности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Лист1!$A$4:$A$303</c:f>
              <c:numCache>
                <c:formatCode>0.000</c:formatCode>
                <c:ptCount val="300"/>
                <c:pt idx="0">
                  <c:v>107.28158389327129</c:v>
                </c:pt>
                <c:pt idx="1">
                  <c:v>127.82735370530034</c:v>
                </c:pt>
                <c:pt idx="2">
                  <c:v>408.3546686385011</c:v>
                </c:pt>
                <c:pt idx="3">
                  <c:v>98.890546210211852</c:v>
                </c:pt>
                <c:pt idx="4">
                  <c:v>701.75957763374743</c:v>
                </c:pt>
                <c:pt idx="5">
                  <c:v>271.81439391360277</c:v>
                </c:pt>
                <c:pt idx="6">
                  <c:v>320.49549343299248</c:v>
                </c:pt>
                <c:pt idx="7">
                  <c:v>248.02335172534512</c:v>
                </c:pt>
                <c:pt idx="8">
                  <c:v>224.91195357298182</c:v>
                </c:pt>
                <c:pt idx="9">
                  <c:v>454.21521094440101</c:v>
                </c:pt>
                <c:pt idx="10">
                  <c:v>254.47077882330547</c:v>
                </c:pt>
                <c:pt idx="11">
                  <c:v>216.90657928262164</c:v>
                </c:pt>
                <c:pt idx="12">
                  <c:v>797.62537343667645</c:v>
                </c:pt>
                <c:pt idx="13">
                  <c:v>630.35309829085122</c:v>
                </c:pt>
                <c:pt idx="14">
                  <c:v>187.66933410519863</c:v>
                </c:pt>
                <c:pt idx="15">
                  <c:v>81.610533594883279</c:v>
                </c:pt>
                <c:pt idx="16">
                  <c:v>283.24936593557317</c:v>
                </c:pt>
                <c:pt idx="17">
                  <c:v>151.51033225013779</c:v>
                </c:pt>
                <c:pt idx="18">
                  <c:v>407.89408014857736</c:v>
                </c:pt>
                <c:pt idx="19">
                  <c:v>196.50012539926712</c:v>
                </c:pt>
                <c:pt idx="20">
                  <c:v>226.10190058519862</c:v>
                </c:pt>
                <c:pt idx="21">
                  <c:v>296.82006676145301</c:v>
                </c:pt>
                <c:pt idx="22">
                  <c:v>365.89967866417624</c:v>
                </c:pt>
                <c:pt idx="23">
                  <c:v>126.08793960916096</c:v>
                </c:pt>
                <c:pt idx="24">
                  <c:v>158.17331398046889</c:v>
                </c:pt>
                <c:pt idx="25">
                  <c:v>169.31814511084991</c:v>
                </c:pt>
                <c:pt idx="26">
                  <c:v>356.99176152030975</c:v>
                </c:pt>
                <c:pt idx="27">
                  <c:v>51.531820594945302</c:v>
                </c:pt>
                <c:pt idx="28">
                  <c:v>138.94007100937398</c:v>
                </c:pt>
                <c:pt idx="29">
                  <c:v>122.36436339055496</c:v>
                </c:pt>
                <c:pt idx="30">
                  <c:v>192.42385978046303</c:v>
                </c:pt>
                <c:pt idx="31">
                  <c:v>314.19161734563977</c:v>
                </c:pt>
                <c:pt idx="32">
                  <c:v>224.76623940791234</c:v>
                </c:pt>
                <c:pt idx="33">
                  <c:v>55.898927187361181</c:v>
                </c:pt>
                <c:pt idx="34">
                  <c:v>327.76712307497064</c:v>
                </c:pt>
                <c:pt idx="35">
                  <c:v>375.33573039261597</c:v>
                </c:pt>
                <c:pt idx="36">
                  <c:v>227.86161586375553</c:v>
                </c:pt>
                <c:pt idx="37">
                  <c:v>355.13663052220119</c:v>
                </c:pt>
                <c:pt idx="38">
                  <c:v>286.7413177403497</c:v>
                </c:pt>
                <c:pt idx="39">
                  <c:v>133.99561157809518</c:v>
                </c:pt>
                <c:pt idx="40">
                  <c:v>229.31356051547908</c:v>
                </c:pt>
                <c:pt idx="41">
                  <c:v>427.5796519704889</c:v>
                </c:pt>
                <c:pt idx="42">
                  <c:v>379.88380148467013</c:v>
                </c:pt>
                <c:pt idx="43">
                  <c:v>470.07277475710123</c:v>
                </c:pt>
                <c:pt idx="44">
                  <c:v>270.68980051071156</c:v>
                </c:pt>
                <c:pt idx="45">
                  <c:v>151.08022269670758</c:v>
                </c:pt>
                <c:pt idx="46">
                  <c:v>184.74179118427588</c:v>
                </c:pt>
                <c:pt idx="47">
                  <c:v>484.80314732117779</c:v>
                </c:pt>
                <c:pt idx="48">
                  <c:v>130.8094017575973</c:v>
                </c:pt>
                <c:pt idx="49">
                  <c:v>184.10637657715995</c:v>
                </c:pt>
                <c:pt idx="50">
                  <c:v>385.10511983287188</c:v>
                </c:pt>
                <c:pt idx="51">
                  <c:v>83.235214760513699</c:v>
                </c:pt>
                <c:pt idx="52">
                  <c:v>195.65674454690125</c:v>
                </c:pt>
                <c:pt idx="53">
                  <c:v>540.52449203860169</c:v>
                </c:pt>
                <c:pt idx="54">
                  <c:v>343.16788171818587</c:v>
                </c:pt>
                <c:pt idx="55">
                  <c:v>377.46792019065362</c:v>
                </c:pt>
                <c:pt idx="56">
                  <c:v>763.05828906878878</c:v>
                </c:pt>
                <c:pt idx="57">
                  <c:v>114.1957280012459</c:v>
                </c:pt>
                <c:pt idx="58">
                  <c:v>93.828691587588537</c:v>
                </c:pt>
                <c:pt idx="59">
                  <c:v>288.55840885143232</c:v>
                </c:pt>
                <c:pt idx="60">
                  <c:v>527.20635732889855</c:v>
                </c:pt>
                <c:pt idx="61">
                  <c:v>684.17142200543822</c:v>
                </c:pt>
                <c:pt idx="62">
                  <c:v>318.45739323918156</c:v>
                </c:pt>
                <c:pt idx="63">
                  <c:v>208.72149310978941</c:v>
                </c:pt>
                <c:pt idx="64">
                  <c:v>246.93208789280652</c:v>
                </c:pt>
                <c:pt idx="65">
                  <c:v>135.05870598078235</c:v>
                </c:pt>
                <c:pt idx="66">
                  <c:v>212.00109132019526</c:v>
                </c:pt>
                <c:pt idx="67">
                  <c:v>65.071926371309047</c:v>
                </c:pt>
                <c:pt idx="68">
                  <c:v>477.48731714154536</c:v>
                </c:pt>
                <c:pt idx="69">
                  <c:v>379.10072832547741</c:v>
                </c:pt>
                <c:pt idx="70">
                  <c:v>419.18061229105331</c:v>
                </c:pt>
                <c:pt idx="71">
                  <c:v>92.051072390415982</c:v>
                </c:pt>
                <c:pt idx="72">
                  <c:v>505.15934999217063</c:v>
                </c:pt>
                <c:pt idx="73">
                  <c:v>204.64797660269062</c:v>
                </c:pt>
                <c:pt idx="74">
                  <c:v>393.69557760716901</c:v>
                </c:pt>
                <c:pt idx="75">
                  <c:v>208.3377473171555</c:v>
                </c:pt>
                <c:pt idx="76">
                  <c:v>131.10075713382952</c:v>
                </c:pt>
                <c:pt idx="77">
                  <c:v>200.34605210648334</c:v>
                </c:pt>
                <c:pt idx="78">
                  <c:v>220.18785541026077</c:v>
                </c:pt>
                <c:pt idx="79">
                  <c:v>545.34426792191391</c:v>
                </c:pt>
                <c:pt idx="80">
                  <c:v>298.21504684333127</c:v>
                </c:pt>
                <c:pt idx="81">
                  <c:v>35.333966596066375</c:v>
                </c:pt>
                <c:pt idx="82">
                  <c:v>185.44794327967338</c:v>
                </c:pt>
                <c:pt idx="83">
                  <c:v>436.56347628770209</c:v>
                </c:pt>
                <c:pt idx="84">
                  <c:v>162.67977861718344</c:v>
                </c:pt>
                <c:pt idx="85">
                  <c:v>216.15215722346178</c:v>
                </c:pt>
                <c:pt idx="86">
                  <c:v>249.61201762606564</c:v>
                </c:pt>
                <c:pt idx="87">
                  <c:v>341.69175316393586</c:v>
                </c:pt>
                <c:pt idx="88">
                  <c:v>203.30563183272307</c:v>
                </c:pt>
                <c:pt idx="89">
                  <c:v>388.73073722723774</c:v>
                </c:pt>
                <c:pt idx="90">
                  <c:v>158.91079043238744</c:v>
                </c:pt>
                <c:pt idx="91">
                  <c:v>79.627903538835881</c:v>
                </c:pt>
                <c:pt idx="92">
                  <c:v>127.99124370748665</c:v>
                </c:pt>
                <c:pt idx="93">
                  <c:v>395.60937797206873</c:v>
                </c:pt>
                <c:pt idx="94">
                  <c:v>211.19042812250598</c:v>
                </c:pt>
                <c:pt idx="95">
                  <c:v>336.1261218728319</c:v>
                </c:pt>
                <c:pt idx="96">
                  <c:v>283.75273249906081</c:v>
                </c:pt>
                <c:pt idx="97">
                  <c:v>105.02116918454753</c:v>
                </c:pt>
                <c:pt idx="98">
                  <c:v>425.36850075864334</c:v>
                </c:pt>
                <c:pt idx="99">
                  <c:v>102.97001833383734</c:v>
                </c:pt>
                <c:pt idx="100">
                  <c:v>366.03119660905475</c:v>
                </c:pt>
                <c:pt idx="101">
                  <c:v>340.31592031699176</c:v>
                </c:pt>
                <c:pt idx="102">
                  <c:v>89.406776230258188</c:v>
                </c:pt>
                <c:pt idx="103">
                  <c:v>86.036017111450917</c:v>
                </c:pt>
                <c:pt idx="104">
                  <c:v>180.52809446994971</c:v>
                </c:pt>
                <c:pt idx="105">
                  <c:v>156.25047183375975</c:v>
                </c:pt>
                <c:pt idx="106">
                  <c:v>348.9796212775168</c:v>
                </c:pt>
                <c:pt idx="107">
                  <c:v>26.25929918955304</c:v>
                </c:pt>
                <c:pt idx="108">
                  <c:v>203.68345331447091</c:v>
                </c:pt>
                <c:pt idx="109">
                  <c:v>102.17919882822795</c:v>
                </c:pt>
                <c:pt idx="110">
                  <c:v>190.51609288178926</c:v>
                </c:pt>
                <c:pt idx="111">
                  <c:v>235.64677760754643</c:v>
                </c:pt>
                <c:pt idx="112">
                  <c:v>250.73257522774867</c:v>
                </c:pt>
                <c:pt idx="113">
                  <c:v>124.48179450312151</c:v>
                </c:pt>
                <c:pt idx="114">
                  <c:v>87.931068082034301</c:v>
                </c:pt>
                <c:pt idx="115">
                  <c:v>321.42360626576317</c:v>
                </c:pt>
                <c:pt idx="116">
                  <c:v>190.79671678950294</c:v>
                </c:pt>
                <c:pt idx="117">
                  <c:v>86.592257298542492</c:v>
                </c:pt>
                <c:pt idx="118">
                  <c:v>474.05599626791059</c:v>
                </c:pt>
                <c:pt idx="119">
                  <c:v>108.43545068003378</c:v>
                </c:pt>
                <c:pt idx="120">
                  <c:v>442.97592651122511</c:v>
                </c:pt>
                <c:pt idx="121">
                  <c:v>314.68068213842207</c:v>
                </c:pt>
                <c:pt idx="122">
                  <c:v>536.39248842962934</c:v>
                </c:pt>
                <c:pt idx="123">
                  <c:v>220.93049742013136</c:v>
                </c:pt>
                <c:pt idx="124">
                  <c:v>255.22691671136863</c:v>
                </c:pt>
                <c:pt idx="125">
                  <c:v>135.59061651296579</c:v>
                </c:pt>
                <c:pt idx="126">
                  <c:v>472.47974649011212</c:v>
                </c:pt>
                <c:pt idx="127">
                  <c:v>679.95273325503615</c:v>
                </c:pt>
                <c:pt idx="128">
                  <c:v>117.46470521298471</c:v>
                </c:pt>
                <c:pt idx="129">
                  <c:v>59.92031507532073</c:v>
                </c:pt>
                <c:pt idx="130">
                  <c:v>187.10412979569011</c:v>
                </c:pt>
                <c:pt idx="131">
                  <c:v>251.00913706758195</c:v>
                </c:pt>
                <c:pt idx="132">
                  <c:v>218.43906919934599</c:v>
                </c:pt>
                <c:pt idx="133">
                  <c:v>434.82516443016164</c:v>
                </c:pt>
                <c:pt idx="134">
                  <c:v>221.11042209559358</c:v>
                </c:pt>
                <c:pt idx="135">
                  <c:v>172.53484271505926</c:v>
                </c:pt>
                <c:pt idx="136">
                  <c:v>495.71101325955192</c:v>
                </c:pt>
                <c:pt idx="137">
                  <c:v>213.86728633348781</c:v>
                </c:pt>
                <c:pt idx="138">
                  <c:v>511.496427037648</c:v>
                </c:pt>
                <c:pt idx="139">
                  <c:v>74.011159316182813</c:v>
                </c:pt>
                <c:pt idx="140">
                  <c:v>206.16605378324252</c:v>
                </c:pt>
                <c:pt idx="141">
                  <c:v>76.461815482975467</c:v>
                </c:pt>
                <c:pt idx="142">
                  <c:v>47.67542915595395</c:v>
                </c:pt>
                <c:pt idx="143">
                  <c:v>291.17677702452175</c:v>
                </c:pt>
                <c:pt idx="144">
                  <c:v>134.87230332402521</c:v>
                </c:pt>
                <c:pt idx="145">
                  <c:v>199.11543644843971</c:v>
                </c:pt>
                <c:pt idx="146">
                  <c:v>530.99578288292787</c:v>
                </c:pt>
                <c:pt idx="147">
                  <c:v>20.670413649223192</c:v>
                </c:pt>
                <c:pt idx="148">
                  <c:v>284.26678006048337</c:v>
                </c:pt>
                <c:pt idx="149">
                  <c:v>82.119068833463558</c:v>
                </c:pt>
                <c:pt idx="150">
                  <c:v>376.28476153968569</c:v>
                </c:pt>
                <c:pt idx="151">
                  <c:v>89.209363168845584</c:v>
                </c:pt>
                <c:pt idx="152">
                  <c:v>422.97353373003557</c:v>
                </c:pt>
                <c:pt idx="153">
                  <c:v>186.37499794933927</c:v>
                </c:pt>
                <c:pt idx="154">
                  <c:v>275.58962231740099</c:v>
                </c:pt>
                <c:pt idx="155">
                  <c:v>279.71092227464675</c:v>
                </c:pt>
                <c:pt idx="156">
                  <c:v>256.5777260229512</c:v>
                </c:pt>
                <c:pt idx="157">
                  <c:v>339.84848550874926</c:v>
                </c:pt>
                <c:pt idx="158">
                  <c:v>91.16298936540359</c:v>
                </c:pt>
                <c:pt idx="159">
                  <c:v>371.57228795950266</c:v>
                </c:pt>
                <c:pt idx="160">
                  <c:v>165.73533880031849</c:v>
                </c:pt>
                <c:pt idx="161">
                  <c:v>431.84785533197737</c:v>
                </c:pt>
                <c:pt idx="162">
                  <c:v>518.50225693162645</c:v>
                </c:pt>
                <c:pt idx="163">
                  <c:v>597.67486927964592</c:v>
                </c:pt>
                <c:pt idx="164">
                  <c:v>70.562148340304248</c:v>
                </c:pt>
                <c:pt idx="165">
                  <c:v>161.71169634723401</c:v>
                </c:pt>
                <c:pt idx="166">
                  <c:v>365.92766702071486</c:v>
                </c:pt>
                <c:pt idx="167">
                  <c:v>377.45761753511613</c:v>
                </c:pt>
                <c:pt idx="168">
                  <c:v>244.57049680440883</c:v>
                </c:pt>
                <c:pt idx="169">
                  <c:v>380.53299535209015</c:v>
                </c:pt>
                <c:pt idx="170">
                  <c:v>119.77504990150319</c:v>
                </c:pt>
                <c:pt idx="171">
                  <c:v>218.24048797629771</c:v>
                </c:pt>
                <c:pt idx="172">
                  <c:v>354.80386610839338</c:v>
                </c:pt>
                <c:pt idx="173">
                  <c:v>200.41425382552194</c:v>
                </c:pt>
                <c:pt idx="174">
                  <c:v>214.707941943381</c:v>
                </c:pt>
                <c:pt idx="175">
                  <c:v>128.24713187599914</c:v>
                </c:pt>
                <c:pt idx="176">
                  <c:v>205.95740635096305</c:v>
                </c:pt>
                <c:pt idx="177">
                  <c:v>321.52646634498285</c:v>
                </c:pt>
                <c:pt idx="178">
                  <c:v>288.73933496950207</c:v>
                </c:pt>
                <c:pt idx="179">
                  <c:v>235.36159506521165</c:v>
                </c:pt>
                <c:pt idx="180">
                  <c:v>536.03507312259637</c:v>
                </c:pt>
                <c:pt idx="181">
                  <c:v>228.25600047470829</c:v>
                </c:pt>
                <c:pt idx="182">
                  <c:v>215.51690149816432</c:v>
                </c:pt>
                <c:pt idx="183">
                  <c:v>172.97098123856031</c:v>
                </c:pt>
                <c:pt idx="184">
                  <c:v>298.65735848541505</c:v>
                </c:pt>
                <c:pt idx="185">
                  <c:v>157.53435581019252</c:v>
                </c:pt>
                <c:pt idx="186">
                  <c:v>84.03211744007605</c:v>
                </c:pt>
                <c:pt idx="187">
                  <c:v>188.71752493582289</c:v>
                </c:pt>
                <c:pt idx="188">
                  <c:v>116.60437593747307</c:v>
                </c:pt>
                <c:pt idx="189">
                  <c:v>134.94640883037687</c:v>
                </c:pt>
                <c:pt idx="190">
                  <c:v>435.11415526329688</c:v>
                </c:pt>
                <c:pt idx="191">
                  <c:v>177.72815000706601</c:v>
                </c:pt>
                <c:pt idx="192">
                  <c:v>134.98922638929375</c:v>
                </c:pt>
                <c:pt idx="193">
                  <c:v>726.69771335095948</c:v>
                </c:pt>
                <c:pt idx="194">
                  <c:v>37.717606599446796</c:v>
                </c:pt>
                <c:pt idx="195">
                  <c:v>110.9162647661596</c:v>
                </c:pt>
                <c:pt idx="196">
                  <c:v>416.9380434712856</c:v>
                </c:pt>
                <c:pt idx="197">
                  <c:v>463.39474499202589</c:v>
                </c:pt>
                <c:pt idx="198">
                  <c:v>445.64779833094963</c:v>
                </c:pt>
                <c:pt idx="199">
                  <c:v>90.023263673380285</c:v>
                </c:pt>
                <c:pt idx="200">
                  <c:v>111.84495600627909</c:v>
                </c:pt>
                <c:pt idx="201">
                  <c:v>162.30978025416906</c:v>
                </c:pt>
                <c:pt idx="202">
                  <c:v>234.84640082560213</c:v>
                </c:pt>
                <c:pt idx="203">
                  <c:v>66.950234133569865</c:v>
                </c:pt>
                <c:pt idx="204">
                  <c:v>177.5374219583199</c:v>
                </c:pt>
                <c:pt idx="205">
                  <c:v>239.54245962962358</c:v>
                </c:pt>
                <c:pt idx="206">
                  <c:v>291.72591184571502</c:v>
                </c:pt>
                <c:pt idx="207">
                  <c:v>186.39378572164745</c:v>
                </c:pt>
                <c:pt idx="208">
                  <c:v>392.71613683829855</c:v>
                </c:pt>
                <c:pt idx="209">
                  <c:v>310.43986982567407</c:v>
                </c:pt>
                <c:pt idx="210">
                  <c:v>79.840544827341972</c:v>
                </c:pt>
                <c:pt idx="211">
                  <c:v>119.33915218619305</c:v>
                </c:pt>
                <c:pt idx="212">
                  <c:v>367.23302635699696</c:v>
                </c:pt>
                <c:pt idx="213">
                  <c:v>486.35828173205414</c:v>
                </c:pt>
                <c:pt idx="214">
                  <c:v>256.05518500026949</c:v>
                </c:pt>
                <c:pt idx="215">
                  <c:v>285.08298599277799</c:v>
                </c:pt>
                <c:pt idx="216">
                  <c:v>241.71401619990274</c:v>
                </c:pt>
                <c:pt idx="217">
                  <c:v>193.87040170218972</c:v>
                </c:pt>
                <c:pt idx="218">
                  <c:v>523.79082837137696</c:v>
                </c:pt>
                <c:pt idx="219">
                  <c:v>315.01964194717908</c:v>
                </c:pt>
                <c:pt idx="220">
                  <c:v>865.33275330337858</c:v>
                </c:pt>
                <c:pt idx="221">
                  <c:v>194.59370822675589</c:v>
                </c:pt>
                <c:pt idx="222">
                  <c:v>387.39636318795874</c:v>
                </c:pt>
                <c:pt idx="223">
                  <c:v>271.6269917213491</c:v>
                </c:pt>
                <c:pt idx="224">
                  <c:v>480.38449609376869</c:v>
                </c:pt>
                <c:pt idx="225">
                  <c:v>451.21034960551799</c:v>
                </c:pt>
                <c:pt idx="226">
                  <c:v>332.09111879125544</c:v>
                </c:pt>
                <c:pt idx="227">
                  <c:v>512.84909718625829</c:v>
                </c:pt>
                <c:pt idx="228">
                  <c:v>122.96997606972863</c:v>
                </c:pt>
                <c:pt idx="229">
                  <c:v>480.00664323151329</c:v>
                </c:pt>
                <c:pt idx="230">
                  <c:v>330.10248607640631</c:v>
                </c:pt>
                <c:pt idx="231">
                  <c:v>459.81737145887951</c:v>
                </c:pt>
                <c:pt idx="232">
                  <c:v>184.61188525349203</c:v>
                </c:pt>
                <c:pt idx="233">
                  <c:v>346.98833471843756</c:v>
                </c:pt>
                <c:pt idx="234">
                  <c:v>460.73292823690343</c:v>
                </c:pt>
                <c:pt idx="235">
                  <c:v>467.9847413320195</c:v>
                </c:pt>
                <c:pt idx="236">
                  <c:v>77.622403875490676</c:v>
                </c:pt>
                <c:pt idx="237">
                  <c:v>119.58825745841665</c:v>
                </c:pt>
                <c:pt idx="238">
                  <c:v>309.06163789052243</c:v>
                </c:pt>
                <c:pt idx="239">
                  <c:v>184.82720896225106</c:v>
                </c:pt>
                <c:pt idx="240">
                  <c:v>371.43707688508533</c:v>
                </c:pt>
                <c:pt idx="241">
                  <c:v>200.06010326821254</c:v>
                </c:pt>
                <c:pt idx="242">
                  <c:v>208.77621431110893</c:v>
                </c:pt>
                <c:pt idx="243">
                  <c:v>292.37011409145134</c:v>
                </c:pt>
                <c:pt idx="244">
                  <c:v>264.26874188234132</c:v>
                </c:pt>
                <c:pt idx="245">
                  <c:v>429.0765170360126</c:v>
                </c:pt>
                <c:pt idx="246">
                  <c:v>867.77584494766484</c:v>
                </c:pt>
                <c:pt idx="247">
                  <c:v>130.81690961984725</c:v>
                </c:pt>
                <c:pt idx="248">
                  <c:v>184.54945804544684</c:v>
                </c:pt>
                <c:pt idx="249">
                  <c:v>142.39879947909134</c:v>
                </c:pt>
                <c:pt idx="250">
                  <c:v>291.26399274604813</c:v>
                </c:pt>
                <c:pt idx="251">
                  <c:v>179.83761527092958</c:v>
                </c:pt>
                <c:pt idx="252">
                  <c:v>79.013566197284092</c:v>
                </c:pt>
                <c:pt idx="253">
                  <c:v>424.13906377686402</c:v>
                </c:pt>
                <c:pt idx="254">
                  <c:v>210.27814426747537</c:v>
                </c:pt>
                <c:pt idx="255">
                  <c:v>334.75080264001713</c:v>
                </c:pt>
                <c:pt idx="256">
                  <c:v>518.77563511668131</c:v>
                </c:pt>
                <c:pt idx="257">
                  <c:v>61.397898222383425</c:v>
                </c:pt>
                <c:pt idx="258">
                  <c:v>281.6184921872071</c:v>
                </c:pt>
                <c:pt idx="259">
                  <c:v>290.77485568812358</c:v>
                </c:pt>
                <c:pt idx="260">
                  <c:v>620.76555402821157</c:v>
                </c:pt>
                <c:pt idx="261">
                  <c:v>277.16883007229029</c:v>
                </c:pt>
                <c:pt idx="262">
                  <c:v>130.53417702164145</c:v>
                </c:pt>
                <c:pt idx="263">
                  <c:v>224.6911762536235</c:v>
                </c:pt>
                <c:pt idx="264">
                  <c:v>91.293203068559166</c:v>
                </c:pt>
                <c:pt idx="265">
                  <c:v>489.83729786120944</c:v>
                </c:pt>
                <c:pt idx="266">
                  <c:v>171.93808248286928</c:v>
                </c:pt>
                <c:pt idx="267">
                  <c:v>127.74069801309761</c:v>
                </c:pt>
                <c:pt idx="268">
                  <c:v>662.8111931353335</c:v>
                </c:pt>
                <c:pt idx="269">
                  <c:v>313.04575332232662</c:v>
                </c:pt>
                <c:pt idx="270">
                  <c:v>310.21369813644799</c:v>
                </c:pt>
                <c:pt idx="271">
                  <c:v>92.858391169629328</c:v>
                </c:pt>
                <c:pt idx="272">
                  <c:v>124.30171322792503</c:v>
                </c:pt>
                <c:pt idx="273">
                  <c:v>323.14036860304128</c:v>
                </c:pt>
                <c:pt idx="274">
                  <c:v>149.17970318256215</c:v>
                </c:pt>
                <c:pt idx="275">
                  <c:v>80.646400483547254</c:v>
                </c:pt>
                <c:pt idx="276">
                  <c:v>454.99203276299579</c:v>
                </c:pt>
                <c:pt idx="277">
                  <c:v>332.40057234751691</c:v>
                </c:pt>
                <c:pt idx="278">
                  <c:v>612.4557931085468</c:v>
                </c:pt>
                <c:pt idx="279">
                  <c:v>572.58474270260967</c:v>
                </c:pt>
                <c:pt idx="280">
                  <c:v>56.083659595874558</c:v>
                </c:pt>
                <c:pt idx="281">
                  <c:v>329.4403542661974</c:v>
                </c:pt>
                <c:pt idx="282">
                  <c:v>365.64599340118349</c:v>
                </c:pt>
                <c:pt idx="283">
                  <c:v>126.82603233645506</c:v>
                </c:pt>
                <c:pt idx="284">
                  <c:v>294.07961924215846</c:v>
                </c:pt>
                <c:pt idx="285">
                  <c:v>1175.2574865837441</c:v>
                </c:pt>
                <c:pt idx="286">
                  <c:v>194.39564368997893</c:v>
                </c:pt>
                <c:pt idx="287">
                  <c:v>484.62499695018482</c:v>
                </c:pt>
                <c:pt idx="288">
                  <c:v>81.820791783476238</c:v>
                </c:pt>
                <c:pt idx="289">
                  <c:v>216.83048561323341</c:v>
                </c:pt>
                <c:pt idx="290">
                  <c:v>166.16341596586523</c:v>
                </c:pt>
                <c:pt idx="291">
                  <c:v>119.94525731901157</c:v>
                </c:pt>
                <c:pt idx="292">
                  <c:v>166.84843737976666</c:v>
                </c:pt>
                <c:pt idx="293">
                  <c:v>776.85745898782318</c:v>
                </c:pt>
                <c:pt idx="294">
                  <c:v>268.29252853274653</c:v>
                </c:pt>
                <c:pt idx="295">
                  <c:v>100.90005371730453</c:v>
                </c:pt>
                <c:pt idx="296">
                  <c:v>132.23708960717579</c:v>
                </c:pt>
                <c:pt idx="297">
                  <c:v>355.01246274237479</c:v>
                </c:pt>
                <c:pt idx="298">
                  <c:v>287.47470278036786</c:v>
                </c:pt>
                <c:pt idx="299">
                  <c:v>218.61940586082983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B-48E3-BA18-AABDD4FDF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452656"/>
        <c:axId val="516456016"/>
      </c:lineChart>
      <c:catAx>
        <c:axId val="51645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56016"/>
        <c:crosses val="autoZero"/>
        <c:auto val="1"/>
        <c:lblAlgn val="ctr"/>
        <c:lblOffset val="100"/>
        <c:noMultiLvlLbl val="0"/>
      </c:catAx>
      <c:valAx>
        <c:axId val="5164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Автокорреляционный анализ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256486653056829E-2"/>
          <c:y val="0.10795135937462835"/>
          <c:w val="0.90601492589586996"/>
          <c:h val="0.833020878985980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Лист1!$S$1:$AG$1</c:f>
              <c:numCache>
                <c:formatCode>0.000</c:formatCode>
                <c:ptCount val="15"/>
                <c:pt idx="0">
                  <c:v>-3.1988354872457853E-2</c:v>
                </c:pt>
                <c:pt idx="1">
                  <c:v>-3.0426632726997145E-2</c:v>
                </c:pt>
                <c:pt idx="2">
                  <c:v>-4.9195742628947541E-2</c:v>
                </c:pt>
                <c:pt idx="3">
                  <c:v>4.2372882773105656E-3</c:v>
                </c:pt>
                <c:pt idx="4">
                  <c:v>2.9058435421817096E-2</c:v>
                </c:pt>
                <c:pt idx="5">
                  <c:v>6.8666815576322232E-2</c:v>
                </c:pt>
                <c:pt idx="6">
                  <c:v>1.1581391236112614E-2</c:v>
                </c:pt>
                <c:pt idx="7">
                  <c:v>5.8080888573985655E-2</c:v>
                </c:pt>
                <c:pt idx="8">
                  <c:v>7.0174641794295264E-2</c:v>
                </c:pt>
                <c:pt idx="9">
                  <c:v>-4.1811578677852304E-2</c:v>
                </c:pt>
                <c:pt idx="10">
                  <c:v>1.087997281537898E-2</c:v>
                </c:pt>
                <c:pt idx="11">
                  <c:v>-4.5146029319797151E-3</c:v>
                </c:pt>
                <c:pt idx="12">
                  <c:v>-2.4007167643684633E-2</c:v>
                </c:pt>
                <c:pt idx="13">
                  <c:v>-3.5223292687641343E-2</c:v>
                </c:pt>
                <c:pt idx="14">
                  <c:v>7.7740053206234007E-3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D-4CD1-A0F3-C5C4FA61A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192959"/>
        <c:axId val="1394193919"/>
      </c:lineChart>
      <c:catAx>
        <c:axId val="1394192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3919"/>
        <c:crosses val="autoZero"/>
        <c:auto val="1"/>
        <c:lblAlgn val="ctr"/>
        <c:lblOffset val="100"/>
        <c:noMultiLvlLbl val="0"/>
      </c:catAx>
      <c:valAx>
        <c:axId val="139419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9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распределения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Лист8!$C$11:$T$11</c:f>
              <c:strCache>
                <c:ptCount val="18"/>
                <c:pt idx="0">
                  <c:v>20.67; 84.81</c:v>
                </c:pt>
                <c:pt idx="1">
                  <c:v>84.81; 148.96</c:v>
                </c:pt>
                <c:pt idx="2">
                  <c:v>148.96; 213.1</c:v>
                </c:pt>
                <c:pt idx="3">
                  <c:v>213.1; 277.25</c:v>
                </c:pt>
                <c:pt idx="4">
                  <c:v>277.25; 341.39</c:v>
                </c:pt>
                <c:pt idx="5">
                  <c:v>341.39; 405.53</c:v>
                </c:pt>
                <c:pt idx="6">
                  <c:v>405.53; 469.68</c:v>
                </c:pt>
                <c:pt idx="7">
                  <c:v>469.68; 533.82</c:v>
                </c:pt>
                <c:pt idx="8">
                  <c:v>533.82; 597.96</c:v>
                </c:pt>
                <c:pt idx="9">
                  <c:v>597.96; 662.11</c:v>
                </c:pt>
                <c:pt idx="10">
                  <c:v>662.11; 726.25</c:v>
                </c:pt>
                <c:pt idx="11">
                  <c:v>726.25; 790.4</c:v>
                </c:pt>
                <c:pt idx="12">
                  <c:v>790.4; 854.54</c:v>
                </c:pt>
                <c:pt idx="13">
                  <c:v>854.54; 918.68</c:v>
                </c:pt>
                <c:pt idx="14">
                  <c:v>918.68; 982.83</c:v>
                </c:pt>
                <c:pt idx="15">
                  <c:v>982.83; 1046.97</c:v>
                </c:pt>
                <c:pt idx="16">
                  <c:v>1046.97; 1111.11</c:v>
                </c:pt>
                <c:pt idx="17">
                  <c:v>1111.11; 1175.26</c:v>
                </c:pt>
              </c:strCache>
            </c:strRef>
          </c:cat>
          <c:val>
            <c:numRef>
              <c:f>Лист8!$C$12:$T$12</c:f>
              <c:numCache>
                <c:formatCode>General</c:formatCode>
                <c:ptCount val="18"/>
                <c:pt idx="0">
                  <c:v>25</c:v>
                </c:pt>
                <c:pt idx="1">
                  <c:v>50</c:v>
                </c:pt>
                <c:pt idx="2">
                  <c:v>55</c:v>
                </c:pt>
                <c:pt idx="3">
                  <c:v>41</c:v>
                </c:pt>
                <c:pt idx="4">
                  <c:v>40</c:v>
                </c:pt>
                <c:pt idx="5">
                  <c:v>28</c:v>
                </c:pt>
                <c:pt idx="6">
                  <c:v>22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4-49A5-BE28-B4A7E265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overlap val="-27"/>
        <c:axId val="830863504"/>
        <c:axId val="830862544"/>
      </c:barChart>
      <c:catAx>
        <c:axId val="83086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62544"/>
        <c:crosses val="autoZero"/>
        <c:auto val="1"/>
        <c:lblAlgn val="ctr"/>
        <c:lblOffset val="100"/>
        <c:noMultiLvlLbl val="0"/>
      </c:catAx>
      <c:valAx>
        <c:axId val="8308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6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801277261785718E-2"/>
          <c:y val="9.6969666119568559E-2"/>
          <c:w val="0.88949627657439723"/>
          <c:h val="0.6818440525430518"/>
        </c:manualLayout>
      </c:layout>
      <c:lineChart>
        <c:grouping val="standard"/>
        <c:varyColors val="0"/>
        <c:ser>
          <c:idx val="0"/>
          <c:order val="0"/>
          <c:tx>
            <c:strRef>
              <c:f>Лист8!$C$38:$U$38</c:f>
              <c:strCache>
                <c:ptCount val="19"/>
                <c:pt idx="0">
                  <c:v>20.67041365</c:v>
                </c:pt>
                <c:pt idx="1">
                  <c:v>84.81413992</c:v>
                </c:pt>
                <c:pt idx="2">
                  <c:v>148.9578662</c:v>
                </c:pt>
                <c:pt idx="3">
                  <c:v>213.1015925</c:v>
                </c:pt>
                <c:pt idx="4">
                  <c:v>277.2453187</c:v>
                </c:pt>
                <c:pt idx="5">
                  <c:v>341.389045</c:v>
                </c:pt>
                <c:pt idx="6">
                  <c:v>405.5327713</c:v>
                </c:pt>
                <c:pt idx="7">
                  <c:v>469.6764976</c:v>
                </c:pt>
                <c:pt idx="8">
                  <c:v>533.8202238</c:v>
                </c:pt>
                <c:pt idx="9">
                  <c:v>597.9639501</c:v>
                </c:pt>
                <c:pt idx="10">
                  <c:v>662.1076764</c:v>
                </c:pt>
                <c:pt idx="11">
                  <c:v>726.2514027</c:v>
                </c:pt>
                <c:pt idx="12">
                  <c:v>790.3951289</c:v>
                </c:pt>
                <c:pt idx="13">
                  <c:v>854.5388552</c:v>
                </c:pt>
                <c:pt idx="14">
                  <c:v>918.6825815</c:v>
                </c:pt>
                <c:pt idx="15">
                  <c:v>982.8263078</c:v>
                </c:pt>
                <c:pt idx="16">
                  <c:v>1046.970034</c:v>
                </c:pt>
                <c:pt idx="17">
                  <c:v>1111.11376</c:v>
                </c:pt>
                <c:pt idx="18">
                  <c:v>1175.257487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Лист8!$C$39:$U$39</c:f>
              <c:numCache>
                <c:formatCode>General</c:formatCode>
                <c:ptCount val="19"/>
                <c:pt idx="0">
                  <c:v>5.5939259512751815E-4</c:v>
                </c:pt>
                <c:pt idx="1">
                  <c:v>2.963497390952237E-3</c:v>
                </c:pt>
                <c:pt idx="2">
                  <c:v>4.0050296455482965E-3</c:v>
                </c:pt>
                <c:pt idx="3">
                  <c:v>3.8905412563577861E-3</c:v>
                </c:pt>
                <c:pt idx="4">
                  <c:v>3.2434919232938722E-3</c:v>
                </c:pt>
                <c:pt idx="5">
                  <c:v>2.4748655795307052E-3</c:v>
                </c:pt>
                <c:pt idx="6">
                  <c:v>1.7822207950757341E-3</c:v>
                </c:pt>
                <c:pt idx="7">
                  <c:v>1.232130933352742E-3</c:v>
                </c:pt>
                <c:pt idx="8">
                  <c:v>8.2639671001765792E-4</c:v>
                </c:pt>
                <c:pt idx="9">
                  <c:v>5.4144185302396064E-4</c:v>
                </c:pt>
                <c:pt idx="10">
                  <c:v>3.481954831888806E-4</c:v>
                </c:pt>
                <c:pt idx="11">
                  <c:v>2.205471673396451E-4</c:v>
                </c:pt>
                <c:pt idx="12">
                  <c:v>1.3794450976394881E-4</c:v>
                </c:pt>
                <c:pt idx="13">
                  <c:v>8.5366486563242315E-5</c:v>
                </c:pt>
                <c:pt idx="14">
                  <c:v>5.2350384325547398E-5</c:v>
                </c:pt>
                <c:pt idx="15">
                  <c:v>3.1851913448155247E-5</c:v>
                </c:pt>
                <c:pt idx="16">
                  <c:v>1.9247163139208614E-5</c:v>
                </c:pt>
                <c:pt idx="17">
                  <c:v>1.1560287427150067E-5</c:v>
                </c:pt>
                <c:pt idx="18">
                  <c:v>6.9061585700231345E-6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6D7-4C2A-B192-8E66B0112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428191"/>
        <c:axId val="1662429631"/>
      </c:lineChart>
      <c:catAx>
        <c:axId val="166242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29631"/>
        <c:crosses val="autoZero"/>
        <c:auto val="1"/>
        <c:lblAlgn val="ctr"/>
        <c:lblOffset val="100"/>
        <c:noMultiLvlLbl val="0"/>
      </c:catAx>
      <c:valAx>
        <c:axId val="166242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2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4763</xdr:rowOff>
    </xdr:from>
    <xdr:to>
      <xdr:col>9</xdr:col>
      <xdr:colOff>557213</xdr:colOff>
      <xdr:row>20</xdr:row>
      <xdr:rowOff>114301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2B44EEA-683A-4CD5-82E8-33209D3BE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588168</xdr:colOff>
      <xdr:row>38</xdr:row>
      <xdr:rowOff>142875</xdr:rowOff>
    </xdr:from>
    <xdr:to>
      <xdr:col>15</xdr:col>
      <xdr:colOff>626268</xdr:colOff>
      <xdr:row>53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0C86C71-98A7-2B70-61B8-FDAB0693F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280988</xdr:colOff>
      <xdr:row>39</xdr:row>
      <xdr:rowOff>9525</xdr:rowOff>
    </xdr:from>
    <xdr:to>
      <xdr:col>8</xdr:col>
      <xdr:colOff>471488</xdr:colOff>
      <xdr:row>57</xdr:row>
      <xdr:rowOff>100012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04E505F-1231-4BD1-A75E-3FA683E2C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354805</xdr:colOff>
      <xdr:row>3</xdr:row>
      <xdr:rowOff>23813</xdr:rowOff>
    </xdr:from>
    <xdr:to>
      <xdr:col>12</xdr:col>
      <xdr:colOff>100012</xdr:colOff>
      <xdr:row>25</xdr:row>
      <xdr:rowOff>38101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2B9621-8508-4937-B089-9BF4172B5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44221</xdr:colOff>
      <xdr:row>40</xdr:row>
      <xdr:rowOff>104774</xdr:rowOff>
    </xdr:from>
    <xdr:to>
      <xdr:col>12</xdr:col>
      <xdr:colOff>619125</xdr:colOff>
      <xdr:row>61</xdr:row>
      <xdr:rowOff>115660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E172049-DE73-4D94-B09F-9D9B5B17D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445293</xdr:colOff>
      <xdr:row>13</xdr:row>
      <xdr:rowOff>4763</xdr:rowOff>
    </xdr:from>
    <xdr:to>
      <xdr:col>10</xdr:col>
      <xdr:colOff>519113</xdr:colOff>
      <xdr:row>33</xdr:row>
      <xdr:rowOff>19051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DD8873-622B-4519-AA50-E82872B03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78579</xdr:colOff>
      <xdr:row>14</xdr:row>
      <xdr:rowOff>85724</xdr:rowOff>
    </xdr:from>
    <xdr:to>
      <xdr:col>21</xdr:col>
      <xdr:colOff>104774</xdr:colOff>
      <xdr:row>31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A70D5D1-3055-4652-A2DA-F64FC8B1D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354805</xdr:colOff>
      <xdr:row>3</xdr:row>
      <xdr:rowOff>23813</xdr:rowOff>
    </xdr:from>
    <xdr:to>
      <xdr:col>12</xdr:col>
      <xdr:colOff>100012</xdr:colOff>
      <xdr:row>25</xdr:row>
      <xdr:rowOff>38101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E9EA00-DDA9-E7CC-CBB6-9DAD3FAFB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44221</xdr:colOff>
      <xdr:row>40</xdr:row>
      <xdr:rowOff>104774</xdr:rowOff>
    </xdr:from>
    <xdr:to>
      <xdr:col>12</xdr:col>
      <xdr:colOff>619125</xdr:colOff>
      <xdr:row>61</xdr:row>
      <xdr:rowOff>115660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9B5B188-B368-8414-6040-4607B49ED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445293</xdr:colOff>
      <xdr:row>13</xdr:row>
      <xdr:rowOff>4763</xdr:rowOff>
    </xdr:from>
    <xdr:to>
      <xdr:col>10</xdr:col>
      <xdr:colOff>519113</xdr:colOff>
      <xdr:row>33</xdr:row>
      <xdr:rowOff>19051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ED5912C-A6EA-544C-75DB-446AAD3C8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78579</xdr:colOff>
      <xdr:row>14</xdr:row>
      <xdr:rowOff>85724</xdr:rowOff>
    </xdr:from>
    <xdr:to>
      <xdr:col>21</xdr:col>
      <xdr:colOff>104774</xdr:colOff>
      <xdr:row>31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19EEFC4-0ECF-D451-7714-86A3B951A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E75B-9B28-4995-BB6F-DC2C662F6EEF}">
  <dimension ref="A1:V300"/>
  <sheetViews>
    <sheetView workbookViewId="0">
      <selection activeCell="A73" sqref="A73:O73"/>
    </sheetView>
  </sheetViews>
  <sheetFormatPr defaultRowHeight="14.25" x14ac:dyDescent="0.45"/>
  <cols>
    <col min="21" max="21" width="9.06640625" style="2"/>
  </cols>
  <sheetData>
    <row r="1" spans="20:22" x14ac:dyDescent="0.45">
      <c r="T1">
        <f>CORREL(U:U,V:V)</f>
        <v>2.0258565048421072E-2</v>
      </c>
      <c r="U1">
        <v>209.5288109206173</v>
      </c>
      <c r="V1" s="1">
        <v>107.28158389327129</v>
      </c>
    </row>
    <row r="2" spans="20:22" x14ac:dyDescent="0.45">
      <c r="U2">
        <v>234.92815281748139</v>
      </c>
      <c r="V2" s="1">
        <v>127.82735370530034</v>
      </c>
    </row>
    <row r="3" spans="20:22" x14ac:dyDescent="0.45">
      <c r="U3">
        <v>70.260555548940616</v>
      </c>
      <c r="V3" s="1">
        <v>408.3546686385011</v>
      </c>
    </row>
    <row r="4" spans="20:22" x14ac:dyDescent="0.45">
      <c r="U4">
        <v>369.86281739777667</v>
      </c>
      <c r="V4" s="1">
        <v>98.890546210211852</v>
      </c>
    </row>
    <row r="5" spans="20:22" x14ac:dyDescent="0.45">
      <c r="U5">
        <v>332.22945392144737</v>
      </c>
      <c r="V5" s="1">
        <v>701.75957763374743</v>
      </c>
    </row>
    <row r="6" spans="20:22" x14ac:dyDescent="0.45">
      <c r="U6">
        <v>130.66504585089956</v>
      </c>
      <c r="V6" s="1">
        <v>271.81439391360277</v>
      </c>
    </row>
    <row r="7" spans="20:22" x14ac:dyDescent="0.45">
      <c r="U7">
        <v>107.26249292252238</v>
      </c>
      <c r="V7" s="1">
        <v>320.49549343299248</v>
      </c>
    </row>
    <row r="8" spans="20:22" x14ac:dyDescent="0.45">
      <c r="U8">
        <v>304.89436045962498</v>
      </c>
      <c r="V8" s="1">
        <v>248.02335172534512</v>
      </c>
    </row>
    <row r="9" spans="20:22" x14ac:dyDescent="0.45">
      <c r="U9">
        <v>220.47323459778454</v>
      </c>
      <c r="V9" s="1">
        <v>224.91195357298182</v>
      </c>
    </row>
    <row r="10" spans="20:22" x14ac:dyDescent="0.45">
      <c r="U10">
        <v>681.11685365201038</v>
      </c>
      <c r="V10" s="1">
        <v>454.21521094440101</v>
      </c>
    </row>
    <row r="11" spans="20:22" x14ac:dyDescent="0.45">
      <c r="U11">
        <v>254.72990256535178</v>
      </c>
      <c r="V11" s="1">
        <v>254.47077882330547</v>
      </c>
    </row>
    <row r="12" spans="20:22" x14ac:dyDescent="0.45">
      <c r="U12">
        <v>235.08798478663388</v>
      </c>
      <c r="V12" s="1">
        <v>216.90657928262164</v>
      </c>
    </row>
    <row r="13" spans="20:22" x14ac:dyDescent="0.45">
      <c r="U13">
        <v>121.42862981203696</v>
      </c>
      <c r="V13" s="1">
        <v>797.62537343667645</v>
      </c>
    </row>
    <row r="14" spans="20:22" x14ac:dyDescent="0.45">
      <c r="U14">
        <v>105.02894169849054</v>
      </c>
      <c r="V14" s="1">
        <v>630.35309829085122</v>
      </c>
    </row>
    <row r="15" spans="20:22" x14ac:dyDescent="0.45">
      <c r="U15">
        <v>443.57479891176058</v>
      </c>
      <c r="V15" s="1">
        <v>187.66933410519863</v>
      </c>
    </row>
    <row r="16" spans="20:22" x14ac:dyDescent="0.45">
      <c r="U16">
        <v>267.03746963636996</v>
      </c>
      <c r="V16" s="1">
        <v>81.610533594883279</v>
      </c>
    </row>
    <row r="17" spans="1:22" x14ac:dyDescent="0.45">
      <c r="U17">
        <v>401.70769464597328</v>
      </c>
      <c r="V17" s="1">
        <v>283.24936593557317</v>
      </c>
    </row>
    <row r="18" spans="1:22" x14ac:dyDescent="0.45">
      <c r="U18">
        <v>59.379924321729256</v>
      </c>
      <c r="V18" s="1">
        <v>151.51033225013779</v>
      </c>
    </row>
    <row r="19" spans="1:22" x14ac:dyDescent="0.45">
      <c r="U19">
        <v>774.96763544059399</v>
      </c>
      <c r="V19" s="1">
        <v>407.89408014857736</v>
      </c>
    </row>
    <row r="20" spans="1:22" x14ac:dyDescent="0.45">
      <c r="U20">
        <v>169.47108847850711</v>
      </c>
      <c r="V20" s="1">
        <v>196.50012539926712</v>
      </c>
    </row>
    <row r="21" spans="1:22" x14ac:dyDescent="0.45">
      <c r="U21">
        <v>615.23664584887263</v>
      </c>
      <c r="V21" s="1">
        <v>226.10190058519862</v>
      </c>
    </row>
    <row r="22" spans="1:22" x14ac:dyDescent="0.45">
      <c r="U22">
        <v>80.798660467993969</v>
      </c>
      <c r="V22" s="1">
        <v>296.82006676145301</v>
      </c>
    </row>
    <row r="23" spans="1:22" x14ac:dyDescent="0.45">
      <c r="U23">
        <v>368.01975475886582</v>
      </c>
      <c r="V23" s="1">
        <v>365.89967866417624</v>
      </c>
    </row>
    <row r="24" spans="1:22" x14ac:dyDescent="0.4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U24">
        <v>259.37419471341775</v>
      </c>
      <c r="V24" s="1">
        <v>126.08793960916096</v>
      </c>
    </row>
    <row r="25" spans="1:22" x14ac:dyDescent="0.45">
      <c r="A25">
        <v>26</v>
      </c>
      <c r="B25">
        <v>36</v>
      </c>
      <c r="C25">
        <v>49</v>
      </c>
      <c r="D25">
        <v>39</v>
      </c>
      <c r="E25">
        <v>39</v>
      </c>
      <c r="F25">
        <v>25</v>
      </c>
      <c r="G25">
        <v>18</v>
      </c>
      <c r="H25">
        <v>19</v>
      </c>
      <c r="I25">
        <v>23</v>
      </c>
      <c r="J25">
        <v>8</v>
      </c>
      <c r="K25">
        <v>6</v>
      </c>
      <c r="L25">
        <v>3</v>
      </c>
      <c r="M25">
        <v>3</v>
      </c>
      <c r="N25">
        <v>3</v>
      </c>
      <c r="O25">
        <v>0</v>
      </c>
      <c r="P25">
        <v>0</v>
      </c>
      <c r="Q25">
        <v>1</v>
      </c>
      <c r="R25">
        <v>2</v>
      </c>
      <c r="U25">
        <v>164.98614481728714</v>
      </c>
      <c r="V25" s="1">
        <v>158.17331398046889</v>
      </c>
    </row>
    <row r="26" spans="1:22" x14ac:dyDescent="0.45">
      <c r="A26" t="s">
        <v>36</v>
      </c>
      <c r="B26" t="s">
        <v>37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44</v>
      </c>
      <c r="J26" t="s">
        <v>45</v>
      </c>
      <c r="K26" t="s">
        <v>46</v>
      </c>
      <c r="L26" t="s">
        <v>47</v>
      </c>
      <c r="M26" t="s">
        <v>48</v>
      </c>
      <c r="N26" t="s">
        <v>49</v>
      </c>
      <c r="O26" t="s">
        <v>50</v>
      </c>
      <c r="P26" t="s">
        <v>51</v>
      </c>
      <c r="Q26" t="s">
        <v>52</v>
      </c>
      <c r="R26" t="s">
        <v>53</v>
      </c>
      <c r="U26">
        <v>326.93468592479508</v>
      </c>
      <c r="V26" s="1">
        <v>169.31814511084991</v>
      </c>
    </row>
    <row r="27" spans="1:22" x14ac:dyDescent="0.45">
      <c r="A27">
        <v>25</v>
      </c>
      <c r="B27">
        <v>50</v>
      </c>
      <c r="C27">
        <v>55</v>
      </c>
      <c r="D27">
        <v>41</v>
      </c>
      <c r="E27">
        <v>40</v>
      </c>
      <c r="F27">
        <v>28</v>
      </c>
      <c r="G27">
        <v>22</v>
      </c>
      <c r="H27">
        <v>19</v>
      </c>
      <c r="I27">
        <v>6</v>
      </c>
      <c r="J27">
        <v>3</v>
      </c>
      <c r="K27">
        <v>4</v>
      </c>
      <c r="L27">
        <v>3</v>
      </c>
      <c r="M27">
        <v>1</v>
      </c>
      <c r="N27">
        <v>2</v>
      </c>
      <c r="O27">
        <v>0</v>
      </c>
      <c r="P27">
        <v>0</v>
      </c>
      <c r="Q27">
        <v>0</v>
      </c>
      <c r="R27">
        <v>1</v>
      </c>
      <c r="U27">
        <v>594.28891545738736</v>
      </c>
      <c r="V27" s="1">
        <v>356.99176152030975</v>
      </c>
    </row>
    <row r="28" spans="1:22" x14ac:dyDescent="0.45">
      <c r="U28">
        <v>67.642177200888</v>
      </c>
      <c r="V28" s="1">
        <v>51.531820594945302</v>
      </c>
    </row>
    <row r="29" spans="1:22" x14ac:dyDescent="0.45">
      <c r="U29">
        <v>327.53880603093648</v>
      </c>
      <c r="V29" s="1">
        <v>138.94007100937398</v>
      </c>
    </row>
    <row r="30" spans="1:22" x14ac:dyDescent="0.45">
      <c r="A30">
        <v>1</v>
      </c>
      <c r="B30">
        <v>2</v>
      </c>
      <c r="C30">
        <v>3</v>
      </c>
      <c r="D30">
        <v>4</v>
      </c>
      <c r="E30">
        <v>5</v>
      </c>
      <c r="F30">
        <v>6</v>
      </c>
      <c r="G30">
        <v>7</v>
      </c>
      <c r="H30">
        <v>8</v>
      </c>
      <c r="I30">
        <v>9</v>
      </c>
      <c r="J30">
        <v>10</v>
      </c>
      <c r="K30">
        <v>11</v>
      </c>
      <c r="L30">
        <v>12</v>
      </c>
      <c r="M30">
        <v>13</v>
      </c>
      <c r="N30">
        <v>14</v>
      </c>
      <c r="O30">
        <v>15</v>
      </c>
      <c r="P30">
        <v>16</v>
      </c>
      <c r="Q30">
        <v>17</v>
      </c>
      <c r="R30">
        <v>18</v>
      </c>
      <c r="U30">
        <v>244.11185637314551</v>
      </c>
      <c r="V30" s="1">
        <v>122.36436339055496</v>
      </c>
    </row>
    <row r="31" spans="1:22" x14ac:dyDescent="0.45">
      <c r="A31">
        <v>25</v>
      </c>
      <c r="B31">
        <v>50</v>
      </c>
      <c r="C31">
        <v>55</v>
      </c>
      <c r="D31">
        <v>41</v>
      </c>
      <c r="E31">
        <v>40</v>
      </c>
      <c r="F31">
        <v>28</v>
      </c>
      <c r="G31">
        <v>22</v>
      </c>
      <c r="H31">
        <v>19</v>
      </c>
      <c r="I31">
        <v>6</v>
      </c>
      <c r="J31">
        <v>3</v>
      </c>
      <c r="K31">
        <v>4</v>
      </c>
      <c r="L31">
        <v>3</v>
      </c>
      <c r="M31">
        <v>1</v>
      </c>
      <c r="N31">
        <v>2</v>
      </c>
      <c r="O31">
        <v>0</v>
      </c>
      <c r="P31">
        <v>0</v>
      </c>
      <c r="Q31">
        <v>0</v>
      </c>
      <c r="R31">
        <v>1</v>
      </c>
      <c r="U31">
        <v>341.49190856028713</v>
      </c>
      <c r="V31" s="1">
        <v>192.42385978046303</v>
      </c>
    </row>
    <row r="32" spans="1:22" x14ac:dyDescent="0.45">
      <c r="A32">
        <v>26</v>
      </c>
      <c r="B32">
        <v>36</v>
      </c>
      <c r="C32">
        <v>49</v>
      </c>
      <c r="D32">
        <v>39</v>
      </c>
      <c r="E32">
        <v>39</v>
      </c>
      <c r="F32">
        <v>25</v>
      </c>
      <c r="G32">
        <v>18</v>
      </c>
      <c r="H32">
        <v>19</v>
      </c>
      <c r="I32">
        <v>23</v>
      </c>
      <c r="J32">
        <v>8</v>
      </c>
      <c r="K32">
        <v>6</v>
      </c>
      <c r="L32">
        <v>3</v>
      </c>
      <c r="M32">
        <v>3</v>
      </c>
      <c r="N32">
        <v>3</v>
      </c>
      <c r="O32">
        <v>0</v>
      </c>
      <c r="P32">
        <v>0</v>
      </c>
      <c r="Q32">
        <v>1</v>
      </c>
      <c r="R32">
        <v>2</v>
      </c>
      <c r="U32">
        <v>245.6669964273672</v>
      </c>
      <c r="V32" s="1">
        <v>314.19161734563977</v>
      </c>
    </row>
    <row r="33" spans="21:22" x14ac:dyDescent="0.45">
      <c r="U33">
        <v>90.522743756656411</v>
      </c>
      <c r="V33" s="1">
        <v>224.76623940791234</v>
      </c>
    </row>
    <row r="34" spans="21:22" x14ac:dyDescent="0.45">
      <c r="U34">
        <v>372.04227444802433</v>
      </c>
      <c r="V34" s="1">
        <v>55.898927187361181</v>
      </c>
    </row>
    <row r="35" spans="21:22" x14ac:dyDescent="0.45">
      <c r="U35">
        <v>234.50838155808407</v>
      </c>
      <c r="V35" s="1">
        <v>327.76712307497064</v>
      </c>
    </row>
    <row r="36" spans="21:22" x14ac:dyDescent="0.45">
      <c r="U36">
        <v>271.38612176538788</v>
      </c>
      <c r="V36" s="1">
        <v>375.33573039261597</v>
      </c>
    </row>
    <row r="37" spans="21:22" x14ac:dyDescent="0.45">
      <c r="U37">
        <v>276.61619037549502</v>
      </c>
      <c r="V37" s="1">
        <v>227.86161586375553</v>
      </c>
    </row>
    <row r="38" spans="21:22" x14ac:dyDescent="0.45">
      <c r="U38">
        <v>305.02362963278551</v>
      </c>
      <c r="V38" s="1">
        <v>355.13663052220119</v>
      </c>
    </row>
    <row r="39" spans="21:22" x14ac:dyDescent="0.45">
      <c r="U39">
        <v>132.36814076666116</v>
      </c>
      <c r="V39" s="1">
        <v>286.7413177403497</v>
      </c>
    </row>
    <row r="40" spans="21:22" x14ac:dyDescent="0.45">
      <c r="U40">
        <v>315.68165521645199</v>
      </c>
      <c r="V40" s="1">
        <v>133.99561157809518</v>
      </c>
    </row>
    <row r="41" spans="21:22" x14ac:dyDescent="0.45">
      <c r="U41">
        <v>190.90805625163031</v>
      </c>
      <c r="V41" s="1">
        <v>229.31356051547908</v>
      </c>
    </row>
    <row r="42" spans="21:22" x14ac:dyDescent="0.45">
      <c r="U42">
        <v>169.49679909189314</v>
      </c>
      <c r="V42" s="1">
        <v>427.5796519704889</v>
      </c>
    </row>
    <row r="43" spans="21:22" x14ac:dyDescent="0.45">
      <c r="U43">
        <v>387.44212866851188</v>
      </c>
      <c r="V43" s="1">
        <v>379.88380148467013</v>
      </c>
    </row>
    <row r="44" spans="21:22" x14ac:dyDescent="0.45">
      <c r="U44">
        <v>482.23771912995119</v>
      </c>
      <c r="V44" s="1">
        <v>470.07277475710123</v>
      </c>
    </row>
    <row r="45" spans="21:22" x14ac:dyDescent="0.45">
      <c r="U45">
        <v>169.89721429943333</v>
      </c>
      <c r="V45" s="1">
        <v>270.68980051071156</v>
      </c>
    </row>
    <row r="46" spans="21:22" x14ac:dyDescent="0.45">
      <c r="U46">
        <v>169.24970694165125</v>
      </c>
      <c r="V46" s="1">
        <v>151.08022269670758</v>
      </c>
    </row>
    <row r="47" spans="21:22" x14ac:dyDescent="0.45">
      <c r="U47">
        <v>157.80896181471908</v>
      </c>
      <c r="V47" s="1">
        <v>184.74179118427588</v>
      </c>
    </row>
    <row r="48" spans="21:22" x14ac:dyDescent="0.45">
      <c r="U48">
        <v>234.48900683505167</v>
      </c>
      <c r="V48" s="1">
        <v>484.80314732117779</v>
      </c>
    </row>
    <row r="49" spans="1:22" x14ac:dyDescent="0.45">
      <c r="U49">
        <v>223.62841557033812</v>
      </c>
      <c r="V49" s="1">
        <v>130.8094017575973</v>
      </c>
    </row>
    <row r="50" spans="1:22" x14ac:dyDescent="0.45">
      <c r="U50">
        <v>144.59081370771773</v>
      </c>
      <c r="V50" s="1">
        <v>184.10637657715995</v>
      </c>
    </row>
    <row r="51" spans="1:22" x14ac:dyDescent="0.45">
      <c r="U51">
        <v>538.7878849706276</v>
      </c>
      <c r="V51" s="1">
        <v>385.10511983287188</v>
      </c>
    </row>
    <row r="52" spans="1:22" x14ac:dyDescent="0.45">
      <c r="U52">
        <v>268.51540072322712</v>
      </c>
      <c r="V52" s="1">
        <v>83.235214760513699</v>
      </c>
    </row>
    <row r="53" spans="1:22" x14ac:dyDescent="0.45">
      <c r="U53">
        <v>486.36609639678198</v>
      </c>
      <c r="V53" s="1">
        <v>195.65674454690125</v>
      </c>
    </row>
    <row r="54" spans="1:22" x14ac:dyDescent="0.45">
      <c r="U54">
        <v>280.20437326630719</v>
      </c>
      <c r="V54" s="1">
        <v>540.52449203860169</v>
      </c>
    </row>
    <row r="55" spans="1:22" x14ac:dyDescent="0.45">
      <c r="U55">
        <v>467.16073967148657</v>
      </c>
      <c r="V55" s="1">
        <v>343.16788171818587</v>
      </c>
    </row>
    <row r="56" spans="1:22" x14ac:dyDescent="0.45">
      <c r="U56">
        <v>163.15559400539996</v>
      </c>
      <c r="V56" s="1">
        <v>377.46792019065362</v>
      </c>
    </row>
    <row r="57" spans="1:22" x14ac:dyDescent="0.45">
      <c r="U57">
        <v>504.13069662243396</v>
      </c>
      <c r="V57" s="1">
        <v>763.05828906878878</v>
      </c>
    </row>
    <row r="58" spans="1:22" x14ac:dyDescent="0.45">
      <c r="U58">
        <v>434.01183362842283</v>
      </c>
      <c r="V58" s="1">
        <v>114.1957280012459</v>
      </c>
    </row>
    <row r="59" spans="1:22" x14ac:dyDescent="0.45">
      <c r="U59">
        <v>488.99389597185382</v>
      </c>
      <c r="V59" s="1">
        <v>93.828691587588537</v>
      </c>
    </row>
    <row r="60" spans="1:22" x14ac:dyDescent="0.45">
      <c r="U60">
        <v>166.78355523008983</v>
      </c>
      <c r="V60" s="1">
        <v>288.55840885143232</v>
      </c>
    </row>
    <row r="61" spans="1:22" x14ac:dyDescent="0.45">
      <c r="U61">
        <v>52.658388575742862</v>
      </c>
      <c r="V61" s="1">
        <v>527.20635732889855</v>
      </c>
    </row>
    <row r="62" spans="1:22" x14ac:dyDescent="0.45">
      <c r="A62" s="2">
        <v>2.0994280652664357E-2</v>
      </c>
      <c r="B62" s="2">
        <v>-1.2883530260951043E-2</v>
      </c>
      <c r="C62" s="2">
        <v>-0.12895105735293214</v>
      </c>
      <c r="D62" s="2">
        <v>3.0501461247311838E-2</v>
      </c>
      <c r="E62" s="2">
        <v>-5.042559850138132E-2</v>
      </c>
      <c r="F62" s="2">
        <v>3.618547806985891E-2</v>
      </c>
      <c r="G62" s="2">
        <v>-2.9315588048041186E-2</v>
      </c>
      <c r="H62" s="2">
        <v>2.3654263430050365E-2</v>
      </c>
      <c r="I62" s="2">
        <v>-8.233706081661965E-2</v>
      </c>
      <c r="J62" s="2">
        <v>-7.1618303882132403E-2</v>
      </c>
      <c r="K62" s="2">
        <v>-1.4472613836696308E-2</v>
      </c>
      <c r="L62" s="2">
        <v>4.3918925221466121E-2</v>
      </c>
      <c r="M62" s="2">
        <v>-6.5759763209642436E-4</v>
      </c>
      <c r="N62" s="2">
        <v>-5.7710804347221804E-2</v>
      </c>
      <c r="O62" s="2">
        <v>-7.0019005461876949E-2</v>
      </c>
      <c r="U62">
        <v>173.16219460145086</v>
      </c>
      <c r="V62" s="1">
        <v>684.17142200543822</v>
      </c>
    </row>
    <row r="63" spans="1:22" x14ac:dyDescent="0.45">
      <c r="A63">
        <f>A62-'300 ген'!$G$4</f>
        <v>-278.91115957160849</v>
      </c>
      <c r="B63">
        <f>B62-'300 ген'!$G$4</f>
        <v>-278.94503738252212</v>
      </c>
      <c r="C63">
        <f>C62-'300 ген'!$G$4</f>
        <v>-279.06110490961407</v>
      </c>
      <c r="D63">
        <f>D62-'300 ген'!$G$4</f>
        <v>-278.90165239101384</v>
      </c>
      <c r="E63">
        <f>E62-'300 ген'!$G$4</f>
        <v>-278.9825794507625</v>
      </c>
      <c r="F63">
        <f>F62-'300 ген'!$G$4</f>
        <v>-278.89596837419128</v>
      </c>
      <c r="G63">
        <f>G62-'300 ген'!$G$4</f>
        <v>-278.9614694403092</v>
      </c>
      <c r="H63">
        <f>H62-'300 ген'!$G$4</f>
        <v>-278.90849958883109</v>
      </c>
      <c r="I63">
        <f>I62-'300 ген'!$G$4</f>
        <v>-279.01449091307774</v>
      </c>
      <c r="J63">
        <f>J62-'300 ген'!$G$4</f>
        <v>-279.00377215614327</v>
      </c>
      <c r="K63">
        <f>K62-'300 ген'!$G$4</f>
        <v>-278.94662646609783</v>
      </c>
      <c r="L63">
        <f>L62-'300 ген'!$G$4</f>
        <v>-278.88823492703966</v>
      </c>
      <c r="M63">
        <f>M62-'300 ген'!$G$4</f>
        <v>-278.93281144989322</v>
      </c>
      <c r="N63">
        <f>N62-'300 ген'!$G$4</f>
        <v>-278.98986465660835</v>
      </c>
      <c r="O63">
        <f>O62-'300 ген'!$G$4</f>
        <v>-279.002172857723</v>
      </c>
      <c r="P63" t="s">
        <v>54</v>
      </c>
      <c r="U63">
        <v>252.11587739497912</v>
      </c>
      <c r="V63" s="1">
        <v>318.45739323918156</v>
      </c>
    </row>
    <row r="64" spans="1:22" x14ac:dyDescent="0.45">
      <c r="U64">
        <v>441.64480091025371</v>
      </c>
      <c r="V64" s="1">
        <v>208.72149310978941</v>
      </c>
    </row>
    <row r="65" spans="1:22" x14ac:dyDescent="0.45">
      <c r="A65" s="2">
        <v>-3.1988354872457853E-2</v>
      </c>
      <c r="B65" s="2">
        <v>-3.0426632726997145E-2</v>
      </c>
      <c r="C65" s="2">
        <v>-4.9195742628947541E-2</v>
      </c>
      <c r="D65" s="2">
        <v>4.2372882773105656E-3</v>
      </c>
      <c r="E65" s="2">
        <v>2.9058435421817096E-2</v>
      </c>
      <c r="F65" s="2">
        <v>6.8666815576322232E-2</v>
      </c>
      <c r="G65" s="2">
        <v>1.1581391236112614E-2</v>
      </c>
      <c r="H65" s="2">
        <v>5.8080888573985655E-2</v>
      </c>
      <c r="I65" s="2">
        <v>7.0174641794295264E-2</v>
      </c>
      <c r="J65" s="2">
        <v>-4.1811578677852304E-2</v>
      </c>
      <c r="K65" s="2">
        <v>1.087997281537898E-2</v>
      </c>
      <c r="L65" s="2">
        <v>-4.5146029319797151E-3</v>
      </c>
      <c r="M65" s="2">
        <v>-2.4007167643684633E-2</v>
      </c>
      <c r="N65" s="2">
        <v>-3.5223292687641343E-2</v>
      </c>
      <c r="O65" s="2">
        <v>7.7740053206234007E-3</v>
      </c>
      <c r="U65">
        <v>47.848498048560792</v>
      </c>
      <c r="V65" s="1">
        <v>246.93208789280652</v>
      </c>
    </row>
    <row r="66" spans="1:22" x14ac:dyDescent="0.45">
      <c r="A66">
        <f>A65-'300'!$G$4</f>
        <v>-276.51019071183612</v>
      </c>
      <c r="B66">
        <f>B65-'300'!$G$4</f>
        <v>-276.50862898969064</v>
      </c>
      <c r="C66">
        <f>C65-'300'!$G$4</f>
        <v>-276.52739809959263</v>
      </c>
      <c r="D66">
        <f>D65-'300'!$G$4</f>
        <v>-276.47396506868637</v>
      </c>
      <c r="E66">
        <f>E65-'300'!$G$4</f>
        <v>-276.44914392154186</v>
      </c>
      <c r="F66">
        <f>F65-'300'!$G$4</f>
        <v>-276.40953554138736</v>
      </c>
      <c r="G66">
        <f>G65-'300'!$G$4</f>
        <v>-276.46662096572754</v>
      </c>
      <c r="H66">
        <f>H65-'300'!$G$4</f>
        <v>-276.42012146838965</v>
      </c>
      <c r="I66">
        <f>I65-'300'!$G$4</f>
        <v>-276.4080277151694</v>
      </c>
      <c r="J66">
        <f>J65-'300'!$G$4</f>
        <v>-276.52001393564154</v>
      </c>
      <c r="K66">
        <f>K65-'300'!$G$4</f>
        <v>-276.4673223841483</v>
      </c>
      <c r="L66">
        <f>L65-'300'!$G$4</f>
        <v>-276.48271695989564</v>
      </c>
      <c r="M66">
        <f>M65-'300'!$G$4</f>
        <v>-276.50220952460734</v>
      </c>
      <c r="N66">
        <f>N65-'300'!$G$4</f>
        <v>-276.51342564965131</v>
      </c>
      <c r="O66">
        <f>O65-'300'!$G$4</f>
        <v>-276.47042835164302</v>
      </c>
      <c r="P66" t="s">
        <v>55</v>
      </c>
      <c r="U66">
        <v>144.80469715405297</v>
      </c>
      <c r="V66" s="1">
        <v>135.05870598078235</v>
      </c>
    </row>
    <row r="67" spans="1:22" x14ac:dyDescent="0.45">
      <c r="A67">
        <f>A66*A63</f>
        <v>77121.777924804817</v>
      </c>
      <c r="B67">
        <f t="shared" ref="B67:O67" si="0">B66*B63</f>
        <v>77130.709850119194</v>
      </c>
      <c r="C67">
        <f t="shared" si="0"/>
        <v>77168.041251453033</v>
      </c>
      <c r="D67">
        <f t="shared" si="0"/>
        <v>77109.045700752074</v>
      </c>
      <c r="E67">
        <f t="shared" si="0"/>
        <v>77124.495258186827</v>
      </c>
      <c r="F67">
        <f t="shared" si="0"/>
        <v>77089.505082675663</v>
      </c>
      <c r="G67">
        <f t="shared" si="0"/>
        <v>77123.534835796352</v>
      </c>
      <c r="H67">
        <f t="shared" si="0"/>
        <v>77095.921334910992</v>
      </c>
      <c r="I67">
        <f t="shared" si="0"/>
        <v>77121.845137235869</v>
      </c>
      <c r="J67">
        <f t="shared" si="0"/>
        <v>77150.126964713301</v>
      </c>
      <c r="K67">
        <f t="shared" si="0"/>
        <v>77119.626907173268</v>
      </c>
      <c r="L67">
        <f t="shared" si="0"/>
        <v>77107.776920777585</v>
      </c>
      <c r="M67">
        <f t="shared" si="0"/>
        <v>77125.538674806172</v>
      </c>
      <c r="N67">
        <f t="shared" si="0"/>
        <v>77144.443197731351</v>
      </c>
      <c r="O67">
        <f t="shared" si="0"/>
        <v>77135.850241013832</v>
      </c>
      <c r="P67" t="s">
        <v>56</v>
      </c>
      <c r="U67">
        <v>59.869896269984665</v>
      </c>
      <c r="V67" s="1">
        <v>212.00109132019526</v>
      </c>
    </row>
    <row r="68" spans="1:22" x14ac:dyDescent="0.45">
      <c r="U68">
        <v>335.82089896048655</v>
      </c>
      <c r="V68" s="1">
        <v>65.071926371309047</v>
      </c>
    </row>
    <row r="69" spans="1:22" x14ac:dyDescent="0.45">
      <c r="A69">
        <f>A63*A63</f>
        <v>77791.43493357925</v>
      </c>
      <c r="B69">
        <f t="shared" ref="B69:O69" si="1">B63*B63</f>
        <v>77810.333880336664</v>
      </c>
      <c r="C69">
        <f t="shared" si="1"/>
        <v>77875.100273374628</v>
      </c>
      <c r="D69">
        <f t="shared" si="1"/>
        <v>77786.131706437911</v>
      </c>
      <c r="E69">
        <f t="shared" si="1"/>
        <v>77831.279637001018</v>
      </c>
      <c r="F69">
        <f t="shared" si="1"/>
        <v>77782.961175377903</v>
      </c>
      <c r="G69">
        <f t="shared" si="1"/>
        <v>77819.501432296558</v>
      </c>
      <c r="H69">
        <f t="shared" si="1"/>
        <v>77789.951142892998</v>
      </c>
      <c r="I69">
        <f t="shared" si="1"/>
        <v>77849.086139483945</v>
      </c>
      <c r="J69">
        <f t="shared" si="1"/>
        <v>77843.104877357109</v>
      </c>
      <c r="K69">
        <f t="shared" si="1"/>
        <v>77811.220416816708</v>
      </c>
      <c r="L69">
        <f t="shared" si="1"/>
        <v>77778.647580719669</v>
      </c>
      <c r="M69">
        <f t="shared" si="1"/>
        <v>77803.513303341679</v>
      </c>
      <c r="N69">
        <f t="shared" si="1"/>
        <v>77835.344581112644</v>
      </c>
      <c r="O69">
        <f t="shared" si="1"/>
        <v>77842.212459330738</v>
      </c>
      <c r="P69" t="s">
        <v>57</v>
      </c>
      <c r="U69">
        <v>473.80666636238794</v>
      </c>
      <c r="V69" s="1">
        <v>477.48731714154536</v>
      </c>
    </row>
    <row r="70" spans="1:22" x14ac:dyDescent="0.45">
      <c r="A70">
        <f>A66*A66</f>
        <v>76457.885567495978</v>
      </c>
      <c r="B70">
        <f t="shared" ref="B70:O70" si="2">B66*B66</f>
        <v>76457.021905758389</v>
      </c>
      <c r="C70">
        <f t="shared" si="2"/>
        <v>76467.401899730583</v>
      </c>
      <c r="D70">
        <f t="shared" si="2"/>
        <v>76437.853360801208</v>
      </c>
      <c r="E70">
        <f t="shared" si="2"/>
        <v>76424.12917495337</v>
      </c>
      <c r="F70">
        <f t="shared" si="2"/>
        <v>76402.231338205485</v>
      </c>
      <c r="G70">
        <f t="shared" si="2"/>
        <v>76433.792508207262</v>
      </c>
      <c r="H70">
        <f t="shared" si="2"/>
        <v>76408.083552599288</v>
      </c>
      <c r="I70">
        <f t="shared" si="2"/>
        <v>76401.397785389854</v>
      </c>
      <c r="J70">
        <f t="shared" si="2"/>
        <v>76463.318106967388</v>
      </c>
      <c r="K70">
        <f t="shared" si="2"/>
        <v>76434.180346260589</v>
      </c>
      <c r="L70">
        <f t="shared" si="2"/>
        <v>76442.692777525765</v>
      </c>
      <c r="M70">
        <f t="shared" si="2"/>
        <v>76453.471871989852</v>
      </c>
      <c r="N70">
        <f t="shared" si="2"/>
        <v>76459.674564505243</v>
      </c>
      <c r="O70">
        <f t="shared" si="2"/>
        <v>76435.897752940975</v>
      </c>
      <c r="P70" t="s">
        <v>58</v>
      </c>
      <c r="U70">
        <v>297.27969468721159</v>
      </c>
      <c r="V70" s="1">
        <v>379.10072832547741</v>
      </c>
    </row>
    <row r="71" spans="1:22" x14ac:dyDescent="0.45">
      <c r="U71">
        <v>98.255300531989789</v>
      </c>
      <c r="V71" s="1">
        <v>419.18061229105331</v>
      </c>
    </row>
    <row r="72" spans="1:22" x14ac:dyDescent="0.45">
      <c r="U72">
        <v>518.62926994183226</v>
      </c>
      <c r="V72" s="1">
        <v>92.051072390415982</v>
      </c>
    </row>
    <row r="73" spans="1:22" x14ac:dyDescent="0.45">
      <c r="A73" s="6">
        <f>(A62-A65)/A65</f>
        <v>-1.6563101083619822</v>
      </c>
      <c r="B73" s="6">
        <f t="shared" ref="B73:O73" si="3">(B62-B65)/B65</f>
        <v>-0.57657061901826367</v>
      </c>
      <c r="C73" s="6">
        <f t="shared" si="3"/>
        <v>1.6211832663149051</v>
      </c>
      <c r="D73" s="6">
        <f t="shared" si="3"/>
        <v>6.1983446136148457</v>
      </c>
      <c r="E73" s="6">
        <f t="shared" si="3"/>
        <v>-2.7353170523255956</v>
      </c>
      <c r="F73" s="6">
        <f t="shared" si="3"/>
        <v>-0.4730281611845063</v>
      </c>
      <c r="G73" s="6">
        <f t="shared" si="3"/>
        <v>-3.5312665335603666</v>
      </c>
      <c r="H73" s="6">
        <f t="shared" si="3"/>
        <v>-0.59273585492896408</v>
      </c>
      <c r="I73" s="6">
        <f t="shared" si="3"/>
        <v>-2.1733164389777206</v>
      </c>
      <c r="J73" s="6">
        <f t="shared" si="3"/>
        <v>0.712882080677542</v>
      </c>
      <c r="K73" s="6">
        <f t="shared" si="3"/>
        <v>-2.3302068012742718</v>
      </c>
      <c r="L73" s="6">
        <f t="shared" si="3"/>
        <v>-10.728192242635847</v>
      </c>
      <c r="M73" s="6">
        <f t="shared" si="3"/>
        <v>-0.97260827924990922</v>
      </c>
      <c r="N73" s="6">
        <f t="shared" si="3"/>
        <v>0.63842730033784056</v>
      </c>
      <c r="O73" s="6">
        <f t="shared" si="3"/>
        <v>-10.006812135325642</v>
      </c>
      <c r="U73">
        <v>93.97636635450155</v>
      </c>
      <c r="V73" s="1">
        <v>505.15934999217063</v>
      </c>
    </row>
    <row r="74" spans="1:22" x14ac:dyDescent="0.45">
      <c r="U74">
        <v>142.43278079553824</v>
      </c>
      <c r="V74" s="1">
        <v>204.64797660269062</v>
      </c>
    </row>
    <row r="75" spans="1:22" x14ac:dyDescent="0.45">
      <c r="U75">
        <v>455.82920256252265</v>
      </c>
      <c r="V75" s="1">
        <v>393.69557760716901</v>
      </c>
    </row>
    <row r="76" spans="1:22" x14ac:dyDescent="0.45">
      <c r="U76">
        <v>596.23910759302396</v>
      </c>
      <c r="V76" s="1">
        <v>208.3377473171555</v>
      </c>
    </row>
    <row r="77" spans="1:22" x14ac:dyDescent="0.45">
      <c r="U77">
        <v>295.96022618973575</v>
      </c>
      <c r="V77" s="1">
        <v>131.10075713382952</v>
      </c>
    </row>
    <row r="78" spans="1:22" x14ac:dyDescent="0.45">
      <c r="U78">
        <v>67.942553282927193</v>
      </c>
      <c r="V78" s="1">
        <v>200.34605210648334</v>
      </c>
    </row>
    <row r="79" spans="1:22" x14ac:dyDescent="0.45">
      <c r="U79">
        <v>96.558471319182118</v>
      </c>
      <c r="V79" s="1">
        <v>220.18785541026077</v>
      </c>
    </row>
    <row r="80" spans="1:22" x14ac:dyDescent="0.45">
      <c r="U80">
        <v>343.86748024853443</v>
      </c>
      <c r="V80" s="1">
        <v>545.34426792191391</v>
      </c>
    </row>
    <row r="81" spans="21:22" x14ac:dyDescent="0.45">
      <c r="U81">
        <v>281.18845620463583</v>
      </c>
      <c r="V81" s="1">
        <v>298.21504684333127</v>
      </c>
    </row>
    <row r="82" spans="21:22" x14ac:dyDescent="0.45">
      <c r="U82">
        <v>917.4372022271923</v>
      </c>
      <c r="V82" s="1">
        <v>35.333966596066375</v>
      </c>
    </row>
    <row r="83" spans="21:22" x14ac:dyDescent="0.45">
      <c r="U83">
        <v>262.43180773473506</v>
      </c>
      <c r="V83" s="1">
        <v>185.44794327967338</v>
      </c>
    </row>
    <row r="84" spans="21:22" x14ac:dyDescent="0.45">
      <c r="U84">
        <v>524.45340443223631</v>
      </c>
      <c r="V84" s="1">
        <v>436.56347628770209</v>
      </c>
    </row>
    <row r="85" spans="21:22" x14ac:dyDescent="0.45">
      <c r="U85">
        <v>134.02595032352656</v>
      </c>
      <c r="V85" s="1">
        <v>162.67977861718344</v>
      </c>
    </row>
    <row r="86" spans="21:22" x14ac:dyDescent="0.45">
      <c r="U86">
        <v>396.88023212302858</v>
      </c>
      <c r="V86" s="1">
        <v>216.15215722346178</v>
      </c>
    </row>
    <row r="87" spans="21:22" x14ac:dyDescent="0.45">
      <c r="U87">
        <v>141.09243653739904</v>
      </c>
      <c r="V87" s="1">
        <v>249.61201762606564</v>
      </c>
    </row>
    <row r="88" spans="21:22" x14ac:dyDescent="0.45">
      <c r="U88">
        <v>218.46556492072142</v>
      </c>
      <c r="V88" s="1">
        <v>341.69175316393586</v>
      </c>
    </row>
    <row r="89" spans="21:22" x14ac:dyDescent="0.45">
      <c r="U89">
        <v>44.628549494627542</v>
      </c>
      <c r="V89" s="1">
        <v>203.30563183272307</v>
      </c>
    </row>
    <row r="90" spans="21:22" x14ac:dyDescent="0.45">
      <c r="U90">
        <v>71.435914829738323</v>
      </c>
      <c r="V90" s="1">
        <v>388.73073722723774</v>
      </c>
    </row>
    <row r="91" spans="21:22" x14ac:dyDescent="0.45">
      <c r="U91">
        <v>76.092501582313901</v>
      </c>
      <c r="V91" s="1">
        <v>158.91079043238744</v>
      </c>
    </row>
    <row r="92" spans="21:22" x14ac:dyDescent="0.45">
      <c r="U92">
        <v>228.21227440928192</v>
      </c>
      <c r="V92" s="1">
        <v>79.627903538835881</v>
      </c>
    </row>
    <row r="93" spans="21:22" x14ac:dyDescent="0.45">
      <c r="U93">
        <v>164.19817093997014</v>
      </c>
      <c r="V93" s="1">
        <v>127.99124370748665</v>
      </c>
    </row>
    <row r="94" spans="21:22" x14ac:dyDescent="0.45">
      <c r="U94">
        <v>386.67439941582165</v>
      </c>
      <c r="V94" s="1">
        <v>395.60937797206873</v>
      </c>
    </row>
    <row r="95" spans="21:22" x14ac:dyDescent="0.45">
      <c r="U95">
        <v>227.77808120394292</v>
      </c>
      <c r="V95" s="1">
        <v>211.19042812250598</v>
      </c>
    </row>
    <row r="96" spans="21:22" x14ac:dyDescent="0.45">
      <c r="U96">
        <v>90.238303630962534</v>
      </c>
      <c r="V96" s="1">
        <v>336.1261218728319</v>
      </c>
    </row>
    <row r="97" spans="21:22" x14ac:dyDescent="0.45">
      <c r="U97">
        <v>49.362781749031946</v>
      </c>
      <c r="V97" s="1">
        <v>283.75273249906081</v>
      </c>
    </row>
    <row r="98" spans="21:22" x14ac:dyDescent="0.45">
      <c r="U98">
        <v>174.2857724255922</v>
      </c>
      <c r="V98" s="1">
        <v>105.02116918454753</v>
      </c>
    </row>
    <row r="99" spans="21:22" x14ac:dyDescent="0.45">
      <c r="U99">
        <v>67.204182385311015</v>
      </c>
      <c r="V99" s="1">
        <v>425.36850075864334</v>
      </c>
    </row>
    <row r="100" spans="21:22" x14ac:dyDescent="0.45">
      <c r="U100">
        <v>321.74950872972528</v>
      </c>
      <c r="V100" s="1">
        <v>102.97001833383734</v>
      </c>
    </row>
    <row r="101" spans="21:22" x14ac:dyDescent="0.45">
      <c r="U101">
        <v>206.96341547082537</v>
      </c>
      <c r="V101" s="1">
        <v>366.03119660905475</v>
      </c>
    </row>
    <row r="102" spans="21:22" x14ac:dyDescent="0.45">
      <c r="U102">
        <v>475.33281283571608</v>
      </c>
      <c r="V102" s="1">
        <v>340.31592031699176</v>
      </c>
    </row>
    <row r="103" spans="21:22" x14ac:dyDescent="0.45">
      <c r="U103">
        <v>562.61973907776724</v>
      </c>
      <c r="V103" s="1">
        <v>89.406776230258188</v>
      </c>
    </row>
    <row r="104" spans="21:22" x14ac:dyDescent="0.45">
      <c r="U104">
        <v>135.43318257134754</v>
      </c>
      <c r="V104" s="1">
        <v>86.036017111450917</v>
      </c>
    </row>
    <row r="105" spans="21:22" x14ac:dyDescent="0.45">
      <c r="U105">
        <v>502.17393063270958</v>
      </c>
      <c r="V105" s="1">
        <v>180.52809446994971</v>
      </c>
    </row>
    <row r="106" spans="21:22" x14ac:dyDescent="0.45">
      <c r="U106">
        <v>70.947422021638545</v>
      </c>
      <c r="V106" s="1">
        <v>156.25047183375975</v>
      </c>
    </row>
    <row r="107" spans="21:22" x14ac:dyDescent="0.45">
      <c r="U107">
        <v>318.11069672121238</v>
      </c>
      <c r="V107" s="1">
        <v>348.9796212775168</v>
      </c>
    </row>
    <row r="108" spans="21:22" x14ac:dyDescent="0.45">
      <c r="U108">
        <v>345.46758011275131</v>
      </c>
      <c r="V108" s="1">
        <v>26.25929918955304</v>
      </c>
    </row>
    <row r="109" spans="21:22" x14ac:dyDescent="0.45">
      <c r="U109">
        <v>482.09133774798386</v>
      </c>
      <c r="V109" s="1">
        <v>203.68345331447091</v>
      </c>
    </row>
    <row r="110" spans="21:22" x14ac:dyDescent="0.45">
      <c r="U110">
        <v>383.75946144376746</v>
      </c>
      <c r="V110" s="1">
        <v>102.17919882822795</v>
      </c>
    </row>
    <row r="111" spans="21:22" x14ac:dyDescent="0.45">
      <c r="U111">
        <v>263.58608042492097</v>
      </c>
      <c r="V111" s="1">
        <v>190.51609288178926</v>
      </c>
    </row>
    <row r="112" spans="21:22" x14ac:dyDescent="0.45">
      <c r="U112">
        <v>179.10529315348955</v>
      </c>
      <c r="V112" s="1">
        <v>235.64677760754643</v>
      </c>
    </row>
    <row r="113" spans="21:22" x14ac:dyDescent="0.45">
      <c r="U113">
        <v>88.938903663500952</v>
      </c>
      <c r="V113" s="1">
        <v>250.73257522774867</v>
      </c>
    </row>
    <row r="114" spans="21:22" x14ac:dyDescent="0.45">
      <c r="U114">
        <v>202.1412280198237</v>
      </c>
      <c r="V114" s="1">
        <v>124.48179450312151</v>
      </c>
    </row>
    <row r="115" spans="21:22" x14ac:dyDescent="0.45">
      <c r="U115">
        <v>431.31516352368709</v>
      </c>
      <c r="V115" s="1">
        <v>87.931068082034301</v>
      </c>
    </row>
    <row r="116" spans="21:22" x14ac:dyDescent="0.45">
      <c r="U116">
        <v>112.53526346467414</v>
      </c>
      <c r="V116" s="1">
        <v>321.42360626576317</v>
      </c>
    </row>
    <row r="117" spans="21:22" x14ac:dyDescent="0.45">
      <c r="U117">
        <v>156.81447719544678</v>
      </c>
      <c r="V117" s="1">
        <v>190.79671678950294</v>
      </c>
    </row>
    <row r="118" spans="21:22" x14ac:dyDescent="0.45">
      <c r="U118">
        <v>179.70715529775978</v>
      </c>
      <c r="V118" s="1">
        <v>86.592257298542492</v>
      </c>
    </row>
    <row r="119" spans="21:22" x14ac:dyDescent="0.45">
      <c r="U119">
        <v>152.37778879923559</v>
      </c>
      <c r="V119" s="1">
        <v>474.05599626791059</v>
      </c>
    </row>
    <row r="120" spans="21:22" x14ac:dyDescent="0.45">
      <c r="U120">
        <v>142.76274535358621</v>
      </c>
      <c r="V120" s="1">
        <v>108.43545068003378</v>
      </c>
    </row>
    <row r="121" spans="21:22" x14ac:dyDescent="0.45">
      <c r="U121">
        <v>42.91935684307812</v>
      </c>
      <c r="V121" s="1">
        <v>442.97592651122511</v>
      </c>
    </row>
    <row r="122" spans="21:22" x14ac:dyDescent="0.45">
      <c r="U122">
        <v>311.44277532247179</v>
      </c>
      <c r="V122" s="1">
        <v>314.68068213842207</v>
      </c>
    </row>
    <row r="123" spans="21:22" x14ac:dyDescent="0.45">
      <c r="U123">
        <v>85.436024999419658</v>
      </c>
      <c r="V123" s="1">
        <v>536.39248842962934</v>
      </c>
    </row>
    <row r="124" spans="21:22" x14ac:dyDescent="0.45">
      <c r="U124">
        <v>218.979935251662</v>
      </c>
      <c r="V124" s="1">
        <v>220.93049742013136</v>
      </c>
    </row>
    <row r="125" spans="21:22" x14ac:dyDescent="0.45">
      <c r="U125">
        <v>524.79584450048492</v>
      </c>
      <c r="V125" s="1">
        <v>255.22691671136863</v>
      </c>
    </row>
    <row r="126" spans="21:22" x14ac:dyDescent="0.45">
      <c r="U126">
        <v>462.71371241146039</v>
      </c>
      <c r="V126" s="1">
        <v>135.59061651296579</v>
      </c>
    </row>
    <row r="127" spans="21:22" x14ac:dyDescent="0.45">
      <c r="U127">
        <v>265.78547028910907</v>
      </c>
      <c r="V127" s="1">
        <v>472.47974649011212</v>
      </c>
    </row>
    <row r="128" spans="21:22" x14ac:dyDescent="0.45">
      <c r="U128">
        <v>119.38835250673448</v>
      </c>
      <c r="V128" s="1">
        <v>679.95273325503615</v>
      </c>
    </row>
    <row r="129" spans="21:22" x14ac:dyDescent="0.45">
      <c r="U129">
        <v>135.71558325092766</v>
      </c>
      <c r="V129" s="1">
        <v>117.46470521298471</v>
      </c>
    </row>
    <row r="130" spans="21:22" x14ac:dyDescent="0.45">
      <c r="U130">
        <v>284.15695997124516</v>
      </c>
      <c r="V130" s="1">
        <v>59.92031507532073</v>
      </c>
    </row>
    <row r="131" spans="21:22" x14ac:dyDescent="0.45">
      <c r="U131">
        <v>454.66531258920463</v>
      </c>
      <c r="V131" s="1">
        <v>187.10412979569011</v>
      </c>
    </row>
    <row r="132" spans="21:22" x14ac:dyDescent="0.45">
      <c r="U132">
        <v>275.78945460876781</v>
      </c>
      <c r="V132" s="1">
        <v>251.00913706758195</v>
      </c>
    </row>
    <row r="133" spans="21:22" x14ac:dyDescent="0.45">
      <c r="U133">
        <v>92.487468892436027</v>
      </c>
      <c r="V133" s="1">
        <v>218.43906919934599</v>
      </c>
    </row>
    <row r="134" spans="21:22" x14ac:dyDescent="0.45">
      <c r="U134">
        <v>265.17450290722093</v>
      </c>
      <c r="V134" s="1">
        <v>434.82516443016164</v>
      </c>
    </row>
    <row r="135" spans="21:22" x14ac:dyDescent="0.45">
      <c r="U135">
        <v>307.62602749770878</v>
      </c>
      <c r="V135" s="1">
        <v>221.11042209559358</v>
      </c>
    </row>
    <row r="136" spans="21:22" x14ac:dyDescent="0.45">
      <c r="U136">
        <v>371.48766362664111</v>
      </c>
      <c r="V136" s="1">
        <v>172.53484271505926</v>
      </c>
    </row>
    <row r="137" spans="21:22" x14ac:dyDescent="0.45">
      <c r="U137">
        <v>198.76256055552781</v>
      </c>
      <c r="V137" s="1">
        <v>495.71101325955192</v>
      </c>
    </row>
    <row r="138" spans="21:22" x14ac:dyDescent="0.45">
      <c r="U138">
        <v>86.968485433386348</v>
      </c>
      <c r="V138" s="1">
        <v>213.86728633348781</v>
      </c>
    </row>
    <row r="139" spans="21:22" x14ac:dyDescent="0.45">
      <c r="U139">
        <v>296.4778687331397</v>
      </c>
      <c r="V139" s="1">
        <v>511.496427037648</v>
      </c>
    </row>
    <row r="140" spans="21:22" x14ac:dyDescent="0.45">
      <c r="U140">
        <v>175.11163497781669</v>
      </c>
      <c r="V140" s="1">
        <v>74.011159316182813</v>
      </c>
    </row>
    <row r="141" spans="21:22" x14ac:dyDescent="0.45">
      <c r="U141">
        <v>195.5394036311836</v>
      </c>
      <c r="V141" s="1">
        <v>206.16605378324252</v>
      </c>
    </row>
    <row r="142" spans="21:22" x14ac:dyDescent="0.45">
      <c r="U142">
        <v>773.62442485022143</v>
      </c>
      <c r="V142" s="1">
        <v>76.461815482975467</v>
      </c>
    </row>
    <row r="143" spans="21:22" x14ac:dyDescent="0.45">
      <c r="U143">
        <v>963.91192404331218</v>
      </c>
      <c r="V143" s="1">
        <v>47.67542915595395</v>
      </c>
    </row>
    <row r="144" spans="21:22" x14ac:dyDescent="0.45">
      <c r="U144">
        <v>470.07735964383585</v>
      </c>
      <c r="V144" s="1">
        <v>291.17677702452175</v>
      </c>
    </row>
    <row r="145" spans="21:22" x14ac:dyDescent="0.45">
      <c r="U145">
        <v>58.666798039845595</v>
      </c>
      <c r="V145" s="1">
        <v>134.87230332402521</v>
      </c>
    </row>
    <row r="146" spans="21:22" x14ac:dyDescent="0.45">
      <c r="U146">
        <v>286.58976380434297</v>
      </c>
      <c r="V146" s="1">
        <v>199.11543644843971</v>
      </c>
    </row>
    <row r="147" spans="21:22" x14ac:dyDescent="0.45">
      <c r="U147">
        <v>206.34793947422529</v>
      </c>
      <c r="V147" s="1">
        <v>530.99578288292787</v>
      </c>
    </row>
    <row r="148" spans="21:22" x14ac:dyDescent="0.45">
      <c r="U148">
        <v>304.27088457688751</v>
      </c>
      <c r="V148" s="1">
        <v>20.670413649223192</v>
      </c>
    </row>
    <row r="149" spans="21:22" x14ac:dyDescent="0.45">
      <c r="U149">
        <v>104.26280419099015</v>
      </c>
      <c r="V149" s="1">
        <v>284.26678006048337</v>
      </c>
    </row>
    <row r="150" spans="21:22" x14ac:dyDescent="0.45">
      <c r="U150">
        <v>41.987405013056787</v>
      </c>
      <c r="V150" s="1">
        <v>82.119068833463558</v>
      </c>
    </row>
    <row r="151" spans="21:22" x14ac:dyDescent="0.45">
      <c r="U151">
        <v>283.1327490709441</v>
      </c>
      <c r="V151" s="1">
        <v>376.28476153968569</v>
      </c>
    </row>
    <row r="152" spans="21:22" x14ac:dyDescent="0.45">
      <c r="U152">
        <v>132.85573066642723</v>
      </c>
      <c r="V152" s="1">
        <v>89.209363168845584</v>
      </c>
    </row>
    <row r="153" spans="21:22" x14ac:dyDescent="0.45">
      <c r="U153">
        <v>249.47330187908724</v>
      </c>
      <c r="V153" s="1">
        <v>422.97353373003557</v>
      </c>
    </row>
    <row r="154" spans="21:22" x14ac:dyDescent="0.45">
      <c r="U154">
        <v>258.11916421926173</v>
      </c>
      <c r="V154" s="1">
        <v>186.37499794933927</v>
      </c>
    </row>
    <row r="155" spans="21:22" x14ac:dyDescent="0.45">
      <c r="U155">
        <v>544.83169816681391</v>
      </c>
      <c r="V155" s="1">
        <v>275.58962231740099</v>
      </c>
    </row>
    <row r="156" spans="21:22" x14ac:dyDescent="0.45">
      <c r="U156">
        <v>427.3316189693366</v>
      </c>
      <c r="V156" s="1">
        <v>279.71092227464675</v>
      </c>
    </row>
    <row r="157" spans="21:22" x14ac:dyDescent="0.45">
      <c r="U157">
        <v>111.21298400891638</v>
      </c>
      <c r="V157" s="1">
        <v>256.5777260229512</v>
      </c>
    </row>
    <row r="158" spans="21:22" x14ac:dyDescent="0.45">
      <c r="U158">
        <v>516.60930724462185</v>
      </c>
      <c r="V158" s="1">
        <v>339.84848550874926</v>
      </c>
    </row>
    <row r="159" spans="21:22" x14ac:dyDescent="0.45">
      <c r="U159">
        <v>422.49552308820171</v>
      </c>
      <c r="V159" s="1">
        <v>91.16298936540359</v>
      </c>
    </row>
    <row r="160" spans="21:22" x14ac:dyDescent="0.45">
      <c r="U160">
        <v>64.449753103583717</v>
      </c>
      <c r="V160" s="1">
        <v>371.57228795950266</v>
      </c>
    </row>
    <row r="161" spans="21:22" x14ac:dyDescent="0.45">
      <c r="U161">
        <v>330.64674018688521</v>
      </c>
      <c r="V161" s="1">
        <v>165.73533880031849</v>
      </c>
    </row>
    <row r="162" spans="21:22" x14ac:dyDescent="0.45">
      <c r="U162">
        <v>225.75968930738185</v>
      </c>
      <c r="V162" s="1">
        <v>431.84785533197737</v>
      </c>
    </row>
    <row r="163" spans="21:22" x14ac:dyDescent="0.45">
      <c r="U163">
        <v>464.29149854897616</v>
      </c>
      <c r="V163" s="1">
        <v>518.50225693162645</v>
      </c>
    </row>
    <row r="164" spans="21:22" x14ac:dyDescent="0.45">
      <c r="U164">
        <v>448.35954772690258</v>
      </c>
      <c r="V164" s="1">
        <v>597.67486927964592</v>
      </c>
    </row>
    <row r="165" spans="21:22" x14ac:dyDescent="0.45">
      <c r="U165">
        <v>82.518026953077907</v>
      </c>
      <c r="V165" s="1">
        <v>70.562148340304248</v>
      </c>
    </row>
    <row r="166" spans="21:22" x14ac:dyDescent="0.45">
      <c r="U166">
        <v>324.72883545157691</v>
      </c>
      <c r="V166" s="1">
        <v>161.71169634723401</v>
      </c>
    </row>
    <row r="167" spans="21:22" x14ac:dyDescent="0.45">
      <c r="U167">
        <v>493.69109607150557</v>
      </c>
      <c r="V167" s="1">
        <v>365.92766702071486</v>
      </c>
    </row>
    <row r="168" spans="21:22" x14ac:dyDescent="0.45">
      <c r="U168">
        <v>80.529610511574333</v>
      </c>
      <c r="V168" s="1">
        <v>377.45761753511613</v>
      </c>
    </row>
    <row r="169" spans="21:22" x14ac:dyDescent="0.45">
      <c r="U169">
        <v>335.89937217365878</v>
      </c>
      <c r="V169" s="1">
        <v>244.57049680440883</v>
      </c>
    </row>
    <row r="170" spans="21:22" x14ac:dyDescent="0.45">
      <c r="U170">
        <v>204.55976274179119</v>
      </c>
      <c r="V170" s="1">
        <v>380.53299535209015</v>
      </c>
    </row>
    <row r="171" spans="21:22" x14ac:dyDescent="0.45">
      <c r="U171">
        <v>78.325475383001191</v>
      </c>
      <c r="V171" s="1">
        <v>119.77504990150319</v>
      </c>
    </row>
    <row r="172" spans="21:22" x14ac:dyDescent="0.45">
      <c r="U172">
        <v>356.27238143444515</v>
      </c>
      <c r="V172" s="1">
        <v>218.24048797629771</v>
      </c>
    </row>
    <row r="173" spans="21:22" x14ac:dyDescent="0.45">
      <c r="U173">
        <v>395.48589754866902</v>
      </c>
      <c r="V173" s="1">
        <v>354.80386610839338</v>
      </c>
    </row>
    <row r="174" spans="21:22" x14ac:dyDescent="0.45">
      <c r="U174">
        <v>294.97635750957465</v>
      </c>
      <c r="V174" s="1">
        <v>200.41425382552194</v>
      </c>
    </row>
    <row r="175" spans="21:22" x14ac:dyDescent="0.45">
      <c r="U175">
        <v>231.62224838345102</v>
      </c>
      <c r="V175" s="1">
        <v>214.707941943381</v>
      </c>
    </row>
    <row r="176" spans="21:22" x14ac:dyDescent="0.45">
      <c r="U176">
        <v>103.57061510226495</v>
      </c>
      <c r="V176" s="1">
        <v>128.24713187599914</v>
      </c>
    </row>
    <row r="177" spans="21:22" x14ac:dyDescent="0.45">
      <c r="U177">
        <v>184.14259733673293</v>
      </c>
      <c r="V177" s="1">
        <v>205.95740635096305</v>
      </c>
    </row>
    <row r="178" spans="21:22" x14ac:dyDescent="0.45">
      <c r="U178">
        <v>507.88319238193316</v>
      </c>
      <c r="V178" s="1">
        <v>321.52646634498285</v>
      </c>
    </row>
    <row r="179" spans="21:22" x14ac:dyDescent="0.45">
      <c r="U179">
        <v>279.1971619750118</v>
      </c>
      <c r="V179" s="1">
        <v>288.73933496950207</v>
      </c>
    </row>
    <row r="180" spans="21:22" x14ac:dyDescent="0.45">
      <c r="U180">
        <v>576.58009754434784</v>
      </c>
      <c r="V180" s="1">
        <v>235.36159506521165</v>
      </c>
    </row>
    <row r="181" spans="21:22" x14ac:dyDescent="0.45">
      <c r="U181">
        <v>365.02436945535311</v>
      </c>
      <c r="V181" s="1">
        <v>536.03507312259637</v>
      </c>
    </row>
    <row r="182" spans="21:22" x14ac:dyDescent="0.45">
      <c r="U182">
        <v>219.75800015658763</v>
      </c>
      <c r="V182" s="1">
        <v>228.25600047470829</v>
      </c>
    </row>
    <row r="183" spans="21:22" x14ac:dyDescent="0.45">
      <c r="U183">
        <v>59.440039871478987</v>
      </c>
      <c r="V183" s="1">
        <v>215.51690149816432</v>
      </c>
    </row>
    <row r="184" spans="21:22" x14ac:dyDescent="0.45">
      <c r="U184">
        <v>237.5606331091339</v>
      </c>
      <c r="V184" s="1">
        <v>172.97098123856031</v>
      </c>
    </row>
    <row r="185" spans="21:22" x14ac:dyDescent="0.45">
      <c r="U185">
        <v>270.07299172374866</v>
      </c>
      <c r="V185" s="1">
        <v>298.65735848541505</v>
      </c>
    </row>
    <row r="186" spans="21:22" x14ac:dyDescent="0.45">
      <c r="U186">
        <v>143.14884956100119</v>
      </c>
      <c r="V186" s="1">
        <v>157.53435581019252</v>
      </c>
    </row>
    <row r="187" spans="21:22" x14ac:dyDescent="0.45">
      <c r="U187">
        <v>206.76645885639016</v>
      </c>
      <c r="V187" s="1">
        <v>84.03211744007605</v>
      </c>
    </row>
    <row r="188" spans="21:22" x14ac:dyDescent="0.45">
      <c r="U188">
        <v>386.94903008010562</v>
      </c>
      <c r="V188" s="1">
        <v>188.71752493582289</v>
      </c>
    </row>
    <row r="189" spans="21:22" x14ac:dyDescent="0.45">
      <c r="U189">
        <v>357.61336637106939</v>
      </c>
      <c r="V189" s="1">
        <v>116.60437593747307</v>
      </c>
    </row>
    <row r="190" spans="21:22" x14ac:dyDescent="0.45">
      <c r="U190">
        <v>171.95968111762033</v>
      </c>
      <c r="V190" s="1">
        <v>134.94640883037687</v>
      </c>
    </row>
    <row r="191" spans="21:22" x14ac:dyDescent="0.45">
      <c r="U191">
        <v>430.30290295743788</v>
      </c>
      <c r="V191" s="1">
        <v>435.11415526329688</v>
      </c>
    </row>
    <row r="192" spans="21:22" x14ac:dyDescent="0.45">
      <c r="U192">
        <v>71.478945642640696</v>
      </c>
      <c r="V192" s="1">
        <v>177.72815000706601</v>
      </c>
    </row>
    <row r="193" spans="21:22" x14ac:dyDescent="0.45">
      <c r="U193">
        <v>440.99713593209384</v>
      </c>
      <c r="V193" s="1">
        <v>134.98922638929375</v>
      </c>
    </row>
    <row r="194" spans="21:22" x14ac:dyDescent="0.45">
      <c r="U194">
        <v>122.41692606926023</v>
      </c>
      <c r="V194" s="1">
        <v>726.69771335095948</v>
      </c>
    </row>
    <row r="195" spans="21:22" x14ac:dyDescent="0.45">
      <c r="U195">
        <v>374.76849837459224</v>
      </c>
      <c r="V195" s="1">
        <v>37.717606599446796</v>
      </c>
    </row>
    <row r="196" spans="21:22" x14ac:dyDescent="0.45">
      <c r="U196">
        <v>496.32009415987784</v>
      </c>
      <c r="V196" s="1">
        <v>110.9162647661596</v>
      </c>
    </row>
    <row r="197" spans="21:22" x14ac:dyDescent="0.45">
      <c r="U197">
        <v>419.42535315511856</v>
      </c>
      <c r="V197" s="1">
        <v>416.9380434712856</v>
      </c>
    </row>
    <row r="198" spans="21:22" x14ac:dyDescent="0.45">
      <c r="U198">
        <v>426.42870198813068</v>
      </c>
      <c r="V198" s="1">
        <v>463.39474499202589</v>
      </c>
    </row>
    <row r="199" spans="21:22" x14ac:dyDescent="0.45">
      <c r="U199">
        <v>692.93494021757647</v>
      </c>
      <c r="V199" s="1">
        <v>445.64779833094963</v>
      </c>
    </row>
    <row r="200" spans="21:22" x14ac:dyDescent="0.45">
      <c r="U200">
        <v>364.09253924617246</v>
      </c>
      <c r="V200" s="1">
        <v>90.023263673380285</v>
      </c>
    </row>
    <row r="201" spans="21:22" x14ac:dyDescent="0.45">
      <c r="U201">
        <v>69.373345714430258</v>
      </c>
      <c r="V201" s="1">
        <v>111.84495600627909</v>
      </c>
    </row>
    <row r="202" spans="21:22" x14ac:dyDescent="0.45">
      <c r="U202">
        <v>645.48627618446812</v>
      </c>
      <c r="V202" s="1">
        <v>162.30978025416906</v>
      </c>
    </row>
    <row r="203" spans="21:22" x14ac:dyDescent="0.45">
      <c r="U203">
        <v>253.37067071593762</v>
      </c>
      <c r="V203" s="1">
        <v>234.84640082560213</v>
      </c>
    </row>
    <row r="204" spans="21:22" x14ac:dyDescent="0.45">
      <c r="U204">
        <v>159.83440011729931</v>
      </c>
      <c r="V204" s="1">
        <v>66.950234133569865</v>
      </c>
    </row>
    <row r="205" spans="21:22" x14ac:dyDescent="0.45">
      <c r="U205">
        <v>209.3916405160374</v>
      </c>
      <c r="V205" s="1">
        <v>177.5374219583199</v>
      </c>
    </row>
    <row r="206" spans="21:22" x14ac:dyDescent="0.45">
      <c r="U206">
        <v>143.80990872984322</v>
      </c>
      <c r="V206" s="1">
        <v>239.54245962962358</v>
      </c>
    </row>
    <row r="207" spans="21:22" x14ac:dyDescent="0.45">
      <c r="U207">
        <v>514.21173408566551</v>
      </c>
      <c r="V207" s="1">
        <v>291.72591184571502</v>
      </c>
    </row>
    <row r="208" spans="21:22" x14ac:dyDescent="0.45">
      <c r="U208">
        <v>499.73708813840176</v>
      </c>
      <c r="V208" s="1">
        <v>186.39378572164745</v>
      </c>
    </row>
    <row r="209" spans="21:22" x14ac:dyDescent="0.45">
      <c r="U209">
        <v>159.37317907293269</v>
      </c>
      <c r="V209" s="1">
        <v>392.71613683829855</v>
      </c>
    </row>
    <row r="210" spans="21:22" x14ac:dyDescent="0.45">
      <c r="U210">
        <v>427.01641020644593</v>
      </c>
      <c r="V210" s="1">
        <v>310.43986982567407</v>
      </c>
    </row>
    <row r="211" spans="21:22" x14ac:dyDescent="0.45">
      <c r="U211">
        <v>482.07155106892395</v>
      </c>
      <c r="V211" s="1">
        <v>79.840544827341972</v>
      </c>
    </row>
    <row r="212" spans="21:22" x14ac:dyDescent="0.45">
      <c r="U212">
        <v>184.32682850765244</v>
      </c>
      <c r="V212" s="1">
        <v>119.33915218619305</v>
      </c>
    </row>
    <row r="213" spans="21:22" x14ac:dyDescent="0.45">
      <c r="U213">
        <v>78.411389255675999</v>
      </c>
      <c r="V213" s="1">
        <v>367.23302635699696</v>
      </c>
    </row>
    <row r="214" spans="21:22" x14ac:dyDescent="0.45">
      <c r="U214">
        <v>190.06879674926037</v>
      </c>
      <c r="V214" s="1">
        <v>486.35828173205414</v>
      </c>
    </row>
    <row r="215" spans="21:22" x14ac:dyDescent="0.45">
      <c r="U215">
        <v>305.8019288501377</v>
      </c>
      <c r="V215" s="1">
        <v>256.05518500026949</v>
      </c>
    </row>
    <row r="216" spans="21:22" x14ac:dyDescent="0.45">
      <c r="U216">
        <v>303.2634441342509</v>
      </c>
      <c r="V216" s="1">
        <v>285.08298599277799</v>
      </c>
    </row>
    <row r="217" spans="21:22" x14ac:dyDescent="0.45">
      <c r="U217">
        <v>110.9153256499812</v>
      </c>
      <c r="V217" s="1">
        <v>241.71401619990274</v>
      </c>
    </row>
    <row r="218" spans="21:22" x14ac:dyDescent="0.45">
      <c r="U218">
        <v>202.89789919264857</v>
      </c>
      <c r="V218" s="1">
        <v>193.87040170218972</v>
      </c>
    </row>
    <row r="219" spans="21:22" x14ac:dyDescent="0.45">
      <c r="U219">
        <v>620.96824470108152</v>
      </c>
      <c r="V219" s="1">
        <v>523.79082837137696</v>
      </c>
    </row>
    <row r="220" spans="21:22" x14ac:dyDescent="0.45">
      <c r="U220">
        <v>306.65779932290599</v>
      </c>
      <c r="V220" s="1">
        <v>315.01964194717908</v>
      </c>
    </row>
    <row r="221" spans="21:22" x14ac:dyDescent="0.45">
      <c r="U221">
        <v>191.72359186815848</v>
      </c>
      <c r="V221" s="1">
        <v>865.33275330337858</v>
      </c>
    </row>
    <row r="222" spans="21:22" x14ac:dyDescent="0.45">
      <c r="U222">
        <v>167.52719961827262</v>
      </c>
      <c r="V222" s="1">
        <v>194.59370822675589</v>
      </c>
    </row>
    <row r="223" spans="21:22" x14ac:dyDescent="0.45">
      <c r="U223">
        <v>245.56619742881239</v>
      </c>
      <c r="V223" s="1">
        <v>387.39636318795874</v>
      </c>
    </row>
    <row r="224" spans="21:22" x14ac:dyDescent="0.45">
      <c r="U224">
        <v>572.0367146050678</v>
      </c>
      <c r="V224" s="1">
        <v>271.6269917213491</v>
      </c>
    </row>
    <row r="225" spans="21:22" x14ac:dyDescent="0.45">
      <c r="U225">
        <v>316.15556591700806</v>
      </c>
      <c r="V225" s="1">
        <v>480.38449609376869</v>
      </c>
    </row>
    <row r="226" spans="21:22" x14ac:dyDescent="0.45">
      <c r="U226">
        <v>475.40602629370846</v>
      </c>
      <c r="V226" s="1">
        <v>451.21034960551799</v>
      </c>
    </row>
    <row r="227" spans="21:22" x14ac:dyDescent="0.45">
      <c r="U227">
        <v>119.29373756874675</v>
      </c>
      <c r="V227" s="1">
        <v>332.09111879125544</v>
      </c>
    </row>
    <row r="228" spans="21:22" x14ac:dyDescent="0.45">
      <c r="U228">
        <v>144.67944435296454</v>
      </c>
      <c r="V228" s="1">
        <v>512.84909718625829</v>
      </c>
    </row>
    <row r="229" spans="21:22" x14ac:dyDescent="0.45">
      <c r="U229">
        <v>142.87305766255395</v>
      </c>
      <c r="V229" s="1">
        <v>122.96997606972863</v>
      </c>
    </row>
    <row r="230" spans="21:22" x14ac:dyDescent="0.45">
      <c r="U230">
        <v>91.724468530486163</v>
      </c>
      <c r="V230" s="1">
        <v>480.00664323151329</v>
      </c>
    </row>
    <row r="231" spans="21:22" x14ac:dyDescent="0.45">
      <c r="U231">
        <v>449.79696444579281</v>
      </c>
      <c r="V231" s="1">
        <v>330.10248607640631</v>
      </c>
    </row>
    <row r="232" spans="21:22" x14ac:dyDescent="0.45">
      <c r="U232">
        <v>539.14640171921076</v>
      </c>
      <c r="V232" s="1">
        <v>459.81737145887951</v>
      </c>
    </row>
    <row r="233" spans="21:22" x14ac:dyDescent="0.45">
      <c r="U233">
        <v>707.12846428479315</v>
      </c>
      <c r="V233" s="1">
        <v>184.61188525349203</v>
      </c>
    </row>
    <row r="234" spans="21:22" x14ac:dyDescent="0.45">
      <c r="U234">
        <v>297.37387056660066</v>
      </c>
      <c r="V234" s="1">
        <v>346.98833471843756</v>
      </c>
    </row>
    <row r="235" spans="21:22" x14ac:dyDescent="0.45">
      <c r="U235">
        <v>411.71694019403617</v>
      </c>
      <c r="V235" s="1">
        <v>460.73292823690343</v>
      </c>
    </row>
    <row r="236" spans="21:22" x14ac:dyDescent="0.45">
      <c r="U236">
        <v>269.07490206475882</v>
      </c>
      <c r="V236" s="1">
        <v>467.9847413320195</v>
      </c>
    </row>
    <row r="237" spans="21:22" x14ac:dyDescent="0.45">
      <c r="U237">
        <v>310.39873282001184</v>
      </c>
      <c r="V237" s="1">
        <v>77.622403875490676</v>
      </c>
    </row>
    <row r="238" spans="21:22" x14ac:dyDescent="0.45">
      <c r="U238">
        <v>198.33129366907403</v>
      </c>
      <c r="V238" s="1">
        <v>119.58825745841665</v>
      </c>
    </row>
    <row r="239" spans="21:22" x14ac:dyDescent="0.45">
      <c r="U239">
        <v>725.68827133689899</v>
      </c>
      <c r="V239" s="1">
        <v>309.06163789052243</v>
      </c>
    </row>
    <row r="240" spans="21:22" x14ac:dyDescent="0.45">
      <c r="U240">
        <v>173.76739223868972</v>
      </c>
      <c r="V240" s="1">
        <v>184.82720896225106</v>
      </c>
    </row>
    <row r="241" spans="21:22" x14ac:dyDescent="0.45">
      <c r="U241">
        <v>240.71763931171111</v>
      </c>
      <c r="V241" s="1">
        <v>371.43707688508533</v>
      </c>
    </row>
    <row r="242" spans="21:22" x14ac:dyDescent="0.45">
      <c r="U242">
        <v>261.17198309051582</v>
      </c>
      <c r="V242" s="1">
        <v>200.06010326821254</v>
      </c>
    </row>
    <row r="243" spans="21:22" x14ac:dyDescent="0.45">
      <c r="U243">
        <v>155.94967349642587</v>
      </c>
      <c r="V243" s="1">
        <v>208.77621431110893</v>
      </c>
    </row>
    <row r="244" spans="21:22" x14ac:dyDescent="0.45">
      <c r="U244">
        <v>204.7115820006193</v>
      </c>
      <c r="V244" s="1">
        <v>292.37011409145134</v>
      </c>
    </row>
    <row r="245" spans="21:22" x14ac:dyDescent="0.45">
      <c r="U245">
        <v>156.49224023096366</v>
      </c>
      <c r="V245" s="1">
        <v>264.26874188234132</v>
      </c>
    </row>
    <row r="246" spans="21:22" x14ac:dyDescent="0.45">
      <c r="U246">
        <v>187.15800581920394</v>
      </c>
      <c r="V246" s="1">
        <v>429.0765170360126</v>
      </c>
    </row>
    <row r="247" spans="21:22" x14ac:dyDescent="0.45">
      <c r="U247">
        <v>207.31170883845465</v>
      </c>
      <c r="V247" s="1">
        <v>867.77584494766484</v>
      </c>
    </row>
    <row r="248" spans="21:22" x14ac:dyDescent="0.45">
      <c r="U248">
        <v>178.88886386522015</v>
      </c>
      <c r="V248" s="1">
        <v>130.81690961984725</v>
      </c>
    </row>
    <row r="249" spans="21:22" x14ac:dyDescent="0.45">
      <c r="U249">
        <v>197.1216955817053</v>
      </c>
      <c r="V249" s="1">
        <v>184.54945804544684</v>
      </c>
    </row>
    <row r="250" spans="21:22" x14ac:dyDescent="0.45">
      <c r="U250">
        <v>176.98213273698155</v>
      </c>
      <c r="V250" s="1">
        <v>142.39879947909134</v>
      </c>
    </row>
    <row r="251" spans="21:22" x14ac:dyDescent="0.45">
      <c r="U251">
        <v>492.39287573879756</v>
      </c>
      <c r="V251" s="1">
        <v>291.26399274604813</v>
      </c>
    </row>
    <row r="252" spans="21:22" x14ac:dyDescent="0.45">
      <c r="U252">
        <v>284.57793187841338</v>
      </c>
      <c r="V252" s="1">
        <v>179.83761527092958</v>
      </c>
    </row>
    <row r="253" spans="21:22" x14ac:dyDescent="0.45">
      <c r="U253">
        <v>179.9558598678565</v>
      </c>
      <c r="V253" s="1">
        <v>79.013566197284092</v>
      </c>
    </row>
    <row r="254" spans="21:22" x14ac:dyDescent="0.45">
      <c r="U254">
        <v>365.99269097519908</v>
      </c>
      <c r="V254" s="1">
        <v>424.13906377686402</v>
      </c>
    </row>
    <row r="255" spans="21:22" x14ac:dyDescent="0.45">
      <c r="U255">
        <v>24.128920019391483</v>
      </c>
      <c r="V255" s="1">
        <v>210.27814426747537</v>
      </c>
    </row>
    <row r="256" spans="21:22" x14ac:dyDescent="0.45">
      <c r="U256">
        <v>496.48634165446333</v>
      </c>
      <c r="V256" s="1">
        <v>334.75080264001713</v>
      </c>
    </row>
    <row r="257" spans="21:22" x14ac:dyDescent="0.45">
      <c r="U257">
        <v>94.007687733024099</v>
      </c>
      <c r="V257" s="1">
        <v>518.77563511668131</v>
      </c>
    </row>
    <row r="258" spans="21:22" x14ac:dyDescent="0.45">
      <c r="U258">
        <v>141.06199720421375</v>
      </c>
      <c r="V258" s="1">
        <v>61.397898222383425</v>
      </c>
    </row>
    <row r="259" spans="21:22" x14ac:dyDescent="0.45">
      <c r="U259">
        <v>60.369020300939781</v>
      </c>
      <c r="V259" s="1">
        <v>281.6184921872071</v>
      </c>
    </row>
    <row r="260" spans="21:22" x14ac:dyDescent="0.45">
      <c r="U260">
        <v>185.50770929294143</v>
      </c>
      <c r="V260" s="1">
        <v>290.77485568812358</v>
      </c>
    </row>
    <row r="261" spans="21:22" x14ac:dyDescent="0.45">
      <c r="U261">
        <v>111.24077828697511</v>
      </c>
      <c r="V261" s="1">
        <v>620.76555402821157</v>
      </c>
    </row>
    <row r="262" spans="21:22" x14ac:dyDescent="0.45">
      <c r="U262">
        <v>59.091236872534438</v>
      </c>
      <c r="V262" s="1">
        <v>277.16883007229029</v>
      </c>
    </row>
    <row r="263" spans="21:22" x14ac:dyDescent="0.45">
      <c r="U263">
        <v>673.62166768614588</v>
      </c>
      <c r="V263" s="1">
        <v>130.53417702164145</v>
      </c>
    </row>
    <row r="264" spans="21:22" x14ac:dyDescent="0.45">
      <c r="U264">
        <v>350.33487331005296</v>
      </c>
      <c r="V264" s="1">
        <v>224.6911762536235</v>
      </c>
    </row>
    <row r="265" spans="21:22" x14ac:dyDescent="0.45">
      <c r="U265">
        <v>100.06273078864594</v>
      </c>
      <c r="V265" s="1">
        <v>91.293203068559166</v>
      </c>
    </row>
    <row r="266" spans="21:22" x14ac:dyDescent="0.45">
      <c r="U266">
        <v>209.10527211242376</v>
      </c>
      <c r="V266" s="1">
        <v>489.83729786120944</v>
      </c>
    </row>
    <row r="267" spans="21:22" x14ac:dyDescent="0.45">
      <c r="U267">
        <v>211.21951100103084</v>
      </c>
      <c r="V267" s="1">
        <v>171.93808248286928</v>
      </c>
    </row>
    <row r="268" spans="21:22" x14ac:dyDescent="0.45">
      <c r="U268">
        <v>255.49720218641446</v>
      </c>
      <c r="V268" s="1">
        <v>127.74069801309761</v>
      </c>
    </row>
    <row r="269" spans="21:22" x14ac:dyDescent="0.45">
      <c r="U269">
        <v>220.08923070512222</v>
      </c>
      <c r="V269" s="1">
        <v>662.8111931353335</v>
      </c>
    </row>
    <row r="270" spans="21:22" x14ac:dyDescent="0.45">
      <c r="U270">
        <v>529.94518091120881</v>
      </c>
      <c r="V270" s="1">
        <v>313.04575332232662</v>
      </c>
    </row>
    <row r="271" spans="21:22" x14ac:dyDescent="0.45">
      <c r="U271">
        <v>159.82178900298709</v>
      </c>
      <c r="V271" s="1">
        <v>310.21369813644799</v>
      </c>
    </row>
    <row r="272" spans="21:22" x14ac:dyDescent="0.45">
      <c r="U272">
        <v>282.11514855665365</v>
      </c>
      <c r="V272" s="1">
        <v>92.858391169629328</v>
      </c>
    </row>
    <row r="273" spans="21:22" x14ac:dyDescent="0.45">
      <c r="U273">
        <v>236.85991889522157</v>
      </c>
      <c r="V273" s="1">
        <v>124.30171322792503</v>
      </c>
    </row>
    <row r="274" spans="21:22" x14ac:dyDescent="0.45">
      <c r="U274">
        <v>92.949012362501037</v>
      </c>
      <c r="V274" s="1">
        <v>323.14036860304128</v>
      </c>
    </row>
    <row r="275" spans="21:22" x14ac:dyDescent="0.45">
      <c r="U275">
        <v>252.2950653435658</v>
      </c>
      <c r="V275" s="1">
        <v>149.17970318256215</v>
      </c>
    </row>
    <row r="276" spans="21:22" x14ac:dyDescent="0.45">
      <c r="U276">
        <v>1010.2267102732116</v>
      </c>
      <c r="V276" s="1">
        <v>80.646400483547254</v>
      </c>
    </row>
    <row r="277" spans="21:22" x14ac:dyDescent="0.45">
      <c r="U277">
        <v>349.6298490775269</v>
      </c>
      <c r="V277" s="1">
        <v>454.99203276299579</v>
      </c>
    </row>
    <row r="278" spans="21:22" x14ac:dyDescent="0.45">
      <c r="U278">
        <v>124.75920068281673</v>
      </c>
      <c r="V278" s="1">
        <v>332.40057234751691</v>
      </c>
    </row>
    <row r="279" spans="21:22" x14ac:dyDescent="0.45">
      <c r="U279">
        <v>143.95997646814763</v>
      </c>
      <c r="V279" s="1">
        <v>612.4557931085468</v>
      </c>
    </row>
    <row r="280" spans="21:22" x14ac:dyDescent="0.45">
      <c r="U280">
        <v>452.53607754057475</v>
      </c>
      <c r="V280" s="1">
        <v>572.58474270260967</v>
      </c>
    </row>
    <row r="281" spans="21:22" x14ac:dyDescent="0.45">
      <c r="U281">
        <v>187.19063384262645</v>
      </c>
      <c r="V281" s="1">
        <v>56.083659595874558</v>
      </c>
    </row>
    <row r="282" spans="21:22" x14ac:dyDescent="0.45">
      <c r="U282">
        <v>420.38860496268313</v>
      </c>
      <c r="V282" s="1">
        <v>329.4403542661974</v>
      </c>
    </row>
    <row r="283" spans="21:22" x14ac:dyDescent="0.45">
      <c r="U283">
        <v>143.10746768482289</v>
      </c>
      <c r="V283" s="1">
        <v>365.64599340118349</v>
      </c>
    </row>
    <row r="284" spans="21:22" x14ac:dyDescent="0.45">
      <c r="U284">
        <v>220.56487627858206</v>
      </c>
      <c r="V284" s="1">
        <v>126.82603233645506</v>
      </c>
    </row>
    <row r="285" spans="21:22" x14ac:dyDescent="0.45">
      <c r="U285">
        <v>43.492869574829022</v>
      </c>
      <c r="V285" s="1">
        <v>294.07961924215846</v>
      </c>
    </row>
    <row r="286" spans="21:22" x14ac:dyDescent="0.45">
      <c r="U286">
        <v>439.30856511191922</v>
      </c>
      <c r="V286" s="1">
        <v>1175.2574865837441</v>
      </c>
    </row>
    <row r="287" spans="21:22" x14ac:dyDescent="0.45">
      <c r="U287">
        <v>80.412472320777923</v>
      </c>
      <c r="V287" s="1">
        <v>194.39564368997893</v>
      </c>
    </row>
    <row r="288" spans="21:22" x14ac:dyDescent="0.45">
      <c r="U288">
        <v>145.75284822659916</v>
      </c>
      <c r="V288" s="1">
        <v>484.62499695018482</v>
      </c>
    </row>
    <row r="289" spans="21:22" x14ac:dyDescent="0.45">
      <c r="U289">
        <v>210.52065759664106</v>
      </c>
      <c r="V289" s="1">
        <v>81.820791783476238</v>
      </c>
    </row>
    <row r="290" spans="21:22" x14ac:dyDescent="0.45">
      <c r="U290">
        <v>471.91406291221807</v>
      </c>
      <c r="V290" s="1">
        <v>216.83048561323341</v>
      </c>
    </row>
    <row r="291" spans="21:22" x14ac:dyDescent="0.45">
      <c r="U291">
        <v>295.43024536564667</v>
      </c>
      <c r="V291" s="1">
        <v>166.16341596586523</v>
      </c>
    </row>
    <row r="292" spans="21:22" x14ac:dyDescent="0.45">
      <c r="U292" s="1">
        <v>119.94525731901157</v>
      </c>
      <c r="V292" s="1">
        <v>119.94525731901157</v>
      </c>
    </row>
    <row r="293" spans="21:22" x14ac:dyDescent="0.45">
      <c r="U293" s="1">
        <v>166.84843737976666</v>
      </c>
      <c r="V293" s="1">
        <v>166.84843737976666</v>
      </c>
    </row>
    <row r="294" spans="21:22" x14ac:dyDescent="0.45">
      <c r="U294" s="1">
        <v>776.85745898782318</v>
      </c>
      <c r="V294" s="1">
        <v>776.85745898782318</v>
      </c>
    </row>
    <row r="295" spans="21:22" x14ac:dyDescent="0.45">
      <c r="U295" s="1">
        <v>268.29252853274653</v>
      </c>
      <c r="V295" s="1">
        <v>268.29252853274653</v>
      </c>
    </row>
    <row r="296" spans="21:22" x14ac:dyDescent="0.45">
      <c r="U296" s="1">
        <v>100.90005371730453</v>
      </c>
      <c r="V296" s="1">
        <v>100.90005371730453</v>
      </c>
    </row>
    <row r="297" spans="21:22" x14ac:dyDescent="0.45">
      <c r="U297" s="1">
        <v>132.23708960717579</v>
      </c>
      <c r="V297" s="1">
        <v>132.23708960717579</v>
      </c>
    </row>
    <row r="298" spans="21:22" x14ac:dyDescent="0.45">
      <c r="U298" s="1">
        <v>355.01246274237479</v>
      </c>
      <c r="V298" s="1">
        <v>355.01246274237479</v>
      </c>
    </row>
    <row r="299" spans="21:22" x14ac:dyDescent="0.45">
      <c r="U299" s="1">
        <v>287.47470278036786</v>
      </c>
      <c r="V299" s="1">
        <v>287.47470278036786</v>
      </c>
    </row>
    <row r="300" spans="21:22" x14ac:dyDescent="0.45">
      <c r="U300" s="1">
        <v>218.61940586082983</v>
      </c>
      <c r="V300" s="1">
        <v>218.61940586082983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61DF-D1F7-456C-BCFD-9600E3BB4E13}">
  <sheetPr codeName="Лист17"/>
  <dimension ref="A1:AV1048576"/>
  <sheetViews>
    <sheetView zoomScale="70" zoomScaleNormal="70" workbookViewId="0">
      <selection activeCell="S1" sqref="S1:AG1"/>
    </sheetView>
  </sheetViews>
  <sheetFormatPr defaultRowHeight="14.25" x14ac:dyDescent="0.45"/>
  <cols>
    <col min="1" max="1" width="9.06640625" style="2"/>
    <col min="4" max="4" width="9.06640625" customWidth="1"/>
    <col min="17" max="18" width="9.06640625" style="2"/>
    <col min="19" max="19" width="11.73046875" style="2" bestFit="1" customWidth="1"/>
    <col min="20" max="33" width="9.06640625" style="2"/>
  </cols>
  <sheetData>
    <row r="1" spans="1:48" x14ac:dyDescent="0.45">
      <c r="S1">
        <f>CORREL($Q$4:$Q$303,S4:S303)</f>
        <v>2.0994280652664357E-2</v>
      </c>
      <c r="T1">
        <f t="shared" ref="T1:AG1" si="0">CORREL($Q$4:$Q$303,T4:T303)</f>
        <v>-1.2883530260951043E-2</v>
      </c>
      <c r="U1">
        <f t="shared" si="0"/>
        <v>-0.12895105735293214</v>
      </c>
      <c r="V1">
        <f t="shared" si="0"/>
        <v>3.0501461247311838E-2</v>
      </c>
      <c r="W1">
        <f t="shared" si="0"/>
        <v>-5.042559850138132E-2</v>
      </c>
      <c r="X1">
        <f t="shared" si="0"/>
        <v>3.618547806985891E-2</v>
      </c>
      <c r="Y1">
        <f t="shared" si="0"/>
        <v>-2.9315588048041186E-2</v>
      </c>
      <c r="Z1">
        <f t="shared" si="0"/>
        <v>2.3654263430050365E-2</v>
      </c>
      <c r="AA1">
        <f t="shared" si="0"/>
        <v>-8.233706081661965E-2</v>
      </c>
      <c r="AB1">
        <f t="shared" si="0"/>
        <v>-7.1618303882132403E-2</v>
      </c>
      <c r="AC1">
        <f t="shared" si="0"/>
        <v>-1.4472613836696308E-2</v>
      </c>
      <c r="AD1">
        <f t="shared" si="0"/>
        <v>4.3918925221466121E-2</v>
      </c>
      <c r="AE1">
        <f t="shared" si="0"/>
        <v>-6.5759763209642436E-4</v>
      </c>
      <c r="AF1">
        <f t="shared" si="0"/>
        <v>-5.7710804347221804E-2</v>
      </c>
      <c r="AG1">
        <f t="shared" si="0"/>
        <v>-7.0019005461876949E-2</v>
      </c>
      <c r="AJ1">
        <f>AVERAGE(S1:AG1)</f>
        <v>-2.4209116767906505E-2</v>
      </c>
    </row>
    <row r="2" spans="1:48" x14ac:dyDescent="0.45"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J2">
        <f>MEDIAN(S1:AG1)</f>
        <v>-1.4472613836696308E-2</v>
      </c>
    </row>
    <row r="3" spans="1:48" x14ac:dyDescent="0.45">
      <c r="R3" s="2" t="s">
        <v>12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  <c r="Z3">
        <v>8</v>
      </c>
      <c r="AA3">
        <v>9</v>
      </c>
      <c r="AB3">
        <v>10</v>
      </c>
      <c r="AC3">
        <v>11</v>
      </c>
      <c r="AD3">
        <v>12</v>
      </c>
      <c r="AE3">
        <v>13</v>
      </c>
      <c r="AF3">
        <v>14</v>
      </c>
      <c r="AG3">
        <v>15</v>
      </c>
    </row>
    <row r="4" spans="1:48" x14ac:dyDescent="0.45">
      <c r="A4">
        <v>209.5288109206173</v>
      </c>
      <c r="Q4">
        <v>209.5288109206173</v>
      </c>
      <c r="R4" s="1">
        <f>Q4-$F$30</f>
        <v>-66.94939143634636</v>
      </c>
      <c r="S4" s="1">
        <f>Q5</f>
        <v>234.92815281748139</v>
      </c>
      <c r="T4" s="1">
        <f>S5</f>
        <v>70.260555548940616</v>
      </c>
      <c r="U4" s="1">
        <f t="shared" ref="U4:AG4" si="1">T5</f>
        <v>369.86281739777667</v>
      </c>
      <c r="V4" s="1">
        <f t="shared" si="1"/>
        <v>332.22945392144737</v>
      </c>
      <c r="W4" s="1">
        <f t="shared" si="1"/>
        <v>130.66504585089956</v>
      </c>
      <c r="X4" s="1">
        <f t="shared" si="1"/>
        <v>107.26249292252238</v>
      </c>
      <c r="Y4" s="1">
        <f t="shared" si="1"/>
        <v>304.89436045962498</v>
      </c>
      <c r="Z4" s="1">
        <f t="shared" si="1"/>
        <v>220.47323459778454</v>
      </c>
      <c r="AA4" s="1">
        <f t="shared" si="1"/>
        <v>681.11685365201038</v>
      </c>
      <c r="AB4" s="1">
        <f t="shared" si="1"/>
        <v>254.72990256535178</v>
      </c>
      <c r="AC4" s="1">
        <f t="shared" si="1"/>
        <v>235.08798478663388</v>
      </c>
      <c r="AD4" s="1">
        <f t="shared" si="1"/>
        <v>121.42862981203696</v>
      </c>
      <c r="AE4" s="1">
        <f t="shared" si="1"/>
        <v>105.02894169849054</v>
      </c>
      <c r="AF4" s="1">
        <f t="shared" si="1"/>
        <v>443.57479891176058</v>
      </c>
      <c r="AG4" s="1">
        <f t="shared" si="1"/>
        <v>267.03746963636996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45">
      <c r="A5">
        <v>234.92815281748139</v>
      </c>
      <c r="Q5">
        <v>234.92815281748139</v>
      </c>
      <c r="R5" s="1">
        <f t="shared" ref="R5:R68" si="2">Q5-$F$30</f>
        <v>-41.550049539482274</v>
      </c>
      <c r="S5" s="1">
        <f>Q6</f>
        <v>70.260555548940616</v>
      </c>
      <c r="T5" s="1">
        <f t="shared" ref="T5:AG23" si="3">S6</f>
        <v>369.86281739777667</v>
      </c>
      <c r="U5" s="1">
        <f t="shared" si="3"/>
        <v>332.22945392144737</v>
      </c>
      <c r="V5" s="1">
        <f t="shared" si="3"/>
        <v>130.66504585089956</v>
      </c>
      <c r="W5" s="1">
        <f t="shared" si="3"/>
        <v>107.26249292252238</v>
      </c>
      <c r="X5" s="1">
        <f t="shared" si="3"/>
        <v>304.89436045962498</v>
      </c>
      <c r="Y5" s="1">
        <f t="shared" si="3"/>
        <v>220.47323459778454</v>
      </c>
      <c r="Z5" s="1">
        <f t="shared" si="3"/>
        <v>681.11685365201038</v>
      </c>
      <c r="AA5" s="1">
        <f t="shared" si="3"/>
        <v>254.72990256535178</v>
      </c>
      <c r="AB5" s="1">
        <f t="shared" si="3"/>
        <v>235.08798478663388</v>
      </c>
      <c r="AC5" s="1">
        <f t="shared" si="3"/>
        <v>121.42862981203696</v>
      </c>
      <c r="AD5" s="1">
        <f t="shared" si="3"/>
        <v>105.02894169849054</v>
      </c>
      <c r="AE5" s="1">
        <f t="shared" si="3"/>
        <v>443.57479891176058</v>
      </c>
      <c r="AF5" s="1">
        <f t="shared" si="3"/>
        <v>267.03746963636996</v>
      </c>
      <c r="AG5" s="1">
        <f t="shared" si="3"/>
        <v>401.70769464597328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45">
      <c r="A6">
        <v>70.260555548940616</v>
      </c>
      <c r="Q6">
        <v>70.260555548940616</v>
      </c>
      <c r="R6" s="1">
        <f t="shared" si="2"/>
        <v>-206.21764680802306</v>
      </c>
      <c r="S6" s="1">
        <f t="shared" ref="S6:S69" si="4">Q7</f>
        <v>369.86281739777667</v>
      </c>
      <c r="T6" s="1">
        <f t="shared" si="3"/>
        <v>332.22945392144737</v>
      </c>
      <c r="U6" s="1">
        <f t="shared" si="3"/>
        <v>130.66504585089956</v>
      </c>
      <c r="V6" s="1">
        <f t="shared" si="3"/>
        <v>107.26249292252238</v>
      </c>
      <c r="W6" s="1">
        <f t="shared" si="3"/>
        <v>304.89436045962498</v>
      </c>
      <c r="X6" s="1">
        <f t="shared" si="3"/>
        <v>220.47323459778454</v>
      </c>
      <c r="Y6" s="1">
        <f t="shared" si="3"/>
        <v>681.11685365201038</v>
      </c>
      <c r="Z6" s="1">
        <f t="shared" si="3"/>
        <v>254.72990256535178</v>
      </c>
      <c r="AA6" s="1">
        <f t="shared" si="3"/>
        <v>235.08798478663388</v>
      </c>
      <c r="AB6" s="1">
        <f t="shared" si="3"/>
        <v>121.42862981203696</v>
      </c>
      <c r="AC6" s="1">
        <f t="shared" si="3"/>
        <v>105.02894169849054</v>
      </c>
      <c r="AD6" s="1">
        <f t="shared" si="3"/>
        <v>443.57479891176058</v>
      </c>
      <c r="AE6" s="1">
        <f t="shared" si="3"/>
        <v>267.03746963636996</v>
      </c>
      <c r="AF6" s="1">
        <f t="shared" si="3"/>
        <v>401.70769464597328</v>
      </c>
      <c r="AG6" s="1">
        <f t="shared" si="3"/>
        <v>59.379924321729256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x14ac:dyDescent="0.45">
      <c r="A7">
        <v>369.86281739777667</v>
      </c>
      <c r="Q7">
        <v>369.86281739777667</v>
      </c>
      <c r="R7" s="1">
        <f t="shared" si="2"/>
        <v>93.384615040813003</v>
      </c>
      <c r="S7" s="1">
        <f t="shared" si="4"/>
        <v>332.22945392144737</v>
      </c>
      <c r="T7" s="1">
        <f t="shared" si="3"/>
        <v>130.66504585089956</v>
      </c>
      <c r="U7" s="1">
        <f t="shared" si="3"/>
        <v>107.26249292252238</v>
      </c>
      <c r="V7" s="1">
        <f t="shared" si="3"/>
        <v>304.89436045962498</v>
      </c>
      <c r="W7" s="1">
        <f t="shared" si="3"/>
        <v>220.47323459778454</v>
      </c>
      <c r="X7" s="1">
        <f t="shared" si="3"/>
        <v>681.11685365201038</v>
      </c>
      <c r="Y7" s="1">
        <f t="shared" si="3"/>
        <v>254.72990256535178</v>
      </c>
      <c r="Z7" s="1">
        <f t="shared" si="3"/>
        <v>235.08798478663388</v>
      </c>
      <c r="AA7" s="1">
        <f t="shared" si="3"/>
        <v>121.42862981203696</v>
      </c>
      <c r="AB7" s="1">
        <f t="shared" si="3"/>
        <v>105.02894169849054</v>
      </c>
      <c r="AC7" s="1">
        <f t="shared" si="3"/>
        <v>443.57479891176058</v>
      </c>
      <c r="AD7" s="1">
        <f t="shared" si="3"/>
        <v>267.03746963636996</v>
      </c>
      <c r="AE7" s="1">
        <f t="shared" si="3"/>
        <v>401.70769464597328</v>
      </c>
      <c r="AF7" s="1">
        <f t="shared" si="3"/>
        <v>59.379924321729256</v>
      </c>
      <c r="AG7" s="1">
        <f t="shared" si="3"/>
        <v>774.96763544059399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45">
      <c r="A8">
        <v>332.22945392144737</v>
      </c>
      <c r="Q8">
        <v>332.22945392144737</v>
      </c>
      <c r="R8" s="1">
        <f t="shared" si="2"/>
        <v>55.751251564483709</v>
      </c>
      <c r="S8" s="1">
        <f t="shared" si="4"/>
        <v>130.66504585089956</v>
      </c>
      <c r="T8" s="1">
        <f t="shared" si="3"/>
        <v>107.26249292252238</v>
      </c>
      <c r="U8" s="1">
        <f t="shared" si="3"/>
        <v>304.89436045962498</v>
      </c>
      <c r="V8" s="1">
        <f t="shared" si="3"/>
        <v>220.47323459778454</v>
      </c>
      <c r="W8" s="1">
        <f t="shared" si="3"/>
        <v>681.11685365201038</v>
      </c>
      <c r="X8" s="1">
        <f t="shared" si="3"/>
        <v>254.72990256535178</v>
      </c>
      <c r="Y8" s="1">
        <f t="shared" si="3"/>
        <v>235.08798478663388</v>
      </c>
      <c r="Z8" s="1">
        <f t="shared" si="3"/>
        <v>121.42862981203696</v>
      </c>
      <c r="AA8" s="1">
        <f t="shared" si="3"/>
        <v>105.02894169849054</v>
      </c>
      <c r="AB8" s="1">
        <f t="shared" si="3"/>
        <v>443.57479891176058</v>
      </c>
      <c r="AC8" s="1">
        <f t="shared" si="3"/>
        <v>267.03746963636996</v>
      </c>
      <c r="AD8" s="1">
        <f t="shared" si="3"/>
        <v>401.70769464597328</v>
      </c>
      <c r="AE8" s="1">
        <f t="shared" si="3"/>
        <v>59.379924321729256</v>
      </c>
      <c r="AF8" s="1">
        <f t="shared" si="3"/>
        <v>774.96763544059399</v>
      </c>
      <c r="AG8" s="1">
        <f t="shared" si="3"/>
        <v>169.47108847850711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ht="14.25" customHeight="1" x14ac:dyDescent="0.45">
      <c r="A9">
        <v>130.66504585089956</v>
      </c>
      <c r="Q9">
        <v>130.66504585089956</v>
      </c>
      <c r="R9" s="1">
        <f t="shared" si="2"/>
        <v>-145.8131565060641</v>
      </c>
      <c r="S9" s="1">
        <f t="shared" si="4"/>
        <v>107.26249292252238</v>
      </c>
      <c r="T9" s="1">
        <f t="shared" si="3"/>
        <v>304.89436045962498</v>
      </c>
      <c r="U9" s="1">
        <f t="shared" si="3"/>
        <v>220.47323459778454</v>
      </c>
      <c r="V9" s="1">
        <f t="shared" si="3"/>
        <v>681.11685365201038</v>
      </c>
      <c r="W9" s="1">
        <f t="shared" si="3"/>
        <v>254.72990256535178</v>
      </c>
      <c r="X9" s="1">
        <f t="shared" si="3"/>
        <v>235.08798478663388</v>
      </c>
      <c r="Y9" s="1">
        <f t="shared" si="3"/>
        <v>121.42862981203696</v>
      </c>
      <c r="Z9" s="1">
        <f t="shared" si="3"/>
        <v>105.02894169849054</v>
      </c>
      <c r="AA9" s="1">
        <f t="shared" si="3"/>
        <v>443.57479891176058</v>
      </c>
      <c r="AB9" s="1">
        <f t="shared" si="3"/>
        <v>267.03746963636996</v>
      </c>
      <c r="AC9" s="1">
        <f t="shared" si="3"/>
        <v>401.70769464597328</v>
      </c>
      <c r="AD9" s="1">
        <f t="shared" si="3"/>
        <v>59.379924321729256</v>
      </c>
      <c r="AE9" s="1">
        <f t="shared" si="3"/>
        <v>774.96763544059399</v>
      </c>
      <c r="AF9" s="1">
        <f t="shared" si="3"/>
        <v>169.47108847850711</v>
      </c>
      <c r="AG9" s="1">
        <f t="shared" si="3"/>
        <v>615.23664584887263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x14ac:dyDescent="0.45">
      <c r="A10">
        <v>107.26249292252238</v>
      </c>
      <c r="C10" s="7"/>
      <c r="Q10">
        <v>107.26249292252238</v>
      </c>
      <c r="R10" s="1">
        <f t="shared" si="2"/>
        <v>-169.21570943444129</v>
      </c>
      <c r="S10" s="1">
        <f t="shared" si="4"/>
        <v>304.89436045962498</v>
      </c>
      <c r="T10" s="1">
        <f t="shared" si="3"/>
        <v>220.47323459778454</v>
      </c>
      <c r="U10" s="1">
        <f t="shared" si="3"/>
        <v>681.11685365201038</v>
      </c>
      <c r="V10" s="1">
        <f t="shared" si="3"/>
        <v>254.72990256535178</v>
      </c>
      <c r="W10" s="1">
        <f t="shared" si="3"/>
        <v>235.08798478663388</v>
      </c>
      <c r="X10" s="1">
        <f t="shared" si="3"/>
        <v>121.42862981203696</v>
      </c>
      <c r="Y10" s="1">
        <f t="shared" si="3"/>
        <v>105.02894169849054</v>
      </c>
      <c r="Z10" s="1">
        <f t="shared" si="3"/>
        <v>443.57479891176058</v>
      </c>
      <c r="AA10" s="1">
        <f t="shared" si="3"/>
        <v>267.03746963636996</v>
      </c>
      <c r="AB10" s="1">
        <f t="shared" si="3"/>
        <v>401.70769464597328</v>
      </c>
      <c r="AC10" s="1">
        <f t="shared" si="3"/>
        <v>59.379924321729256</v>
      </c>
      <c r="AD10" s="1">
        <f t="shared" si="3"/>
        <v>774.96763544059399</v>
      </c>
      <c r="AE10" s="1">
        <f t="shared" si="3"/>
        <v>169.47108847850711</v>
      </c>
      <c r="AF10" s="1">
        <f t="shared" si="3"/>
        <v>615.23664584887263</v>
      </c>
      <c r="AG10" s="1">
        <f t="shared" si="3"/>
        <v>80.798660467993969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x14ac:dyDescent="0.45">
      <c r="A11">
        <v>304.89436045962498</v>
      </c>
      <c r="C11" s="7"/>
      <c r="Q11">
        <v>304.89436045962498</v>
      </c>
      <c r="R11" s="1">
        <f t="shared" si="2"/>
        <v>28.416158102661313</v>
      </c>
      <c r="S11" s="1">
        <f t="shared" si="4"/>
        <v>220.47323459778454</v>
      </c>
      <c r="T11" s="1">
        <f t="shared" si="3"/>
        <v>681.11685365201038</v>
      </c>
      <c r="U11" s="1">
        <f t="shared" si="3"/>
        <v>254.72990256535178</v>
      </c>
      <c r="V11" s="1">
        <f t="shared" si="3"/>
        <v>235.08798478663388</v>
      </c>
      <c r="W11" s="1">
        <f t="shared" si="3"/>
        <v>121.42862981203696</v>
      </c>
      <c r="X11" s="1">
        <f t="shared" si="3"/>
        <v>105.02894169849054</v>
      </c>
      <c r="Y11" s="1">
        <f t="shared" si="3"/>
        <v>443.57479891176058</v>
      </c>
      <c r="Z11" s="1">
        <f t="shared" si="3"/>
        <v>267.03746963636996</v>
      </c>
      <c r="AA11" s="1">
        <f t="shared" si="3"/>
        <v>401.70769464597328</v>
      </c>
      <c r="AB11" s="1">
        <f t="shared" si="3"/>
        <v>59.379924321729256</v>
      </c>
      <c r="AC11" s="1">
        <f t="shared" si="3"/>
        <v>774.96763544059399</v>
      </c>
      <c r="AD11" s="1">
        <f t="shared" si="3"/>
        <v>169.47108847850711</v>
      </c>
      <c r="AE11" s="1">
        <f t="shared" si="3"/>
        <v>615.23664584887263</v>
      </c>
      <c r="AF11" s="1">
        <f t="shared" si="3"/>
        <v>80.798660467993969</v>
      </c>
      <c r="AG11" s="1">
        <f t="shared" si="3"/>
        <v>368.01975475886582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x14ac:dyDescent="0.45">
      <c r="A12">
        <v>220.47323459778454</v>
      </c>
      <c r="C12" s="7"/>
      <c r="Q12">
        <v>220.47323459778454</v>
      </c>
      <c r="R12" s="1">
        <f t="shared" si="2"/>
        <v>-56.004967759179124</v>
      </c>
      <c r="S12" s="1">
        <f t="shared" si="4"/>
        <v>681.11685365201038</v>
      </c>
      <c r="T12" s="1">
        <f t="shared" si="3"/>
        <v>254.72990256535178</v>
      </c>
      <c r="U12" s="1">
        <f t="shared" si="3"/>
        <v>235.08798478663388</v>
      </c>
      <c r="V12" s="1">
        <f t="shared" si="3"/>
        <v>121.42862981203696</v>
      </c>
      <c r="W12" s="1">
        <f t="shared" si="3"/>
        <v>105.02894169849054</v>
      </c>
      <c r="X12" s="1">
        <f t="shared" si="3"/>
        <v>443.57479891176058</v>
      </c>
      <c r="Y12" s="1">
        <f t="shared" si="3"/>
        <v>267.03746963636996</v>
      </c>
      <c r="Z12" s="1">
        <f t="shared" si="3"/>
        <v>401.70769464597328</v>
      </c>
      <c r="AA12" s="1">
        <f t="shared" si="3"/>
        <v>59.379924321729256</v>
      </c>
      <c r="AB12" s="1">
        <f t="shared" si="3"/>
        <v>774.96763544059399</v>
      </c>
      <c r="AC12" s="1">
        <f t="shared" si="3"/>
        <v>169.47108847850711</v>
      </c>
      <c r="AD12" s="1">
        <f t="shared" si="3"/>
        <v>615.23664584887263</v>
      </c>
      <c r="AE12" s="1">
        <f t="shared" si="3"/>
        <v>80.798660467993969</v>
      </c>
      <c r="AF12" s="1">
        <f t="shared" si="3"/>
        <v>368.01975475886582</v>
      </c>
      <c r="AG12" s="1">
        <f t="shared" si="3"/>
        <v>259.37419471341775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x14ac:dyDescent="0.45">
      <c r="A13">
        <v>681.11685365201038</v>
      </c>
      <c r="Q13">
        <v>681.11685365201038</v>
      </c>
      <c r="R13" s="1">
        <f t="shared" si="2"/>
        <v>404.63865129504671</v>
      </c>
      <c r="S13" s="1">
        <f t="shared" si="4"/>
        <v>254.72990256535178</v>
      </c>
      <c r="T13" s="1">
        <f t="shared" si="3"/>
        <v>235.08798478663388</v>
      </c>
      <c r="U13" s="1">
        <f t="shared" si="3"/>
        <v>121.42862981203696</v>
      </c>
      <c r="V13" s="1">
        <f t="shared" si="3"/>
        <v>105.02894169849054</v>
      </c>
      <c r="W13" s="1">
        <f t="shared" si="3"/>
        <v>443.57479891176058</v>
      </c>
      <c r="X13" s="1">
        <f t="shared" si="3"/>
        <v>267.03746963636996</v>
      </c>
      <c r="Y13" s="1">
        <f t="shared" si="3"/>
        <v>401.70769464597328</v>
      </c>
      <c r="Z13" s="1">
        <f t="shared" si="3"/>
        <v>59.379924321729256</v>
      </c>
      <c r="AA13" s="1">
        <f t="shared" si="3"/>
        <v>774.96763544059399</v>
      </c>
      <c r="AB13" s="1">
        <f t="shared" si="3"/>
        <v>169.47108847850711</v>
      </c>
      <c r="AC13" s="1">
        <f t="shared" si="3"/>
        <v>615.23664584887263</v>
      </c>
      <c r="AD13" s="1">
        <f t="shared" si="3"/>
        <v>80.798660467993969</v>
      </c>
      <c r="AE13" s="1">
        <f t="shared" si="3"/>
        <v>368.01975475886582</v>
      </c>
      <c r="AF13" s="1">
        <f t="shared" si="3"/>
        <v>259.37419471341775</v>
      </c>
      <c r="AG13" s="1">
        <f t="shared" si="3"/>
        <v>164.98614481728714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45">
      <c r="A14">
        <v>254.72990256535178</v>
      </c>
      <c r="Q14">
        <v>254.72990256535178</v>
      </c>
      <c r="R14" s="1">
        <f t="shared" si="2"/>
        <v>-21.748299791611885</v>
      </c>
      <c r="S14" s="1">
        <f t="shared" si="4"/>
        <v>235.08798478663388</v>
      </c>
      <c r="T14" s="1">
        <f t="shared" si="3"/>
        <v>121.42862981203696</v>
      </c>
      <c r="U14" s="1">
        <f t="shared" si="3"/>
        <v>105.02894169849054</v>
      </c>
      <c r="V14" s="1">
        <f t="shared" si="3"/>
        <v>443.57479891176058</v>
      </c>
      <c r="W14" s="1">
        <f t="shared" si="3"/>
        <v>267.03746963636996</v>
      </c>
      <c r="X14" s="1">
        <f t="shared" si="3"/>
        <v>401.70769464597328</v>
      </c>
      <c r="Y14" s="1">
        <f t="shared" si="3"/>
        <v>59.379924321729256</v>
      </c>
      <c r="Z14" s="1">
        <f t="shared" si="3"/>
        <v>774.96763544059399</v>
      </c>
      <c r="AA14" s="1">
        <f t="shared" si="3"/>
        <v>169.47108847850711</v>
      </c>
      <c r="AB14" s="1">
        <f t="shared" si="3"/>
        <v>615.23664584887263</v>
      </c>
      <c r="AC14" s="1">
        <f t="shared" si="3"/>
        <v>80.798660467993969</v>
      </c>
      <c r="AD14" s="1">
        <f t="shared" si="3"/>
        <v>368.01975475886582</v>
      </c>
      <c r="AE14" s="1">
        <f t="shared" si="3"/>
        <v>259.37419471341775</v>
      </c>
      <c r="AF14" s="1">
        <f t="shared" si="3"/>
        <v>164.98614481728714</v>
      </c>
      <c r="AG14" s="1">
        <f t="shared" si="3"/>
        <v>326.93468592479508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x14ac:dyDescent="0.45">
      <c r="A15">
        <v>235.08798478663388</v>
      </c>
      <c r="Q15">
        <v>235.08798478663388</v>
      </c>
      <c r="R15" s="1">
        <f t="shared" si="2"/>
        <v>-41.390217570329781</v>
      </c>
      <c r="S15" s="1">
        <f t="shared" si="4"/>
        <v>121.42862981203696</v>
      </c>
      <c r="T15" s="1">
        <f t="shared" si="3"/>
        <v>105.02894169849054</v>
      </c>
      <c r="U15" s="1">
        <f t="shared" si="3"/>
        <v>443.57479891176058</v>
      </c>
      <c r="V15" s="1">
        <f t="shared" si="3"/>
        <v>267.03746963636996</v>
      </c>
      <c r="W15" s="1">
        <f t="shared" si="3"/>
        <v>401.70769464597328</v>
      </c>
      <c r="X15" s="1">
        <f t="shared" si="3"/>
        <v>59.379924321729256</v>
      </c>
      <c r="Y15" s="1">
        <f t="shared" si="3"/>
        <v>774.96763544059399</v>
      </c>
      <c r="Z15" s="1">
        <f t="shared" si="3"/>
        <v>169.47108847850711</v>
      </c>
      <c r="AA15" s="1">
        <f t="shared" si="3"/>
        <v>615.23664584887263</v>
      </c>
      <c r="AB15" s="1">
        <f t="shared" si="3"/>
        <v>80.798660467993969</v>
      </c>
      <c r="AC15" s="1">
        <f t="shared" si="3"/>
        <v>368.01975475886582</v>
      </c>
      <c r="AD15" s="1">
        <f t="shared" si="3"/>
        <v>259.37419471341775</v>
      </c>
      <c r="AE15" s="1">
        <f t="shared" si="3"/>
        <v>164.98614481728714</v>
      </c>
      <c r="AF15" s="1">
        <f t="shared" si="3"/>
        <v>326.93468592479508</v>
      </c>
      <c r="AG15" s="1">
        <f t="shared" si="3"/>
        <v>594.28891545738736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x14ac:dyDescent="0.45">
      <c r="A16">
        <v>121.42862981203696</v>
      </c>
      <c r="Q16">
        <v>121.42862981203696</v>
      </c>
      <c r="R16" s="1">
        <f t="shared" si="2"/>
        <v>-155.04957254492672</v>
      </c>
      <c r="S16" s="1">
        <f t="shared" si="4"/>
        <v>105.02894169849054</v>
      </c>
      <c r="T16" s="1">
        <f t="shared" si="3"/>
        <v>443.57479891176058</v>
      </c>
      <c r="U16" s="1">
        <f t="shared" si="3"/>
        <v>267.03746963636996</v>
      </c>
      <c r="V16" s="1">
        <f t="shared" si="3"/>
        <v>401.70769464597328</v>
      </c>
      <c r="W16" s="1">
        <f t="shared" si="3"/>
        <v>59.379924321729256</v>
      </c>
      <c r="X16" s="1">
        <f t="shared" si="3"/>
        <v>774.96763544059399</v>
      </c>
      <c r="Y16" s="1">
        <f t="shared" si="3"/>
        <v>169.47108847850711</v>
      </c>
      <c r="Z16" s="1">
        <f t="shared" si="3"/>
        <v>615.23664584887263</v>
      </c>
      <c r="AA16" s="1">
        <f t="shared" si="3"/>
        <v>80.798660467993969</v>
      </c>
      <c r="AB16" s="1">
        <f t="shared" si="3"/>
        <v>368.01975475886582</v>
      </c>
      <c r="AC16" s="1">
        <f t="shared" si="3"/>
        <v>259.37419471341775</v>
      </c>
      <c r="AD16" s="1">
        <f t="shared" si="3"/>
        <v>164.98614481728714</v>
      </c>
      <c r="AE16" s="1">
        <f t="shared" si="3"/>
        <v>326.93468592479508</v>
      </c>
      <c r="AF16" s="1">
        <f t="shared" si="3"/>
        <v>594.28891545738736</v>
      </c>
      <c r="AG16" s="1">
        <f t="shared" si="3"/>
        <v>67.642177200888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x14ac:dyDescent="0.45">
      <c r="A17">
        <v>105.02894169849054</v>
      </c>
      <c r="Q17">
        <v>105.02894169849054</v>
      </c>
      <c r="R17" s="1">
        <f t="shared" si="2"/>
        <v>-171.44926065847312</v>
      </c>
      <c r="S17" s="1">
        <f t="shared" si="4"/>
        <v>443.57479891176058</v>
      </c>
      <c r="T17" s="1">
        <f t="shared" si="3"/>
        <v>267.03746963636996</v>
      </c>
      <c r="U17" s="1">
        <f t="shared" si="3"/>
        <v>401.70769464597328</v>
      </c>
      <c r="V17" s="1">
        <f t="shared" si="3"/>
        <v>59.379924321729256</v>
      </c>
      <c r="W17" s="1">
        <f t="shared" si="3"/>
        <v>774.96763544059399</v>
      </c>
      <c r="X17" s="1">
        <f t="shared" si="3"/>
        <v>169.47108847850711</v>
      </c>
      <c r="Y17" s="1">
        <f t="shared" si="3"/>
        <v>615.23664584887263</v>
      </c>
      <c r="Z17" s="1">
        <f t="shared" si="3"/>
        <v>80.798660467993969</v>
      </c>
      <c r="AA17" s="1">
        <f t="shared" si="3"/>
        <v>368.01975475886582</v>
      </c>
      <c r="AB17" s="1">
        <f t="shared" si="3"/>
        <v>259.37419471341775</v>
      </c>
      <c r="AC17" s="1">
        <f t="shared" si="3"/>
        <v>164.98614481728714</v>
      </c>
      <c r="AD17" s="1">
        <f t="shared" si="3"/>
        <v>326.93468592479508</v>
      </c>
      <c r="AE17" s="1">
        <f t="shared" si="3"/>
        <v>594.28891545738736</v>
      </c>
      <c r="AF17" s="1">
        <f t="shared" si="3"/>
        <v>67.642177200888</v>
      </c>
      <c r="AG17" s="1">
        <f t="shared" si="3"/>
        <v>327.53880603093648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x14ac:dyDescent="0.45">
      <c r="A18">
        <v>443.57479891176058</v>
      </c>
      <c r="Q18">
        <v>443.57479891176058</v>
      </c>
      <c r="R18" s="1">
        <f t="shared" si="2"/>
        <v>167.09659655479692</v>
      </c>
      <c r="S18" s="1">
        <f t="shared" si="4"/>
        <v>267.03746963636996</v>
      </c>
      <c r="T18" s="1">
        <f t="shared" si="3"/>
        <v>401.70769464597328</v>
      </c>
      <c r="U18" s="1">
        <f t="shared" si="3"/>
        <v>59.379924321729256</v>
      </c>
      <c r="V18" s="1">
        <f t="shared" si="3"/>
        <v>774.96763544059399</v>
      </c>
      <c r="W18" s="1">
        <f t="shared" si="3"/>
        <v>169.47108847850711</v>
      </c>
      <c r="X18" s="1">
        <f t="shared" si="3"/>
        <v>615.23664584887263</v>
      </c>
      <c r="Y18" s="1">
        <f t="shared" si="3"/>
        <v>80.798660467993969</v>
      </c>
      <c r="Z18" s="1">
        <f t="shared" si="3"/>
        <v>368.01975475886582</v>
      </c>
      <c r="AA18" s="1">
        <f t="shared" si="3"/>
        <v>259.37419471341775</v>
      </c>
      <c r="AB18" s="1">
        <f t="shared" si="3"/>
        <v>164.98614481728714</v>
      </c>
      <c r="AC18" s="1">
        <f t="shared" si="3"/>
        <v>326.93468592479508</v>
      </c>
      <c r="AD18" s="1">
        <f t="shared" si="3"/>
        <v>594.28891545738736</v>
      </c>
      <c r="AE18" s="1">
        <f t="shared" si="3"/>
        <v>67.642177200888</v>
      </c>
      <c r="AF18" s="1">
        <f t="shared" si="3"/>
        <v>327.53880603093648</v>
      </c>
      <c r="AG18" s="1">
        <f t="shared" si="3"/>
        <v>244.11185637314551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x14ac:dyDescent="0.45">
      <c r="A19">
        <v>267.03746963636996</v>
      </c>
      <c r="Q19">
        <v>267.03746963636996</v>
      </c>
      <c r="R19" s="1">
        <f t="shared" si="2"/>
        <v>-9.4407327205937008</v>
      </c>
      <c r="S19" s="1">
        <f t="shared" si="4"/>
        <v>401.70769464597328</v>
      </c>
      <c r="T19" s="1">
        <f t="shared" si="3"/>
        <v>59.379924321729256</v>
      </c>
      <c r="U19" s="1">
        <f t="shared" si="3"/>
        <v>774.96763544059399</v>
      </c>
      <c r="V19" s="1">
        <f t="shared" si="3"/>
        <v>169.47108847850711</v>
      </c>
      <c r="W19" s="1">
        <f t="shared" si="3"/>
        <v>615.23664584887263</v>
      </c>
      <c r="X19" s="1">
        <f t="shared" si="3"/>
        <v>80.798660467993969</v>
      </c>
      <c r="Y19" s="1">
        <f t="shared" si="3"/>
        <v>368.01975475886582</v>
      </c>
      <c r="Z19" s="1">
        <f t="shared" si="3"/>
        <v>259.37419471341775</v>
      </c>
      <c r="AA19" s="1">
        <f t="shared" si="3"/>
        <v>164.98614481728714</v>
      </c>
      <c r="AB19" s="1">
        <f t="shared" si="3"/>
        <v>326.93468592479508</v>
      </c>
      <c r="AC19" s="1">
        <f t="shared" si="3"/>
        <v>594.28891545738736</v>
      </c>
      <c r="AD19" s="1">
        <f t="shared" si="3"/>
        <v>67.642177200888</v>
      </c>
      <c r="AE19" s="1">
        <f t="shared" si="3"/>
        <v>327.53880603093648</v>
      </c>
      <c r="AF19" s="1">
        <f t="shared" si="3"/>
        <v>244.11185637314551</v>
      </c>
      <c r="AG19" s="1">
        <f t="shared" si="3"/>
        <v>341.49190856028713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x14ac:dyDescent="0.45">
      <c r="A20">
        <v>401.70769464597328</v>
      </c>
      <c r="Q20">
        <v>401.70769464597328</v>
      </c>
      <c r="R20" s="1">
        <f t="shared" si="2"/>
        <v>125.22949228900961</v>
      </c>
      <c r="S20" s="1">
        <f t="shared" si="4"/>
        <v>59.379924321729256</v>
      </c>
      <c r="T20" s="1">
        <f t="shared" si="3"/>
        <v>774.96763544059399</v>
      </c>
      <c r="U20" s="1">
        <f t="shared" si="3"/>
        <v>169.47108847850711</v>
      </c>
      <c r="V20" s="1">
        <f t="shared" si="3"/>
        <v>615.23664584887263</v>
      </c>
      <c r="W20" s="1">
        <f t="shared" si="3"/>
        <v>80.798660467993969</v>
      </c>
      <c r="X20" s="1">
        <f t="shared" si="3"/>
        <v>368.01975475886582</v>
      </c>
      <c r="Y20" s="1">
        <f t="shared" si="3"/>
        <v>259.37419471341775</v>
      </c>
      <c r="Z20" s="1">
        <f t="shared" si="3"/>
        <v>164.98614481728714</v>
      </c>
      <c r="AA20" s="1">
        <f t="shared" si="3"/>
        <v>326.93468592479508</v>
      </c>
      <c r="AB20" s="1">
        <f t="shared" si="3"/>
        <v>594.28891545738736</v>
      </c>
      <c r="AC20" s="1">
        <f t="shared" si="3"/>
        <v>67.642177200888</v>
      </c>
      <c r="AD20" s="1">
        <f t="shared" si="3"/>
        <v>327.53880603093648</v>
      </c>
      <c r="AE20" s="1">
        <f t="shared" si="3"/>
        <v>244.11185637314551</v>
      </c>
      <c r="AF20" s="1">
        <f t="shared" si="3"/>
        <v>341.49190856028713</v>
      </c>
      <c r="AG20" s="1">
        <f t="shared" si="3"/>
        <v>245.6669964273672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x14ac:dyDescent="0.45">
      <c r="A21">
        <v>59.379924321729256</v>
      </c>
      <c r="Q21">
        <v>59.379924321729256</v>
      </c>
      <c r="R21" s="1">
        <f t="shared" si="2"/>
        <v>-217.09827803523442</v>
      </c>
      <c r="S21" s="1">
        <f t="shared" si="4"/>
        <v>774.96763544059399</v>
      </c>
      <c r="T21" s="1">
        <f t="shared" si="3"/>
        <v>169.47108847850711</v>
      </c>
      <c r="U21" s="1">
        <f t="shared" si="3"/>
        <v>615.23664584887263</v>
      </c>
      <c r="V21" s="1">
        <f t="shared" si="3"/>
        <v>80.798660467993969</v>
      </c>
      <c r="W21" s="1">
        <f t="shared" si="3"/>
        <v>368.01975475886582</v>
      </c>
      <c r="X21" s="1">
        <f t="shared" si="3"/>
        <v>259.37419471341775</v>
      </c>
      <c r="Y21" s="1">
        <f t="shared" si="3"/>
        <v>164.98614481728714</v>
      </c>
      <c r="Z21" s="1">
        <f t="shared" si="3"/>
        <v>326.93468592479508</v>
      </c>
      <c r="AA21" s="1">
        <f t="shared" si="3"/>
        <v>594.28891545738736</v>
      </c>
      <c r="AB21" s="1">
        <f t="shared" si="3"/>
        <v>67.642177200888</v>
      </c>
      <c r="AC21" s="1">
        <f t="shared" si="3"/>
        <v>327.53880603093648</v>
      </c>
      <c r="AD21" s="1">
        <f t="shared" si="3"/>
        <v>244.11185637314551</v>
      </c>
      <c r="AE21" s="1">
        <f t="shared" si="3"/>
        <v>341.49190856028713</v>
      </c>
      <c r="AF21" s="1">
        <f t="shared" si="3"/>
        <v>245.6669964273672</v>
      </c>
      <c r="AG21" s="1">
        <f t="shared" si="3"/>
        <v>90.522743756656411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x14ac:dyDescent="0.45">
      <c r="A22">
        <v>774.96763544059399</v>
      </c>
      <c r="Q22">
        <v>774.96763544059399</v>
      </c>
      <c r="R22" s="1">
        <f t="shared" si="2"/>
        <v>498.48943308363033</v>
      </c>
      <c r="S22" s="1">
        <f t="shared" si="4"/>
        <v>169.47108847850711</v>
      </c>
      <c r="T22" s="1">
        <f t="shared" si="3"/>
        <v>615.23664584887263</v>
      </c>
      <c r="U22" s="1">
        <f t="shared" si="3"/>
        <v>80.798660467993969</v>
      </c>
      <c r="V22" s="1">
        <f t="shared" si="3"/>
        <v>368.01975475886582</v>
      </c>
      <c r="W22" s="1">
        <f t="shared" si="3"/>
        <v>259.37419471341775</v>
      </c>
      <c r="X22" s="1">
        <f t="shared" si="3"/>
        <v>164.98614481728714</v>
      </c>
      <c r="Y22" s="1">
        <f t="shared" si="3"/>
        <v>326.93468592479508</v>
      </c>
      <c r="Z22" s="1">
        <f t="shared" si="3"/>
        <v>594.28891545738736</v>
      </c>
      <c r="AA22" s="1">
        <f t="shared" si="3"/>
        <v>67.642177200888</v>
      </c>
      <c r="AB22" s="1">
        <f t="shared" si="3"/>
        <v>327.53880603093648</v>
      </c>
      <c r="AC22" s="1">
        <f t="shared" si="3"/>
        <v>244.11185637314551</v>
      </c>
      <c r="AD22" s="1">
        <f t="shared" si="3"/>
        <v>341.49190856028713</v>
      </c>
      <c r="AE22" s="1">
        <f t="shared" si="3"/>
        <v>245.6669964273672</v>
      </c>
      <c r="AF22" s="1">
        <f t="shared" si="3"/>
        <v>90.522743756656411</v>
      </c>
      <c r="AG22" s="1">
        <f t="shared" si="3"/>
        <v>372.04227444802433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x14ac:dyDescent="0.45">
      <c r="A23">
        <v>169.47108847850711</v>
      </c>
      <c r="Q23">
        <v>169.47108847850711</v>
      </c>
      <c r="R23" s="1">
        <f t="shared" si="2"/>
        <v>-107.00711387845655</v>
      </c>
      <c r="S23" s="1">
        <f t="shared" si="4"/>
        <v>615.23664584887263</v>
      </c>
      <c r="T23" s="1">
        <f t="shared" si="3"/>
        <v>80.798660467993969</v>
      </c>
      <c r="U23" s="1">
        <f t="shared" si="3"/>
        <v>368.01975475886582</v>
      </c>
      <c r="V23" s="1">
        <f t="shared" si="3"/>
        <v>259.37419471341775</v>
      </c>
      <c r="W23" s="1">
        <f t="shared" ref="U23:AG38" si="5">V24</f>
        <v>164.98614481728714</v>
      </c>
      <c r="X23" s="1">
        <f t="shared" si="5"/>
        <v>326.93468592479508</v>
      </c>
      <c r="Y23" s="1">
        <f t="shared" si="5"/>
        <v>594.28891545738736</v>
      </c>
      <c r="Z23" s="1">
        <f t="shared" si="5"/>
        <v>67.642177200888</v>
      </c>
      <c r="AA23" s="1">
        <f t="shared" si="5"/>
        <v>327.53880603093648</v>
      </c>
      <c r="AB23" s="1">
        <f t="shared" si="5"/>
        <v>244.11185637314551</v>
      </c>
      <c r="AC23" s="1">
        <f t="shared" si="5"/>
        <v>341.49190856028713</v>
      </c>
      <c r="AD23" s="1">
        <f t="shared" si="5"/>
        <v>245.6669964273672</v>
      </c>
      <c r="AE23" s="1">
        <f t="shared" si="5"/>
        <v>90.522743756656411</v>
      </c>
      <c r="AF23" s="1">
        <f t="shared" si="5"/>
        <v>372.04227444802433</v>
      </c>
      <c r="AG23" s="1">
        <f t="shared" si="5"/>
        <v>234.50838155808407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x14ac:dyDescent="0.45">
      <c r="A24">
        <v>615.23664584887263</v>
      </c>
      <c r="Q24">
        <v>615.23664584887263</v>
      </c>
      <c r="R24" s="1">
        <f t="shared" si="2"/>
        <v>338.75844349190896</v>
      </c>
      <c r="S24" s="1">
        <f t="shared" si="4"/>
        <v>80.798660467993969</v>
      </c>
      <c r="T24" s="1">
        <f t="shared" ref="T24:AG56" si="6">S25</f>
        <v>368.01975475886582</v>
      </c>
      <c r="U24" s="1">
        <f t="shared" si="5"/>
        <v>259.37419471341775</v>
      </c>
      <c r="V24" s="1">
        <f t="shared" si="5"/>
        <v>164.98614481728714</v>
      </c>
      <c r="W24" s="1">
        <f t="shared" si="5"/>
        <v>326.93468592479508</v>
      </c>
      <c r="X24" s="1">
        <f t="shared" si="5"/>
        <v>594.28891545738736</v>
      </c>
      <c r="Y24" s="1">
        <f t="shared" si="5"/>
        <v>67.642177200888</v>
      </c>
      <c r="Z24" s="1">
        <f t="shared" si="5"/>
        <v>327.53880603093648</v>
      </c>
      <c r="AA24" s="1">
        <f t="shared" si="5"/>
        <v>244.11185637314551</v>
      </c>
      <c r="AB24" s="1">
        <f t="shared" si="5"/>
        <v>341.49190856028713</v>
      </c>
      <c r="AC24" s="1">
        <f t="shared" si="5"/>
        <v>245.6669964273672</v>
      </c>
      <c r="AD24" s="1">
        <f t="shared" si="5"/>
        <v>90.522743756656411</v>
      </c>
      <c r="AE24" s="1">
        <f t="shared" si="5"/>
        <v>372.04227444802433</v>
      </c>
      <c r="AF24" s="1">
        <f t="shared" si="5"/>
        <v>234.50838155808407</v>
      </c>
      <c r="AG24" s="1">
        <f t="shared" si="5"/>
        <v>271.38612176538788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x14ac:dyDescent="0.45">
      <c r="A25">
        <v>80.798660467993969</v>
      </c>
      <c r="Q25">
        <v>80.798660467993969</v>
      </c>
      <c r="R25" s="1">
        <f t="shared" si="2"/>
        <v>-195.67954188896971</v>
      </c>
      <c r="S25" s="1">
        <f t="shared" si="4"/>
        <v>368.01975475886582</v>
      </c>
      <c r="T25" s="1">
        <f t="shared" si="6"/>
        <v>259.37419471341775</v>
      </c>
      <c r="U25" s="1">
        <f t="shared" si="5"/>
        <v>164.98614481728714</v>
      </c>
      <c r="V25" s="1">
        <f t="shared" si="5"/>
        <v>326.93468592479508</v>
      </c>
      <c r="W25" s="1">
        <f t="shared" si="5"/>
        <v>594.28891545738736</v>
      </c>
      <c r="X25" s="1">
        <f t="shared" si="5"/>
        <v>67.642177200888</v>
      </c>
      <c r="Y25" s="1">
        <f t="shared" si="5"/>
        <v>327.53880603093648</v>
      </c>
      <c r="Z25" s="1">
        <f t="shared" si="5"/>
        <v>244.11185637314551</v>
      </c>
      <c r="AA25" s="1">
        <f t="shared" si="5"/>
        <v>341.49190856028713</v>
      </c>
      <c r="AB25" s="1">
        <f t="shared" si="5"/>
        <v>245.6669964273672</v>
      </c>
      <c r="AC25" s="1">
        <f t="shared" si="5"/>
        <v>90.522743756656411</v>
      </c>
      <c r="AD25" s="1">
        <f t="shared" si="5"/>
        <v>372.04227444802433</v>
      </c>
      <c r="AE25" s="1">
        <f t="shared" si="5"/>
        <v>234.50838155808407</v>
      </c>
      <c r="AF25" s="1">
        <f t="shared" si="5"/>
        <v>271.38612176538788</v>
      </c>
      <c r="AG25" s="1">
        <f t="shared" si="5"/>
        <v>276.61619037549502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x14ac:dyDescent="0.45">
      <c r="A26">
        <v>368.01975475886582</v>
      </c>
      <c r="Q26">
        <v>368.01975475886582</v>
      </c>
      <c r="R26" s="1">
        <f t="shared" si="2"/>
        <v>91.541552401902152</v>
      </c>
      <c r="S26" s="1">
        <f t="shared" si="4"/>
        <v>259.37419471341775</v>
      </c>
      <c r="T26" s="1">
        <f t="shared" si="6"/>
        <v>164.98614481728714</v>
      </c>
      <c r="U26" s="1">
        <f t="shared" si="5"/>
        <v>326.93468592479508</v>
      </c>
      <c r="V26" s="1">
        <f t="shared" si="5"/>
        <v>594.28891545738736</v>
      </c>
      <c r="W26" s="1">
        <f t="shared" si="5"/>
        <v>67.642177200888</v>
      </c>
      <c r="X26" s="1">
        <f t="shared" si="5"/>
        <v>327.53880603093648</v>
      </c>
      <c r="Y26" s="1">
        <f t="shared" si="5"/>
        <v>244.11185637314551</v>
      </c>
      <c r="Z26" s="1">
        <f t="shared" si="5"/>
        <v>341.49190856028713</v>
      </c>
      <c r="AA26" s="1">
        <f t="shared" si="5"/>
        <v>245.6669964273672</v>
      </c>
      <c r="AB26" s="1">
        <f t="shared" si="5"/>
        <v>90.522743756656411</v>
      </c>
      <c r="AC26" s="1">
        <f t="shared" si="5"/>
        <v>372.04227444802433</v>
      </c>
      <c r="AD26" s="1">
        <f t="shared" si="5"/>
        <v>234.50838155808407</v>
      </c>
      <c r="AE26" s="1">
        <f t="shared" si="5"/>
        <v>271.38612176538788</v>
      </c>
      <c r="AF26" s="1">
        <f t="shared" si="5"/>
        <v>276.61619037549502</v>
      </c>
      <c r="AG26" s="1">
        <f t="shared" si="5"/>
        <v>305.02362963278551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x14ac:dyDescent="0.45">
      <c r="A27">
        <v>259.37419471341775</v>
      </c>
      <c r="Q27">
        <v>259.37419471341775</v>
      </c>
      <c r="R27" s="1">
        <f t="shared" si="2"/>
        <v>-17.104007643545913</v>
      </c>
      <c r="S27" s="1">
        <f t="shared" si="4"/>
        <v>164.98614481728714</v>
      </c>
      <c r="T27" s="1">
        <f t="shared" si="6"/>
        <v>326.93468592479508</v>
      </c>
      <c r="U27" s="1">
        <f t="shared" si="5"/>
        <v>594.28891545738736</v>
      </c>
      <c r="V27" s="1">
        <f t="shared" si="5"/>
        <v>67.642177200888</v>
      </c>
      <c r="W27" s="1">
        <f t="shared" si="5"/>
        <v>327.53880603093648</v>
      </c>
      <c r="X27" s="1">
        <f t="shared" si="5"/>
        <v>244.11185637314551</v>
      </c>
      <c r="Y27" s="1">
        <f t="shared" si="5"/>
        <v>341.49190856028713</v>
      </c>
      <c r="Z27" s="1">
        <f t="shared" si="5"/>
        <v>245.6669964273672</v>
      </c>
      <c r="AA27" s="1">
        <f t="shared" si="5"/>
        <v>90.522743756656411</v>
      </c>
      <c r="AB27" s="1">
        <f t="shared" si="5"/>
        <v>372.04227444802433</v>
      </c>
      <c r="AC27" s="1">
        <f t="shared" si="5"/>
        <v>234.50838155808407</v>
      </c>
      <c r="AD27" s="1">
        <f t="shared" si="5"/>
        <v>271.38612176538788</v>
      </c>
      <c r="AE27" s="1">
        <f t="shared" si="5"/>
        <v>276.61619037549502</v>
      </c>
      <c r="AF27" s="1">
        <f t="shared" si="5"/>
        <v>305.02362963278551</v>
      </c>
      <c r="AG27" s="1">
        <f t="shared" si="5"/>
        <v>132.36814076666116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x14ac:dyDescent="0.45">
      <c r="A28">
        <v>164.98614481728714</v>
      </c>
      <c r="E28" t="s">
        <v>9</v>
      </c>
      <c r="F28">
        <v>300</v>
      </c>
      <c r="Q28">
        <v>164.98614481728714</v>
      </c>
      <c r="R28" s="1">
        <f t="shared" si="2"/>
        <v>-111.49205753967652</v>
      </c>
      <c r="S28" s="1">
        <f t="shared" si="4"/>
        <v>326.93468592479508</v>
      </c>
      <c r="T28" s="1">
        <f t="shared" si="6"/>
        <v>594.28891545738736</v>
      </c>
      <c r="U28" s="1">
        <f t="shared" si="5"/>
        <v>67.642177200888</v>
      </c>
      <c r="V28" s="1">
        <f t="shared" si="5"/>
        <v>327.53880603093648</v>
      </c>
      <c r="W28" s="1">
        <f t="shared" si="5"/>
        <v>244.11185637314551</v>
      </c>
      <c r="X28" s="1">
        <f t="shared" si="5"/>
        <v>341.49190856028713</v>
      </c>
      <c r="Y28" s="1">
        <f t="shared" si="5"/>
        <v>245.6669964273672</v>
      </c>
      <c r="Z28" s="1">
        <f t="shared" si="5"/>
        <v>90.522743756656411</v>
      </c>
      <c r="AA28" s="1">
        <f t="shared" si="5"/>
        <v>372.04227444802433</v>
      </c>
      <c r="AB28" s="1">
        <f t="shared" si="5"/>
        <v>234.50838155808407</v>
      </c>
      <c r="AC28" s="1">
        <f t="shared" si="5"/>
        <v>271.38612176538788</v>
      </c>
      <c r="AD28" s="1">
        <f t="shared" si="5"/>
        <v>276.61619037549502</v>
      </c>
      <c r="AE28" s="1">
        <f t="shared" si="5"/>
        <v>305.02362963278551</v>
      </c>
      <c r="AF28" s="1">
        <f t="shared" si="5"/>
        <v>132.36814076666116</v>
      </c>
      <c r="AG28" s="1">
        <f t="shared" si="5"/>
        <v>315.68165521645199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x14ac:dyDescent="0.45">
      <c r="A29">
        <v>326.93468592479508</v>
      </c>
      <c r="D29" t="s">
        <v>6</v>
      </c>
      <c r="F29">
        <v>300</v>
      </c>
      <c r="Q29">
        <v>326.93468592479508</v>
      </c>
      <c r="R29" s="1">
        <f t="shared" si="2"/>
        <v>50.456483567831413</v>
      </c>
      <c r="S29" s="1">
        <f t="shared" si="4"/>
        <v>594.28891545738736</v>
      </c>
      <c r="T29" s="1">
        <f t="shared" si="6"/>
        <v>67.642177200888</v>
      </c>
      <c r="U29" s="1">
        <f t="shared" si="5"/>
        <v>327.53880603093648</v>
      </c>
      <c r="V29" s="1">
        <f t="shared" si="5"/>
        <v>244.11185637314551</v>
      </c>
      <c r="W29" s="1">
        <f t="shared" si="5"/>
        <v>341.49190856028713</v>
      </c>
      <c r="X29" s="1">
        <f t="shared" si="5"/>
        <v>245.6669964273672</v>
      </c>
      <c r="Y29" s="1">
        <f t="shared" si="5"/>
        <v>90.522743756656411</v>
      </c>
      <c r="Z29" s="1">
        <f t="shared" si="5"/>
        <v>372.04227444802433</v>
      </c>
      <c r="AA29" s="1">
        <f t="shared" si="5"/>
        <v>234.50838155808407</v>
      </c>
      <c r="AB29" s="1">
        <f t="shared" si="5"/>
        <v>271.38612176538788</v>
      </c>
      <c r="AC29" s="1">
        <f t="shared" si="5"/>
        <v>276.61619037549502</v>
      </c>
      <c r="AD29" s="1">
        <f t="shared" si="5"/>
        <v>305.02362963278551</v>
      </c>
      <c r="AE29" s="1">
        <f t="shared" si="5"/>
        <v>132.36814076666116</v>
      </c>
      <c r="AF29" s="1">
        <f t="shared" si="5"/>
        <v>315.68165521645199</v>
      </c>
      <c r="AG29" s="1">
        <f t="shared" si="5"/>
        <v>190.90805625163031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x14ac:dyDescent="0.45">
      <c r="A30">
        <v>594.28891545738736</v>
      </c>
      <c r="D30" t="s">
        <v>0</v>
      </c>
      <c r="F30">
        <v>276.47820235696366</v>
      </c>
      <c r="Q30">
        <v>594.28891545738736</v>
      </c>
      <c r="R30" s="1">
        <f t="shared" si="2"/>
        <v>317.8107131004237</v>
      </c>
      <c r="S30" s="1">
        <f t="shared" si="4"/>
        <v>67.642177200888</v>
      </c>
      <c r="T30" s="1">
        <f t="shared" si="6"/>
        <v>327.53880603093648</v>
      </c>
      <c r="U30" s="1">
        <f t="shared" si="5"/>
        <v>244.11185637314551</v>
      </c>
      <c r="V30" s="1">
        <f t="shared" si="5"/>
        <v>341.49190856028713</v>
      </c>
      <c r="W30" s="1">
        <f t="shared" si="5"/>
        <v>245.6669964273672</v>
      </c>
      <c r="X30" s="1">
        <f t="shared" si="5"/>
        <v>90.522743756656411</v>
      </c>
      <c r="Y30" s="1">
        <f t="shared" si="5"/>
        <v>372.04227444802433</v>
      </c>
      <c r="Z30" s="1">
        <f t="shared" si="5"/>
        <v>234.50838155808407</v>
      </c>
      <c r="AA30" s="1">
        <f t="shared" si="5"/>
        <v>271.38612176538788</v>
      </c>
      <c r="AB30" s="1">
        <f t="shared" si="5"/>
        <v>276.61619037549502</v>
      </c>
      <c r="AC30" s="1">
        <f t="shared" si="5"/>
        <v>305.02362963278551</v>
      </c>
      <c r="AD30" s="1">
        <f t="shared" si="5"/>
        <v>132.36814076666116</v>
      </c>
      <c r="AE30" s="1">
        <f t="shared" si="5"/>
        <v>315.68165521645199</v>
      </c>
      <c r="AF30" s="1">
        <f t="shared" si="5"/>
        <v>190.90805625163031</v>
      </c>
      <c r="AG30" s="1">
        <f t="shared" si="5"/>
        <v>169.49679909189314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x14ac:dyDescent="0.45">
      <c r="A31">
        <v>67.642177200888</v>
      </c>
      <c r="D31" t="s">
        <v>1</v>
      </c>
      <c r="F31">
        <v>29298.173050900929</v>
      </c>
      <c r="Q31">
        <v>67.642177200888</v>
      </c>
      <c r="R31" s="1">
        <f t="shared" si="2"/>
        <v>-208.83602515607566</v>
      </c>
      <c r="S31" s="1">
        <f t="shared" si="4"/>
        <v>327.53880603093648</v>
      </c>
      <c r="T31" s="1">
        <f t="shared" si="6"/>
        <v>244.11185637314551</v>
      </c>
      <c r="U31" s="1">
        <f t="shared" si="5"/>
        <v>341.49190856028713</v>
      </c>
      <c r="V31" s="1">
        <f t="shared" si="5"/>
        <v>245.6669964273672</v>
      </c>
      <c r="W31" s="1">
        <f t="shared" si="5"/>
        <v>90.522743756656411</v>
      </c>
      <c r="X31" s="1">
        <f t="shared" si="5"/>
        <v>372.04227444802433</v>
      </c>
      <c r="Y31" s="1">
        <f t="shared" si="5"/>
        <v>234.50838155808407</v>
      </c>
      <c r="Z31" s="1">
        <f t="shared" si="5"/>
        <v>271.38612176538788</v>
      </c>
      <c r="AA31" s="1">
        <f t="shared" si="5"/>
        <v>276.61619037549502</v>
      </c>
      <c r="AB31" s="1">
        <f t="shared" si="5"/>
        <v>305.02362963278551</v>
      </c>
      <c r="AC31" s="1">
        <f t="shared" si="5"/>
        <v>132.36814076666116</v>
      </c>
      <c r="AD31" s="1">
        <f t="shared" si="5"/>
        <v>315.68165521645199</v>
      </c>
      <c r="AE31" s="1">
        <f t="shared" si="5"/>
        <v>190.90805625163031</v>
      </c>
      <c r="AF31" s="1">
        <f t="shared" si="5"/>
        <v>169.49679909189314</v>
      </c>
      <c r="AG31" s="1">
        <f t="shared" si="5"/>
        <v>387.44212866851188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x14ac:dyDescent="0.45">
      <c r="A32">
        <v>327.53880603093648</v>
      </c>
      <c r="D32" t="s">
        <v>2</v>
      </c>
      <c r="F32">
        <v>171.16709102774672</v>
      </c>
      <c r="Q32">
        <v>327.53880603093648</v>
      </c>
      <c r="R32" s="1">
        <f t="shared" si="2"/>
        <v>51.060603673972821</v>
      </c>
      <c r="S32" s="1">
        <f t="shared" si="4"/>
        <v>244.11185637314551</v>
      </c>
      <c r="T32" s="1">
        <f t="shared" si="6"/>
        <v>341.49190856028713</v>
      </c>
      <c r="U32" s="1">
        <f t="shared" si="5"/>
        <v>245.6669964273672</v>
      </c>
      <c r="V32" s="1">
        <f t="shared" si="5"/>
        <v>90.522743756656411</v>
      </c>
      <c r="W32" s="1">
        <f t="shared" si="5"/>
        <v>372.04227444802433</v>
      </c>
      <c r="X32" s="1">
        <f t="shared" si="5"/>
        <v>234.50838155808407</v>
      </c>
      <c r="Y32" s="1">
        <f t="shared" si="5"/>
        <v>271.38612176538788</v>
      </c>
      <c r="Z32" s="1">
        <f t="shared" si="5"/>
        <v>276.61619037549502</v>
      </c>
      <c r="AA32" s="1">
        <f t="shared" si="5"/>
        <v>305.02362963278551</v>
      </c>
      <c r="AB32" s="1">
        <f t="shared" si="5"/>
        <v>132.36814076666116</v>
      </c>
      <c r="AC32" s="1">
        <f t="shared" si="5"/>
        <v>315.68165521645199</v>
      </c>
      <c r="AD32" s="1">
        <f t="shared" si="5"/>
        <v>190.90805625163031</v>
      </c>
      <c r="AE32" s="1">
        <f t="shared" si="5"/>
        <v>169.49679909189314</v>
      </c>
      <c r="AF32" s="1">
        <f t="shared" si="5"/>
        <v>387.44212866851188</v>
      </c>
      <c r="AG32" s="1">
        <f t="shared" si="5"/>
        <v>482.23771912995119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x14ac:dyDescent="0.45">
      <c r="A33">
        <v>244.11185637314551</v>
      </c>
      <c r="D33" t="s">
        <v>3</v>
      </c>
      <c r="F33">
        <v>0.6190979598700922</v>
      </c>
      <c r="Q33">
        <v>244.11185637314551</v>
      </c>
      <c r="R33" s="1">
        <f t="shared" si="2"/>
        <v>-32.36634598381815</v>
      </c>
      <c r="S33" s="1">
        <f t="shared" si="4"/>
        <v>341.49190856028713</v>
      </c>
      <c r="T33" s="1">
        <f t="shared" si="6"/>
        <v>245.6669964273672</v>
      </c>
      <c r="U33" s="1">
        <f t="shared" si="5"/>
        <v>90.522743756656411</v>
      </c>
      <c r="V33" s="1">
        <f t="shared" si="5"/>
        <v>372.04227444802433</v>
      </c>
      <c r="W33" s="1">
        <f t="shared" si="5"/>
        <v>234.50838155808407</v>
      </c>
      <c r="X33" s="1">
        <f t="shared" si="5"/>
        <v>271.38612176538788</v>
      </c>
      <c r="Y33" s="1">
        <f t="shared" si="5"/>
        <v>276.61619037549502</v>
      </c>
      <c r="Z33" s="1">
        <f t="shared" si="5"/>
        <v>305.02362963278551</v>
      </c>
      <c r="AA33" s="1">
        <f t="shared" si="5"/>
        <v>132.36814076666116</v>
      </c>
      <c r="AB33" s="1">
        <f t="shared" si="5"/>
        <v>315.68165521645199</v>
      </c>
      <c r="AC33" s="1">
        <f t="shared" si="5"/>
        <v>190.90805625163031</v>
      </c>
      <c r="AD33" s="1">
        <f t="shared" si="5"/>
        <v>169.49679909189314</v>
      </c>
      <c r="AE33" s="1">
        <f t="shared" si="5"/>
        <v>387.44212866851188</v>
      </c>
      <c r="AF33" s="1">
        <f t="shared" si="5"/>
        <v>482.23771912995119</v>
      </c>
      <c r="AG33" s="1">
        <f t="shared" si="5"/>
        <v>169.89721429943333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 x14ac:dyDescent="0.45">
      <c r="A34">
        <v>341.49190856028713</v>
      </c>
      <c r="C34" t="s">
        <v>4</v>
      </c>
      <c r="D34">
        <v>0.9</v>
      </c>
      <c r="E34">
        <v>1.6839999999999999</v>
      </c>
      <c r="F34">
        <v>16.641854848086666</v>
      </c>
      <c r="H34">
        <v>259.836347508877</v>
      </c>
      <c r="I34" t="s">
        <v>10</v>
      </c>
      <c r="J34">
        <v>276.47820235696366</v>
      </c>
      <c r="K34" t="s">
        <v>10</v>
      </c>
      <c r="L34">
        <v>293.12005720505033</v>
      </c>
      <c r="Q34">
        <v>341.49190856028713</v>
      </c>
      <c r="R34" s="1">
        <f t="shared" si="2"/>
        <v>65.013706203323466</v>
      </c>
      <c r="S34" s="1">
        <f t="shared" si="4"/>
        <v>245.6669964273672</v>
      </c>
      <c r="T34" s="1">
        <f t="shared" si="6"/>
        <v>90.522743756656411</v>
      </c>
      <c r="U34" s="1">
        <f t="shared" si="5"/>
        <v>372.04227444802433</v>
      </c>
      <c r="V34" s="1">
        <f t="shared" si="5"/>
        <v>234.50838155808407</v>
      </c>
      <c r="W34" s="1">
        <f t="shared" si="5"/>
        <v>271.38612176538788</v>
      </c>
      <c r="X34" s="1">
        <f t="shared" si="5"/>
        <v>276.61619037549502</v>
      </c>
      <c r="Y34" s="1">
        <f t="shared" si="5"/>
        <v>305.02362963278551</v>
      </c>
      <c r="Z34" s="1">
        <f t="shared" si="5"/>
        <v>132.36814076666116</v>
      </c>
      <c r="AA34" s="1">
        <f t="shared" si="5"/>
        <v>315.68165521645199</v>
      </c>
      <c r="AB34" s="1">
        <f t="shared" si="5"/>
        <v>190.90805625163031</v>
      </c>
      <c r="AC34" s="1">
        <f t="shared" si="5"/>
        <v>169.49679909189314</v>
      </c>
      <c r="AD34" s="1">
        <f t="shared" si="5"/>
        <v>387.44212866851188</v>
      </c>
      <c r="AE34" s="1">
        <f t="shared" si="5"/>
        <v>482.23771912995119</v>
      </c>
      <c r="AF34" s="1">
        <f t="shared" si="5"/>
        <v>169.89721429943333</v>
      </c>
      <c r="AG34" s="1">
        <f t="shared" si="5"/>
        <v>169.24970694165125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 x14ac:dyDescent="0.45">
      <c r="A35">
        <v>245.6669964273672</v>
      </c>
      <c r="D35">
        <v>0.95</v>
      </c>
      <c r="E35">
        <v>1.96</v>
      </c>
      <c r="F35">
        <v>19.369379751929849</v>
      </c>
      <c r="H35">
        <v>257.10882260503382</v>
      </c>
      <c r="I35" t="s">
        <v>10</v>
      </c>
      <c r="J35">
        <v>276.47820235696366</v>
      </c>
      <c r="K35" t="s">
        <v>10</v>
      </c>
      <c r="L35">
        <v>295.8475821088935</v>
      </c>
      <c r="Q35">
        <v>245.6669964273672</v>
      </c>
      <c r="R35" s="1">
        <f t="shared" si="2"/>
        <v>-30.811205929596468</v>
      </c>
      <c r="S35" s="1">
        <f t="shared" si="4"/>
        <v>90.522743756656411</v>
      </c>
      <c r="T35" s="1">
        <f t="shared" si="6"/>
        <v>372.04227444802433</v>
      </c>
      <c r="U35" s="1">
        <f t="shared" si="5"/>
        <v>234.50838155808407</v>
      </c>
      <c r="V35" s="1">
        <f t="shared" si="5"/>
        <v>271.38612176538788</v>
      </c>
      <c r="W35" s="1">
        <f t="shared" si="5"/>
        <v>276.61619037549502</v>
      </c>
      <c r="X35" s="1">
        <f t="shared" si="5"/>
        <v>305.02362963278551</v>
      </c>
      <c r="Y35" s="1">
        <f t="shared" si="5"/>
        <v>132.36814076666116</v>
      </c>
      <c r="Z35" s="1">
        <f t="shared" si="5"/>
        <v>315.68165521645199</v>
      </c>
      <c r="AA35" s="1">
        <f t="shared" si="5"/>
        <v>190.90805625163031</v>
      </c>
      <c r="AB35" s="1">
        <f t="shared" si="5"/>
        <v>169.49679909189314</v>
      </c>
      <c r="AC35" s="1">
        <f t="shared" si="5"/>
        <v>387.44212866851188</v>
      </c>
      <c r="AD35" s="1">
        <f t="shared" si="5"/>
        <v>482.23771912995119</v>
      </c>
      <c r="AE35" s="1">
        <f t="shared" si="5"/>
        <v>169.89721429943333</v>
      </c>
      <c r="AF35" s="1">
        <f t="shared" si="5"/>
        <v>169.24970694165125</v>
      </c>
      <c r="AG35" s="1">
        <f t="shared" si="5"/>
        <v>157.80896181471908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 x14ac:dyDescent="0.45">
      <c r="A36">
        <v>90.522743756656411</v>
      </c>
      <c r="D36">
        <v>0.99</v>
      </c>
      <c r="E36">
        <v>3.29</v>
      </c>
      <c r="F36">
        <v>32.512887440739391</v>
      </c>
      <c r="H36">
        <v>243.96531491622426</v>
      </c>
      <c r="I36" t="s">
        <v>10</v>
      </c>
      <c r="J36">
        <v>276.47820235696366</v>
      </c>
      <c r="K36" t="s">
        <v>10</v>
      </c>
      <c r="L36">
        <v>308.99108979770307</v>
      </c>
      <c r="Q36">
        <v>90.522743756656411</v>
      </c>
      <c r="R36" s="1">
        <f t="shared" si="2"/>
        <v>-185.95545860030725</v>
      </c>
      <c r="S36" s="1">
        <f t="shared" si="4"/>
        <v>372.04227444802433</v>
      </c>
      <c r="T36" s="1">
        <f t="shared" si="6"/>
        <v>234.50838155808407</v>
      </c>
      <c r="U36" s="1">
        <f t="shared" si="5"/>
        <v>271.38612176538788</v>
      </c>
      <c r="V36" s="1">
        <f t="shared" si="5"/>
        <v>276.61619037549502</v>
      </c>
      <c r="W36" s="1">
        <f t="shared" si="5"/>
        <v>305.02362963278551</v>
      </c>
      <c r="X36" s="1">
        <f t="shared" si="5"/>
        <v>132.36814076666116</v>
      </c>
      <c r="Y36" s="1">
        <f t="shared" si="5"/>
        <v>315.68165521645199</v>
      </c>
      <c r="Z36" s="1">
        <f t="shared" si="5"/>
        <v>190.90805625163031</v>
      </c>
      <c r="AA36" s="1">
        <f t="shared" si="5"/>
        <v>169.49679909189314</v>
      </c>
      <c r="AB36" s="1">
        <f t="shared" si="5"/>
        <v>387.44212866851188</v>
      </c>
      <c r="AC36" s="1">
        <f t="shared" si="5"/>
        <v>482.23771912995119</v>
      </c>
      <c r="AD36" s="1">
        <f t="shared" si="5"/>
        <v>169.89721429943333</v>
      </c>
      <c r="AE36" s="1">
        <f t="shared" si="5"/>
        <v>169.24970694165125</v>
      </c>
      <c r="AF36" s="1">
        <f t="shared" si="5"/>
        <v>157.80896181471908</v>
      </c>
      <c r="AG36" s="1">
        <f t="shared" si="5"/>
        <v>234.48900683505167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 x14ac:dyDescent="0.45">
      <c r="A37">
        <v>372.04227444802433</v>
      </c>
      <c r="D37" t="s">
        <v>5</v>
      </c>
      <c r="Q37">
        <v>372.04227444802433</v>
      </c>
      <c r="R37" s="1">
        <f t="shared" si="2"/>
        <v>95.564072091060666</v>
      </c>
      <c r="S37" s="1">
        <f t="shared" si="4"/>
        <v>234.50838155808407</v>
      </c>
      <c r="T37" s="1">
        <f t="shared" si="6"/>
        <v>271.38612176538788</v>
      </c>
      <c r="U37" s="1">
        <f t="shared" si="5"/>
        <v>276.61619037549502</v>
      </c>
      <c r="V37" s="1">
        <f t="shared" si="5"/>
        <v>305.02362963278551</v>
      </c>
      <c r="W37" s="1">
        <f t="shared" si="5"/>
        <v>132.36814076666116</v>
      </c>
      <c r="X37" s="1">
        <f t="shared" si="5"/>
        <v>315.68165521645199</v>
      </c>
      <c r="Y37" s="1">
        <f t="shared" si="5"/>
        <v>190.90805625163031</v>
      </c>
      <c r="Z37" s="1">
        <f t="shared" si="5"/>
        <v>169.49679909189314</v>
      </c>
      <c r="AA37" s="1">
        <f t="shared" si="5"/>
        <v>387.44212866851188</v>
      </c>
      <c r="AB37" s="1">
        <f t="shared" si="5"/>
        <v>482.23771912995119</v>
      </c>
      <c r="AC37" s="1">
        <f t="shared" si="5"/>
        <v>169.89721429943333</v>
      </c>
      <c r="AD37" s="1">
        <f t="shared" si="5"/>
        <v>169.24970694165125</v>
      </c>
      <c r="AE37" s="1">
        <f t="shared" si="5"/>
        <v>157.80896181471908</v>
      </c>
      <c r="AF37" s="1">
        <f t="shared" si="5"/>
        <v>234.48900683505167</v>
      </c>
      <c r="AG37" s="1">
        <f t="shared" si="5"/>
        <v>223.62841557033812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x14ac:dyDescent="0.45">
      <c r="A38">
        <v>234.50838155808407</v>
      </c>
      <c r="Q38">
        <v>234.50838155808407</v>
      </c>
      <c r="R38" s="1">
        <f t="shared" si="2"/>
        <v>-41.969820798879596</v>
      </c>
      <c r="S38" s="1">
        <f t="shared" si="4"/>
        <v>271.38612176538788</v>
      </c>
      <c r="T38" s="1">
        <f t="shared" si="6"/>
        <v>276.61619037549502</v>
      </c>
      <c r="U38" s="1">
        <f t="shared" si="5"/>
        <v>305.02362963278551</v>
      </c>
      <c r="V38" s="1">
        <f t="shared" si="5"/>
        <v>132.36814076666116</v>
      </c>
      <c r="W38" s="1">
        <f t="shared" si="5"/>
        <v>315.68165521645199</v>
      </c>
      <c r="X38" s="1">
        <f t="shared" si="5"/>
        <v>190.90805625163031</v>
      </c>
      <c r="Y38" s="1">
        <f t="shared" si="5"/>
        <v>169.49679909189314</v>
      </c>
      <c r="Z38" s="1">
        <f t="shared" si="5"/>
        <v>387.44212866851188</v>
      </c>
      <c r="AA38" s="1">
        <f t="shared" si="5"/>
        <v>482.23771912995119</v>
      </c>
      <c r="AB38" s="1">
        <f t="shared" si="5"/>
        <v>169.89721429943333</v>
      </c>
      <c r="AC38" s="1">
        <f t="shared" si="5"/>
        <v>169.24970694165125</v>
      </c>
      <c r="AD38" s="1">
        <f t="shared" si="5"/>
        <v>157.80896181471908</v>
      </c>
      <c r="AE38" s="1">
        <f t="shared" si="5"/>
        <v>234.48900683505167</v>
      </c>
      <c r="AF38" s="1">
        <f t="shared" si="5"/>
        <v>223.62841557033812</v>
      </c>
      <c r="AG38" s="1">
        <f t="shared" si="5"/>
        <v>144.59081370771773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x14ac:dyDescent="0.45">
      <c r="A39">
        <v>271.38612176538788</v>
      </c>
      <c r="D39" t="s">
        <v>8</v>
      </c>
      <c r="F39">
        <v>9.8823366081274742</v>
      </c>
      <c r="Q39">
        <v>271.38612176538788</v>
      </c>
      <c r="R39" s="1">
        <f t="shared" si="2"/>
        <v>-5.0920805915757796</v>
      </c>
      <c r="S39" s="1">
        <f t="shared" si="4"/>
        <v>276.61619037549502</v>
      </c>
      <c r="T39" s="1">
        <f t="shared" si="6"/>
        <v>305.02362963278551</v>
      </c>
      <c r="U39" s="1">
        <f t="shared" si="6"/>
        <v>132.36814076666116</v>
      </c>
      <c r="V39" s="1">
        <f t="shared" si="6"/>
        <v>315.68165521645199</v>
      </c>
      <c r="W39" s="1">
        <f t="shared" si="6"/>
        <v>190.90805625163031</v>
      </c>
      <c r="X39" s="1">
        <f t="shared" si="6"/>
        <v>169.49679909189314</v>
      </c>
      <c r="Y39" s="1">
        <f t="shared" si="6"/>
        <v>387.44212866851188</v>
      </c>
      <c r="Z39" s="1">
        <f t="shared" si="6"/>
        <v>482.23771912995119</v>
      </c>
      <c r="AA39" s="1">
        <f t="shared" si="6"/>
        <v>169.89721429943333</v>
      </c>
      <c r="AB39" s="1">
        <f t="shared" si="6"/>
        <v>169.24970694165125</v>
      </c>
      <c r="AC39" s="1">
        <f t="shared" si="6"/>
        <v>157.80896181471908</v>
      </c>
      <c r="AD39" s="1">
        <f t="shared" si="6"/>
        <v>234.48900683505167</v>
      </c>
      <c r="AE39" s="1">
        <f t="shared" si="6"/>
        <v>223.62841557033812</v>
      </c>
      <c r="AF39" s="1">
        <f t="shared" si="6"/>
        <v>144.59081370771773</v>
      </c>
      <c r="AG39" s="1">
        <f t="shared" si="6"/>
        <v>538.7878849706276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x14ac:dyDescent="0.45">
      <c r="A40">
        <v>276.61619037549502</v>
      </c>
      <c r="Q40">
        <v>276.61619037549502</v>
      </c>
      <c r="R40" s="1">
        <f t="shared" si="2"/>
        <v>0.13798801853135956</v>
      </c>
      <c r="S40" s="1">
        <f t="shared" si="4"/>
        <v>305.02362963278551</v>
      </c>
      <c r="T40" s="1">
        <f t="shared" si="6"/>
        <v>132.36814076666116</v>
      </c>
      <c r="U40" s="1">
        <f t="shared" si="6"/>
        <v>315.68165521645199</v>
      </c>
      <c r="V40" s="1">
        <f t="shared" si="6"/>
        <v>190.90805625163031</v>
      </c>
      <c r="W40" s="1">
        <f t="shared" si="6"/>
        <v>169.49679909189314</v>
      </c>
      <c r="X40" s="1">
        <f t="shared" si="6"/>
        <v>387.44212866851188</v>
      </c>
      <c r="Y40" s="1">
        <f t="shared" si="6"/>
        <v>482.23771912995119</v>
      </c>
      <c r="Z40" s="1">
        <f t="shared" si="6"/>
        <v>169.89721429943333</v>
      </c>
      <c r="AA40" s="1">
        <f t="shared" si="6"/>
        <v>169.24970694165125</v>
      </c>
      <c r="AB40" s="1">
        <f t="shared" si="6"/>
        <v>157.80896181471908</v>
      </c>
      <c r="AC40" s="1">
        <f t="shared" si="6"/>
        <v>234.48900683505167</v>
      </c>
      <c r="AD40" s="1">
        <f t="shared" si="6"/>
        <v>223.62841557033812</v>
      </c>
      <c r="AE40" s="1">
        <f t="shared" si="6"/>
        <v>144.59081370771773</v>
      </c>
      <c r="AF40" s="1">
        <f t="shared" si="6"/>
        <v>538.7878849706276</v>
      </c>
      <c r="AG40" s="1">
        <f t="shared" si="6"/>
        <v>268.51540072322712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x14ac:dyDescent="0.45">
      <c r="A41">
        <v>305.02362963278551</v>
      </c>
      <c r="Q41">
        <v>305.02362963278551</v>
      </c>
      <c r="R41" s="1">
        <f t="shared" si="2"/>
        <v>28.545427275821851</v>
      </c>
      <c r="S41" s="1">
        <f t="shared" si="4"/>
        <v>132.36814076666116</v>
      </c>
      <c r="T41" s="1">
        <f t="shared" si="6"/>
        <v>315.68165521645199</v>
      </c>
      <c r="U41" s="1">
        <f t="shared" si="6"/>
        <v>190.90805625163031</v>
      </c>
      <c r="V41" s="1">
        <f t="shared" si="6"/>
        <v>169.49679909189314</v>
      </c>
      <c r="W41" s="1">
        <f t="shared" si="6"/>
        <v>387.44212866851188</v>
      </c>
      <c r="X41" s="1">
        <f t="shared" si="6"/>
        <v>482.23771912995119</v>
      </c>
      <c r="Y41" s="1">
        <f t="shared" si="6"/>
        <v>169.89721429943333</v>
      </c>
      <c r="Z41" s="1">
        <f t="shared" si="6"/>
        <v>169.24970694165125</v>
      </c>
      <c r="AA41" s="1">
        <f t="shared" si="6"/>
        <v>157.80896181471908</v>
      </c>
      <c r="AB41" s="1">
        <f t="shared" si="6"/>
        <v>234.48900683505167</v>
      </c>
      <c r="AC41" s="1">
        <f t="shared" si="6"/>
        <v>223.62841557033812</v>
      </c>
      <c r="AD41" s="1">
        <f t="shared" si="6"/>
        <v>144.59081370771773</v>
      </c>
      <c r="AE41" s="1">
        <f t="shared" si="6"/>
        <v>538.7878849706276</v>
      </c>
      <c r="AF41" s="1">
        <f t="shared" si="6"/>
        <v>268.51540072322712</v>
      </c>
      <c r="AG41" s="1">
        <f t="shared" si="6"/>
        <v>486.36609639678198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x14ac:dyDescent="0.45">
      <c r="A42">
        <v>132.36814076666116</v>
      </c>
      <c r="Q42">
        <v>132.36814076666116</v>
      </c>
      <c r="R42" s="1">
        <f t="shared" si="2"/>
        <v>-144.11006159030251</v>
      </c>
      <c r="S42" s="1">
        <f t="shared" si="4"/>
        <v>315.68165521645199</v>
      </c>
      <c r="T42" s="1">
        <f t="shared" si="6"/>
        <v>190.90805625163031</v>
      </c>
      <c r="U42" s="1">
        <f t="shared" si="6"/>
        <v>169.49679909189314</v>
      </c>
      <c r="V42" s="1">
        <f t="shared" si="6"/>
        <v>387.44212866851188</v>
      </c>
      <c r="W42" s="1">
        <f t="shared" si="6"/>
        <v>482.23771912995119</v>
      </c>
      <c r="X42" s="1">
        <f t="shared" si="6"/>
        <v>169.89721429943333</v>
      </c>
      <c r="Y42" s="1">
        <f t="shared" si="6"/>
        <v>169.24970694165125</v>
      </c>
      <c r="Z42" s="1">
        <f t="shared" si="6"/>
        <v>157.80896181471908</v>
      </c>
      <c r="AA42" s="1">
        <f t="shared" si="6"/>
        <v>234.48900683505167</v>
      </c>
      <c r="AB42" s="1">
        <f t="shared" si="6"/>
        <v>223.62841557033812</v>
      </c>
      <c r="AC42" s="1">
        <f t="shared" si="6"/>
        <v>144.59081370771773</v>
      </c>
      <c r="AD42" s="1">
        <f t="shared" si="6"/>
        <v>538.7878849706276</v>
      </c>
      <c r="AE42" s="1">
        <f t="shared" si="6"/>
        <v>268.51540072322712</v>
      </c>
      <c r="AF42" s="1">
        <f t="shared" si="6"/>
        <v>486.36609639678198</v>
      </c>
      <c r="AG42" s="1">
        <f t="shared" si="6"/>
        <v>280.20437326630719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x14ac:dyDescent="0.45">
      <c r="A43">
        <v>315.68165521645199</v>
      </c>
      <c r="Q43">
        <v>315.68165521645199</v>
      </c>
      <c r="R43" s="1">
        <f t="shared" si="2"/>
        <v>39.203452859488323</v>
      </c>
      <c r="S43" s="1">
        <f t="shared" si="4"/>
        <v>190.90805625163031</v>
      </c>
      <c r="T43" s="1">
        <f t="shared" si="6"/>
        <v>169.49679909189314</v>
      </c>
      <c r="U43" s="1">
        <f t="shared" si="6"/>
        <v>387.44212866851188</v>
      </c>
      <c r="V43" s="1">
        <f t="shared" si="6"/>
        <v>482.23771912995119</v>
      </c>
      <c r="W43" s="1">
        <f t="shared" si="6"/>
        <v>169.89721429943333</v>
      </c>
      <c r="X43" s="1">
        <f t="shared" si="6"/>
        <v>169.24970694165125</v>
      </c>
      <c r="Y43" s="1">
        <f t="shared" si="6"/>
        <v>157.80896181471908</v>
      </c>
      <c r="Z43" s="1">
        <f t="shared" si="6"/>
        <v>234.48900683505167</v>
      </c>
      <c r="AA43" s="1">
        <f t="shared" si="6"/>
        <v>223.62841557033812</v>
      </c>
      <c r="AB43" s="1">
        <f t="shared" si="6"/>
        <v>144.59081370771773</v>
      </c>
      <c r="AC43" s="1">
        <f t="shared" si="6"/>
        <v>538.7878849706276</v>
      </c>
      <c r="AD43" s="1">
        <f t="shared" si="6"/>
        <v>268.51540072322712</v>
      </c>
      <c r="AE43" s="1">
        <f t="shared" si="6"/>
        <v>486.36609639678198</v>
      </c>
      <c r="AF43" s="1">
        <f t="shared" si="6"/>
        <v>280.20437326630719</v>
      </c>
      <c r="AG43" s="1">
        <f t="shared" si="6"/>
        <v>467.16073967148657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x14ac:dyDescent="0.45">
      <c r="A44">
        <v>190.90805625163031</v>
      </c>
      <c r="Q44">
        <v>190.90805625163031</v>
      </c>
      <c r="R44" s="1">
        <f t="shared" si="2"/>
        <v>-85.57014610533335</v>
      </c>
      <c r="S44" s="1">
        <f t="shared" si="4"/>
        <v>169.49679909189314</v>
      </c>
      <c r="T44" s="1">
        <f t="shared" si="6"/>
        <v>387.44212866851188</v>
      </c>
      <c r="U44" s="1">
        <f t="shared" si="6"/>
        <v>482.23771912995119</v>
      </c>
      <c r="V44" s="1">
        <f t="shared" si="6"/>
        <v>169.89721429943333</v>
      </c>
      <c r="W44" s="1">
        <f t="shared" si="6"/>
        <v>169.24970694165125</v>
      </c>
      <c r="X44" s="1">
        <f t="shared" si="6"/>
        <v>157.80896181471908</v>
      </c>
      <c r="Y44" s="1">
        <f t="shared" si="6"/>
        <v>234.48900683505167</v>
      </c>
      <c r="Z44" s="1">
        <f t="shared" si="6"/>
        <v>223.62841557033812</v>
      </c>
      <c r="AA44" s="1">
        <f t="shared" si="6"/>
        <v>144.59081370771773</v>
      </c>
      <c r="AB44" s="1">
        <f t="shared" si="6"/>
        <v>538.7878849706276</v>
      </c>
      <c r="AC44" s="1">
        <f t="shared" si="6"/>
        <v>268.51540072322712</v>
      </c>
      <c r="AD44" s="1">
        <f t="shared" si="6"/>
        <v>486.36609639678198</v>
      </c>
      <c r="AE44" s="1">
        <f t="shared" si="6"/>
        <v>280.20437326630719</v>
      </c>
      <c r="AF44" s="1">
        <f t="shared" si="6"/>
        <v>467.16073967148657</v>
      </c>
      <c r="AG44" s="1">
        <f t="shared" si="6"/>
        <v>163.15559400539996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 x14ac:dyDescent="0.45">
      <c r="A45">
        <v>169.49679909189314</v>
      </c>
      <c r="Q45">
        <v>169.49679909189314</v>
      </c>
      <c r="R45" s="1">
        <f t="shared" si="2"/>
        <v>-106.98140326507053</v>
      </c>
      <c r="S45" s="1">
        <f t="shared" si="4"/>
        <v>387.44212866851188</v>
      </c>
      <c r="T45" s="1">
        <f t="shared" si="6"/>
        <v>482.23771912995119</v>
      </c>
      <c r="U45" s="1">
        <f t="shared" si="6"/>
        <v>169.89721429943333</v>
      </c>
      <c r="V45" s="1">
        <f t="shared" si="6"/>
        <v>169.24970694165125</v>
      </c>
      <c r="W45" s="1">
        <f t="shared" si="6"/>
        <v>157.80896181471908</v>
      </c>
      <c r="X45" s="1">
        <f t="shared" si="6"/>
        <v>234.48900683505167</v>
      </c>
      <c r="Y45" s="1">
        <f t="shared" si="6"/>
        <v>223.62841557033812</v>
      </c>
      <c r="Z45" s="1">
        <f t="shared" si="6"/>
        <v>144.59081370771773</v>
      </c>
      <c r="AA45" s="1">
        <f t="shared" si="6"/>
        <v>538.7878849706276</v>
      </c>
      <c r="AB45" s="1">
        <f t="shared" si="6"/>
        <v>268.51540072322712</v>
      </c>
      <c r="AC45" s="1">
        <f t="shared" si="6"/>
        <v>486.36609639678198</v>
      </c>
      <c r="AD45" s="1">
        <f t="shared" si="6"/>
        <v>280.20437326630719</v>
      </c>
      <c r="AE45" s="1">
        <f t="shared" si="6"/>
        <v>467.16073967148657</v>
      </c>
      <c r="AF45" s="1">
        <f t="shared" si="6"/>
        <v>163.15559400539996</v>
      </c>
      <c r="AG45" s="1">
        <f t="shared" si="6"/>
        <v>504.13069662243396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48" x14ac:dyDescent="0.45">
      <c r="A46">
        <v>387.44212866851188</v>
      </c>
      <c r="Q46">
        <v>387.44212866851188</v>
      </c>
      <c r="R46" s="1">
        <f t="shared" si="2"/>
        <v>110.96392631154822</v>
      </c>
      <c r="S46" s="1">
        <f t="shared" si="4"/>
        <v>482.23771912995119</v>
      </c>
      <c r="T46" s="1">
        <f t="shared" si="6"/>
        <v>169.89721429943333</v>
      </c>
      <c r="U46" s="1">
        <f t="shared" si="6"/>
        <v>169.24970694165125</v>
      </c>
      <c r="V46" s="1">
        <f t="shared" si="6"/>
        <v>157.80896181471908</v>
      </c>
      <c r="W46" s="1">
        <f t="shared" si="6"/>
        <v>234.48900683505167</v>
      </c>
      <c r="X46" s="1">
        <f t="shared" si="6"/>
        <v>223.62841557033812</v>
      </c>
      <c r="Y46" s="1">
        <f t="shared" si="6"/>
        <v>144.59081370771773</v>
      </c>
      <c r="Z46" s="1">
        <f t="shared" si="6"/>
        <v>538.7878849706276</v>
      </c>
      <c r="AA46" s="1">
        <f t="shared" si="6"/>
        <v>268.51540072322712</v>
      </c>
      <c r="AB46" s="1">
        <f t="shared" si="6"/>
        <v>486.36609639678198</v>
      </c>
      <c r="AC46" s="1">
        <f t="shared" si="6"/>
        <v>280.20437326630719</v>
      </c>
      <c r="AD46" s="1">
        <f t="shared" si="6"/>
        <v>467.16073967148657</v>
      </c>
      <c r="AE46" s="1">
        <f t="shared" si="6"/>
        <v>163.15559400539996</v>
      </c>
      <c r="AF46" s="1">
        <f t="shared" si="6"/>
        <v>504.13069662243396</v>
      </c>
      <c r="AG46" s="1">
        <f t="shared" si="6"/>
        <v>434.01183362842283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48" x14ac:dyDescent="0.45">
      <c r="A47">
        <v>482.23771912995119</v>
      </c>
      <c r="Q47">
        <v>482.23771912995119</v>
      </c>
      <c r="R47" s="1">
        <f t="shared" si="2"/>
        <v>205.75951677298752</v>
      </c>
      <c r="S47" s="1">
        <f t="shared" si="4"/>
        <v>169.89721429943333</v>
      </c>
      <c r="T47" s="1">
        <f t="shared" si="6"/>
        <v>169.24970694165125</v>
      </c>
      <c r="U47" s="1">
        <f t="shared" si="6"/>
        <v>157.80896181471908</v>
      </c>
      <c r="V47" s="1">
        <f t="shared" si="6"/>
        <v>234.48900683505167</v>
      </c>
      <c r="W47" s="1">
        <f t="shared" si="6"/>
        <v>223.62841557033812</v>
      </c>
      <c r="X47" s="1">
        <f t="shared" si="6"/>
        <v>144.59081370771773</v>
      </c>
      <c r="Y47" s="1">
        <f t="shared" si="6"/>
        <v>538.7878849706276</v>
      </c>
      <c r="Z47" s="1">
        <f t="shared" si="6"/>
        <v>268.51540072322712</v>
      </c>
      <c r="AA47" s="1">
        <f t="shared" si="6"/>
        <v>486.36609639678198</v>
      </c>
      <c r="AB47" s="1">
        <f t="shared" si="6"/>
        <v>280.20437326630719</v>
      </c>
      <c r="AC47" s="1">
        <f t="shared" si="6"/>
        <v>467.16073967148657</v>
      </c>
      <c r="AD47" s="1">
        <f t="shared" si="6"/>
        <v>163.15559400539996</v>
      </c>
      <c r="AE47" s="1">
        <f t="shared" si="6"/>
        <v>504.13069662243396</v>
      </c>
      <c r="AF47" s="1">
        <f t="shared" si="6"/>
        <v>434.01183362842283</v>
      </c>
      <c r="AG47" s="1">
        <f t="shared" si="6"/>
        <v>488.99389597185382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48" x14ac:dyDescent="0.45">
      <c r="A48">
        <v>169.89721429943333</v>
      </c>
      <c r="Q48">
        <v>169.89721429943333</v>
      </c>
      <c r="R48" s="1">
        <f t="shared" si="2"/>
        <v>-106.58098805753033</v>
      </c>
      <c r="S48" s="1">
        <f t="shared" si="4"/>
        <v>169.24970694165125</v>
      </c>
      <c r="T48" s="1">
        <f t="shared" si="6"/>
        <v>157.80896181471908</v>
      </c>
      <c r="U48" s="1">
        <f t="shared" si="6"/>
        <v>234.48900683505167</v>
      </c>
      <c r="V48" s="1">
        <f t="shared" si="6"/>
        <v>223.62841557033812</v>
      </c>
      <c r="W48" s="1">
        <f t="shared" si="6"/>
        <v>144.59081370771773</v>
      </c>
      <c r="X48" s="1">
        <f t="shared" si="6"/>
        <v>538.7878849706276</v>
      </c>
      <c r="Y48" s="1">
        <f t="shared" si="6"/>
        <v>268.51540072322712</v>
      </c>
      <c r="Z48" s="1">
        <f t="shared" si="6"/>
        <v>486.36609639678198</v>
      </c>
      <c r="AA48" s="1">
        <f t="shared" si="6"/>
        <v>280.20437326630719</v>
      </c>
      <c r="AB48" s="1">
        <f t="shared" si="6"/>
        <v>467.16073967148657</v>
      </c>
      <c r="AC48" s="1">
        <f t="shared" si="6"/>
        <v>163.15559400539996</v>
      </c>
      <c r="AD48" s="1">
        <f t="shared" si="6"/>
        <v>504.13069662243396</v>
      </c>
      <c r="AE48" s="1">
        <f t="shared" si="6"/>
        <v>434.01183362842283</v>
      </c>
      <c r="AF48" s="1">
        <f t="shared" si="6"/>
        <v>488.99389597185382</v>
      </c>
      <c r="AG48" s="1">
        <f t="shared" si="6"/>
        <v>166.78355523008983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 x14ac:dyDescent="0.45">
      <c r="A49">
        <v>169.24970694165125</v>
      </c>
      <c r="Q49">
        <v>169.24970694165125</v>
      </c>
      <c r="R49" s="1">
        <f t="shared" si="2"/>
        <v>-107.22849541531241</v>
      </c>
      <c r="S49" s="1">
        <f t="shared" si="4"/>
        <v>157.80896181471908</v>
      </c>
      <c r="T49" s="1">
        <f t="shared" si="6"/>
        <v>234.48900683505167</v>
      </c>
      <c r="U49" s="1">
        <f t="shared" si="6"/>
        <v>223.62841557033812</v>
      </c>
      <c r="V49" s="1">
        <f t="shared" si="6"/>
        <v>144.59081370771773</v>
      </c>
      <c r="W49" s="1">
        <f t="shared" si="6"/>
        <v>538.7878849706276</v>
      </c>
      <c r="X49" s="1">
        <f t="shared" si="6"/>
        <v>268.51540072322712</v>
      </c>
      <c r="Y49" s="1">
        <f t="shared" si="6"/>
        <v>486.36609639678198</v>
      </c>
      <c r="Z49" s="1">
        <f t="shared" si="6"/>
        <v>280.20437326630719</v>
      </c>
      <c r="AA49" s="1">
        <f t="shared" si="6"/>
        <v>467.16073967148657</v>
      </c>
      <c r="AB49" s="1">
        <f t="shared" si="6"/>
        <v>163.15559400539996</v>
      </c>
      <c r="AC49" s="1">
        <f t="shared" si="6"/>
        <v>504.13069662243396</v>
      </c>
      <c r="AD49" s="1">
        <f t="shared" si="6"/>
        <v>434.01183362842283</v>
      </c>
      <c r="AE49" s="1">
        <f t="shared" si="6"/>
        <v>488.99389597185382</v>
      </c>
      <c r="AF49" s="1">
        <f t="shared" si="6"/>
        <v>166.78355523008983</v>
      </c>
      <c r="AG49" s="1">
        <f t="shared" si="6"/>
        <v>52.658388575742862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 x14ac:dyDescent="0.45">
      <c r="A50">
        <v>157.80896181471908</v>
      </c>
      <c r="Q50">
        <v>157.80896181471908</v>
      </c>
      <c r="R50" s="1">
        <f t="shared" si="2"/>
        <v>-118.66924054224458</v>
      </c>
      <c r="S50" s="1">
        <f t="shared" si="4"/>
        <v>234.48900683505167</v>
      </c>
      <c r="T50" s="1">
        <f t="shared" si="6"/>
        <v>223.62841557033812</v>
      </c>
      <c r="U50" s="1">
        <f t="shared" si="6"/>
        <v>144.59081370771773</v>
      </c>
      <c r="V50" s="1">
        <f t="shared" si="6"/>
        <v>538.7878849706276</v>
      </c>
      <c r="W50" s="1">
        <f t="shared" si="6"/>
        <v>268.51540072322712</v>
      </c>
      <c r="X50" s="1">
        <f t="shared" si="6"/>
        <v>486.36609639678198</v>
      </c>
      <c r="Y50" s="1">
        <f t="shared" si="6"/>
        <v>280.20437326630719</v>
      </c>
      <c r="Z50" s="1">
        <f t="shared" si="6"/>
        <v>467.16073967148657</v>
      </c>
      <c r="AA50" s="1">
        <f t="shared" si="6"/>
        <v>163.15559400539996</v>
      </c>
      <c r="AB50" s="1">
        <f t="shared" si="6"/>
        <v>504.13069662243396</v>
      </c>
      <c r="AC50" s="1">
        <f t="shared" si="6"/>
        <v>434.01183362842283</v>
      </c>
      <c r="AD50" s="1">
        <f t="shared" si="6"/>
        <v>488.99389597185382</v>
      </c>
      <c r="AE50" s="1">
        <f t="shared" si="6"/>
        <v>166.78355523008983</v>
      </c>
      <c r="AF50" s="1">
        <f t="shared" si="6"/>
        <v>52.658388575742862</v>
      </c>
      <c r="AG50" s="1">
        <f t="shared" si="6"/>
        <v>173.16219460145086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 x14ac:dyDescent="0.45">
      <c r="A51">
        <v>234.48900683505167</v>
      </c>
      <c r="Q51">
        <v>234.48900683505167</v>
      </c>
      <c r="R51" s="1">
        <f t="shared" si="2"/>
        <v>-41.989195521911995</v>
      </c>
      <c r="S51" s="1">
        <f t="shared" si="4"/>
        <v>223.62841557033812</v>
      </c>
      <c r="T51" s="1">
        <f t="shared" si="6"/>
        <v>144.59081370771773</v>
      </c>
      <c r="U51" s="1">
        <f t="shared" si="6"/>
        <v>538.7878849706276</v>
      </c>
      <c r="V51" s="1">
        <f t="shared" si="6"/>
        <v>268.51540072322712</v>
      </c>
      <c r="W51" s="1">
        <f t="shared" si="6"/>
        <v>486.36609639678198</v>
      </c>
      <c r="X51" s="1">
        <f t="shared" si="6"/>
        <v>280.20437326630719</v>
      </c>
      <c r="Y51" s="1">
        <f t="shared" si="6"/>
        <v>467.16073967148657</v>
      </c>
      <c r="Z51" s="1">
        <f t="shared" si="6"/>
        <v>163.15559400539996</v>
      </c>
      <c r="AA51" s="1">
        <f t="shared" si="6"/>
        <v>504.13069662243396</v>
      </c>
      <c r="AB51" s="1">
        <f t="shared" si="6"/>
        <v>434.01183362842283</v>
      </c>
      <c r="AC51" s="1">
        <f t="shared" si="6"/>
        <v>488.99389597185382</v>
      </c>
      <c r="AD51" s="1">
        <f t="shared" si="6"/>
        <v>166.78355523008983</v>
      </c>
      <c r="AE51" s="1">
        <f t="shared" si="6"/>
        <v>52.658388575742862</v>
      </c>
      <c r="AF51" s="1">
        <f t="shared" si="6"/>
        <v>173.16219460145086</v>
      </c>
      <c r="AG51" s="1">
        <f t="shared" si="6"/>
        <v>252.11587739497912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 x14ac:dyDescent="0.45">
      <c r="A52">
        <v>223.62841557033812</v>
      </c>
      <c r="Q52">
        <v>223.62841557033812</v>
      </c>
      <c r="R52" s="1">
        <f t="shared" si="2"/>
        <v>-52.849786786625543</v>
      </c>
      <c r="S52" s="1">
        <f t="shared" si="4"/>
        <v>144.59081370771773</v>
      </c>
      <c r="T52" s="1">
        <f t="shared" si="6"/>
        <v>538.7878849706276</v>
      </c>
      <c r="U52" s="1">
        <f t="shared" si="6"/>
        <v>268.51540072322712</v>
      </c>
      <c r="V52" s="1">
        <f t="shared" si="6"/>
        <v>486.36609639678198</v>
      </c>
      <c r="W52" s="1">
        <f t="shared" si="6"/>
        <v>280.20437326630719</v>
      </c>
      <c r="X52" s="1">
        <f t="shared" si="6"/>
        <v>467.16073967148657</v>
      </c>
      <c r="Y52" s="1">
        <f t="shared" si="6"/>
        <v>163.15559400539996</v>
      </c>
      <c r="Z52" s="1">
        <f t="shared" si="6"/>
        <v>504.13069662243396</v>
      </c>
      <c r="AA52" s="1">
        <f t="shared" si="6"/>
        <v>434.01183362842283</v>
      </c>
      <c r="AB52" s="1">
        <f t="shared" si="6"/>
        <v>488.99389597185382</v>
      </c>
      <c r="AC52" s="1">
        <f t="shared" si="6"/>
        <v>166.78355523008983</v>
      </c>
      <c r="AD52" s="1">
        <f t="shared" si="6"/>
        <v>52.658388575742862</v>
      </c>
      <c r="AE52" s="1">
        <f t="shared" si="6"/>
        <v>173.16219460145086</v>
      </c>
      <c r="AF52" s="1">
        <f t="shared" si="6"/>
        <v>252.11587739497912</v>
      </c>
      <c r="AG52" s="1">
        <f t="shared" si="6"/>
        <v>441.64480091025371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 x14ac:dyDescent="0.45">
      <c r="A53">
        <v>144.59081370771773</v>
      </c>
      <c r="Q53">
        <v>144.59081370771773</v>
      </c>
      <c r="R53" s="1">
        <f t="shared" si="2"/>
        <v>-131.88738864924593</v>
      </c>
      <c r="S53" s="1">
        <f t="shared" si="4"/>
        <v>538.7878849706276</v>
      </c>
      <c r="T53" s="1">
        <f t="shared" si="6"/>
        <v>268.51540072322712</v>
      </c>
      <c r="U53" s="1">
        <f t="shared" si="6"/>
        <v>486.36609639678198</v>
      </c>
      <c r="V53" s="1">
        <f t="shared" si="6"/>
        <v>280.20437326630719</v>
      </c>
      <c r="W53" s="1">
        <f t="shared" si="6"/>
        <v>467.16073967148657</v>
      </c>
      <c r="X53" s="1">
        <f t="shared" si="6"/>
        <v>163.15559400539996</v>
      </c>
      <c r="Y53" s="1">
        <f t="shared" si="6"/>
        <v>504.13069662243396</v>
      </c>
      <c r="Z53" s="1">
        <f t="shared" si="6"/>
        <v>434.01183362842283</v>
      </c>
      <c r="AA53" s="1">
        <f t="shared" si="6"/>
        <v>488.99389597185382</v>
      </c>
      <c r="AB53" s="1">
        <f t="shared" si="6"/>
        <v>166.78355523008983</v>
      </c>
      <c r="AC53" s="1">
        <f t="shared" si="6"/>
        <v>52.658388575742862</v>
      </c>
      <c r="AD53" s="1">
        <f t="shared" si="6"/>
        <v>173.16219460145086</v>
      </c>
      <c r="AE53" s="1">
        <f t="shared" si="6"/>
        <v>252.11587739497912</v>
      </c>
      <c r="AF53" s="1">
        <f t="shared" si="6"/>
        <v>441.64480091025371</v>
      </c>
      <c r="AG53" s="1">
        <f t="shared" si="6"/>
        <v>47.848498048560792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 x14ac:dyDescent="0.45">
      <c r="A54">
        <v>538.7878849706276</v>
      </c>
      <c r="Q54">
        <v>538.7878849706276</v>
      </c>
      <c r="R54" s="1">
        <f t="shared" si="2"/>
        <v>262.30968261366394</v>
      </c>
      <c r="S54" s="1">
        <f t="shared" si="4"/>
        <v>268.51540072322712</v>
      </c>
      <c r="T54" s="1">
        <f t="shared" si="6"/>
        <v>486.36609639678198</v>
      </c>
      <c r="U54" s="1">
        <f t="shared" si="6"/>
        <v>280.20437326630719</v>
      </c>
      <c r="V54" s="1">
        <f t="shared" si="6"/>
        <v>467.16073967148657</v>
      </c>
      <c r="W54" s="1">
        <f t="shared" si="6"/>
        <v>163.15559400539996</v>
      </c>
      <c r="X54" s="1">
        <f t="shared" si="6"/>
        <v>504.13069662243396</v>
      </c>
      <c r="Y54" s="1">
        <f t="shared" si="6"/>
        <v>434.01183362842283</v>
      </c>
      <c r="Z54" s="1">
        <f t="shared" si="6"/>
        <v>488.99389597185382</v>
      </c>
      <c r="AA54" s="1">
        <f t="shared" si="6"/>
        <v>166.78355523008983</v>
      </c>
      <c r="AB54" s="1">
        <f t="shared" si="6"/>
        <v>52.658388575742862</v>
      </c>
      <c r="AC54" s="1">
        <f t="shared" si="6"/>
        <v>173.16219460145086</v>
      </c>
      <c r="AD54" s="1">
        <f t="shared" si="6"/>
        <v>252.11587739497912</v>
      </c>
      <c r="AE54" s="1">
        <f t="shared" si="6"/>
        <v>441.64480091025371</v>
      </c>
      <c r="AF54" s="1">
        <f t="shared" si="6"/>
        <v>47.848498048560792</v>
      </c>
      <c r="AG54" s="1">
        <f t="shared" si="6"/>
        <v>144.80469715405297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 x14ac:dyDescent="0.45">
      <c r="A55">
        <v>268.51540072322712</v>
      </c>
      <c r="Q55">
        <v>268.51540072322712</v>
      </c>
      <c r="R55" s="1">
        <f t="shared" si="2"/>
        <v>-7.9628016337365466</v>
      </c>
      <c r="S55" s="1">
        <f t="shared" si="4"/>
        <v>486.36609639678198</v>
      </c>
      <c r="T55" s="1">
        <f t="shared" si="6"/>
        <v>280.20437326630719</v>
      </c>
      <c r="U55" s="1">
        <f t="shared" si="6"/>
        <v>467.16073967148657</v>
      </c>
      <c r="V55" s="1">
        <f t="shared" si="6"/>
        <v>163.15559400539996</v>
      </c>
      <c r="W55" s="1">
        <f t="shared" si="6"/>
        <v>504.13069662243396</v>
      </c>
      <c r="X55" s="1">
        <f t="shared" si="6"/>
        <v>434.01183362842283</v>
      </c>
      <c r="Y55" s="1">
        <f t="shared" si="6"/>
        <v>488.99389597185382</v>
      </c>
      <c r="Z55" s="1">
        <f t="shared" si="6"/>
        <v>166.78355523008983</v>
      </c>
      <c r="AA55" s="1">
        <f t="shared" si="6"/>
        <v>52.658388575742862</v>
      </c>
      <c r="AB55" s="1">
        <f t="shared" si="6"/>
        <v>173.16219460145086</v>
      </c>
      <c r="AC55" s="1">
        <f t="shared" si="6"/>
        <v>252.11587739497912</v>
      </c>
      <c r="AD55" s="1">
        <f t="shared" si="6"/>
        <v>441.64480091025371</v>
      </c>
      <c r="AE55" s="1">
        <f t="shared" si="6"/>
        <v>47.848498048560792</v>
      </c>
      <c r="AF55" s="1">
        <f t="shared" si="6"/>
        <v>144.80469715405297</v>
      </c>
      <c r="AG55" s="1">
        <f t="shared" si="6"/>
        <v>59.869896269984665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 x14ac:dyDescent="0.45">
      <c r="A56">
        <v>486.36609639678198</v>
      </c>
      <c r="Q56">
        <v>486.36609639678198</v>
      </c>
      <c r="R56" s="1">
        <f t="shared" si="2"/>
        <v>209.88789403981832</v>
      </c>
      <c r="S56" s="1">
        <f t="shared" si="4"/>
        <v>280.20437326630719</v>
      </c>
      <c r="T56" s="1">
        <f t="shared" si="6"/>
        <v>467.16073967148657</v>
      </c>
      <c r="U56" s="1">
        <f t="shared" si="6"/>
        <v>163.15559400539996</v>
      </c>
      <c r="V56" s="1">
        <f t="shared" ref="U56:AG68" si="7">U57</f>
        <v>504.13069662243396</v>
      </c>
      <c r="W56" s="1">
        <f t="shared" si="7"/>
        <v>434.01183362842283</v>
      </c>
      <c r="X56" s="1">
        <f t="shared" si="7"/>
        <v>488.99389597185382</v>
      </c>
      <c r="Y56" s="1">
        <f t="shared" si="7"/>
        <v>166.78355523008983</v>
      </c>
      <c r="Z56" s="1">
        <f t="shared" si="7"/>
        <v>52.658388575742862</v>
      </c>
      <c r="AA56" s="1">
        <f t="shared" si="7"/>
        <v>173.16219460145086</v>
      </c>
      <c r="AB56" s="1">
        <f t="shared" si="7"/>
        <v>252.11587739497912</v>
      </c>
      <c r="AC56" s="1">
        <f t="shared" si="7"/>
        <v>441.64480091025371</v>
      </c>
      <c r="AD56" s="1">
        <f t="shared" si="7"/>
        <v>47.848498048560792</v>
      </c>
      <c r="AE56" s="1">
        <f t="shared" si="7"/>
        <v>144.80469715405297</v>
      </c>
      <c r="AF56" s="1">
        <f t="shared" si="7"/>
        <v>59.869896269984665</v>
      </c>
      <c r="AG56" s="1">
        <f t="shared" si="7"/>
        <v>335.82089896048655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 x14ac:dyDescent="0.45">
      <c r="A57">
        <v>280.20437326630719</v>
      </c>
      <c r="Q57">
        <v>280.20437326630719</v>
      </c>
      <c r="R57" s="1">
        <f t="shared" si="2"/>
        <v>3.7261709093435229</v>
      </c>
      <c r="S57" s="1">
        <f t="shared" si="4"/>
        <v>467.16073967148657</v>
      </c>
      <c r="T57" s="1">
        <f t="shared" ref="T57:AG86" si="8">S58</f>
        <v>163.15559400539996</v>
      </c>
      <c r="U57" s="1">
        <f t="shared" si="7"/>
        <v>504.13069662243396</v>
      </c>
      <c r="V57" s="1">
        <f t="shared" si="7"/>
        <v>434.01183362842283</v>
      </c>
      <c r="W57" s="1">
        <f t="shared" si="7"/>
        <v>488.99389597185382</v>
      </c>
      <c r="X57" s="1">
        <f t="shared" si="7"/>
        <v>166.78355523008983</v>
      </c>
      <c r="Y57" s="1">
        <f t="shared" si="7"/>
        <v>52.658388575742862</v>
      </c>
      <c r="Z57" s="1">
        <f t="shared" si="7"/>
        <v>173.16219460145086</v>
      </c>
      <c r="AA57" s="1">
        <f t="shared" si="7"/>
        <v>252.11587739497912</v>
      </c>
      <c r="AB57" s="1">
        <f t="shared" si="7"/>
        <v>441.64480091025371</v>
      </c>
      <c r="AC57" s="1">
        <f t="shared" si="7"/>
        <v>47.848498048560792</v>
      </c>
      <c r="AD57" s="1">
        <f t="shared" si="7"/>
        <v>144.80469715405297</v>
      </c>
      <c r="AE57" s="1">
        <f t="shared" si="7"/>
        <v>59.869896269984665</v>
      </c>
      <c r="AF57" s="1">
        <f t="shared" si="7"/>
        <v>335.82089896048655</v>
      </c>
      <c r="AG57" s="1">
        <f t="shared" si="7"/>
        <v>473.80666636238794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 x14ac:dyDescent="0.45">
      <c r="A58">
        <v>467.16073967148657</v>
      </c>
      <c r="Q58">
        <v>467.16073967148657</v>
      </c>
      <c r="R58" s="1">
        <f t="shared" si="2"/>
        <v>190.6825373145229</v>
      </c>
      <c r="S58" s="1">
        <f t="shared" si="4"/>
        <v>163.15559400539996</v>
      </c>
      <c r="T58" s="1">
        <f t="shared" si="8"/>
        <v>504.13069662243396</v>
      </c>
      <c r="U58" s="1">
        <f t="shared" si="7"/>
        <v>434.01183362842283</v>
      </c>
      <c r="V58" s="1">
        <f t="shared" si="7"/>
        <v>488.99389597185382</v>
      </c>
      <c r="W58" s="1">
        <f t="shared" si="7"/>
        <v>166.78355523008983</v>
      </c>
      <c r="X58" s="1">
        <f t="shared" si="7"/>
        <v>52.658388575742862</v>
      </c>
      <c r="Y58" s="1">
        <f t="shared" si="7"/>
        <v>173.16219460145086</v>
      </c>
      <c r="Z58" s="1">
        <f t="shared" si="7"/>
        <v>252.11587739497912</v>
      </c>
      <c r="AA58" s="1">
        <f t="shared" si="7"/>
        <v>441.64480091025371</v>
      </c>
      <c r="AB58" s="1">
        <f t="shared" si="7"/>
        <v>47.848498048560792</v>
      </c>
      <c r="AC58" s="1">
        <f t="shared" si="7"/>
        <v>144.80469715405297</v>
      </c>
      <c r="AD58" s="1">
        <f t="shared" si="7"/>
        <v>59.869896269984665</v>
      </c>
      <c r="AE58" s="1">
        <f t="shared" si="7"/>
        <v>335.82089896048655</v>
      </c>
      <c r="AF58" s="1">
        <f t="shared" si="7"/>
        <v>473.80666636238794</v>
      </c>
      <c r="AG58" s="1">
        <f t="shared" si="7"/>
        <v>297.27969468721159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 x14ac:dyDescent="0.45">
      <c r="A59">
        <v>163.15559400539996</v>
      </c>
      <c r="Q59">
        <v>163.15559400539996</v>
      </c>
      <c r="R59" s="1">
        <f t="shared" si="2"/>
        <v>-113.3226083515637</v>
      </c>
      <c r="S59" s="1">
        <f t="shared" si="4"/>
        <v>504.13069662243396</v>
      </c>
      <c r="T59" s="1">
        <f t="shared" si="8"/>
        <v>434.01183362842283</v>
      </c>
      <c r="U59" s="1">
        <f t="shared" si="7"/>
        <v>488.99389597185382</v>
      </c>
      <c r="V59" s="1">
        <f t="shared" si="7"/>
        <v>166.78355523008983</v>
      </c>
      <c r="W59" s="1">
        <f t="shared" si="7"/>
        <v>52.658388575742862</v>
      </c>
      <c r="X59" s="1">
        <f t="shared" si="7"/>
        <v>173.16219460145086</v>
      </c>
      <c r="Y59" s="1">
        <f t="shared" si="7"/>
        <v>252.11587739497912</v>
      </c>
      <c r="Z59" s="1">
        <f t="shared" si="7"/>
        <v>441.64480091025371</v>
      </c>
      <c r="AA59" s="1">
        <f t="shared" si="7"/>
        <v>47.848498048560792</v>
      </c>
      <c r="AB59" s="1">
        <f t="shared" si="7"/>
        <v>144.80469715405297</v>
      </c>
      <c r="AC59" s="1">
        <f t="shared" si="7"/>
        <v>59.869896269984665</v>
      </c>
      <c r="AD59" s="1">
        <f t="shared" si="7"/>
        <v>335.82089896048655</v>
      </c>
      <c r="AE59" s="1">
        <f t="shared" si="7"/>
        <v>473.80666636238794</v>
      </c>
      <c r="AF59" s="1">
        <f t="shared" si="7"/>
        <v>297.27969468721159</v>
      </c>
      <c r="AG59" s="1">
        <f t="shared" si="7"/>
        <v>98.255300531989789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 x14ac:dyDescent="0.45">
      <c r="A60">
        <v>504.13069662243396</v>
      </c>
      <c r="Q60">
        <v>504.13069662243396</v>
      </c>
      <c r="R60" s="1">
        <f t="shared" si="2"/>
        <v>227.6524942654703</v>
      </c>
      <c r="S60" s="1">
        <f t="shared" si="4"/>
        <v>434.01183362842283</v>
      </c>
      <c r="T60" s="1">
        <f t="shared" si="8"/>
        <v>488.99389597185382</v>
      </c>
      <c r="U60" s="1">
        <f t="shared" si="7"/>
        <v>166.78355523008983</v>
      </c>
      <c r="V60" s="1">
        <f t="shared" si="7"/>
        <v>52.658388575742862</v>
      </c>
      <c r="W60" s="1">
        <f t="shared" si="7"/>
        <v>173.16219460145086</v>
      </c>
      <c r="X60" s="1">
        <f t="shared" si="7"/>
        <v>252.11587739497912</v>
      </c>
      <c r="Y60" s="1">
        <f t="shared" si="7"/>
        <v>441.64480091025371</v>
      </c>
      <c r="Z60" s="1">
        <f t="shared" si="7"/>
        <v>47.848498048560792</v>
      </c>
      <c r="AA60" s="1">
        <f t="shared" si="7"/>
        <v>144.80469715405297</v>
      </c>
      <c r="AB60" s="1">
        <f t="shared" si="7"/>
        <v>59.869896269984665</v>
      </c>
      <c r="AC60" s="1">
        <f t="shared" si="7"/>
        <v>335.82089896048655</v>
      </c>
      <c r="AD60" s="1">
        <f t="shared" si="7"/>
        <v>473.80666636238794</v>
      </c>
      <c r="AE60" s="1">
        <f t="shared" si="7"/>
        <v>297.27969468721159</v>
      </c>
      <c r="AF60" s="1">
        <f t="shared" si="7"/>
        <v>98.255300531989789</v>
      </c>
      <c r="AG60" s="1">
        <f t="shared" si="7"/>
        <v>518.62926994183226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 x14ac:dyDescent="0.45">
      <c r="A61">
        <v>434.01183362842283</v>
      </c>
      <c r="Q61">
        <v>434.01183362842283</v>
      </c>
      <c r="R61" s="1">
        <f t="shared" si="2"/>
        <v>157.53363127145917</v>
      </c>
      <c r="S61" s="1">
        <f t="shared" si="4"/>
        <v>488.99389597185382</v>
      </c>
      <c r="T61" s="1">
        <f t="shared" si="8"/>
        <v>166.78355523008983</v>
      </c>
      <c r="U61" s="1">
        <f t="shared" si="7"/>
        <v>52.658388575742862</v>
      </c>
      <c r="V61" s="1">
        <f t="shared" si="7"/>
        <v>173.16219460145086</v>
      </c>
      <c r="W61" s="1">
        <f t="shared" si="7"/>
        <v>252.11587739497912</v>
      </c>
      <c r="X61" s="1">
        <f t="shared" si="7"/>
        <v>441.64480091025371</v>
      </c>
      <c r="Y61" s="1">
        <f t="shared" si="7"/>
        <v>47.848498048560792</v>
      </c>
      <c r="Z61" s="1">
        <f t="shared" si="7"/>
        <v>144.80469715405297</v>
      </c>
      <c r="AA61" s="1">
        <f t="shared" si="7"/>
        <v>59.869896269984665</v>
      </c>
      <c r="AB61" s="1">
        <f t="shared" si="7"/>
        <v>335.82089896048655</v>
      </c>
      <c r="AC61" s="1">
        <f t="shared" si="7"/>
        <v>473.80666636238794</v>
      </c>
      <c r="AD61" s="1">
        <f t="shared" si="7"/>
        <v>297.27969468721159</v>
      </c>
      <c r="AE61" s="1">
        <f t="shared" si="7"/>
        <v>98.255300531989789</v>
      </c>
      <c r="AF61" s="1">
        <f t="shared" si="7"/>
        <v>518.62926994183226</v>
      </c>
      <c r="AG61" s="1">
        <f t="shared" si="7"/>
        <v>93.97636635450155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 x14ac:dyDescent="0.45">
      <c r="A62">
        <v>488.99389597185382</v>
      </c>
      <c r="Q62">
        <v>488.99389597185382</v>
      </c>
      <c r="R62" s="1">
        <f t="shared" si="2"/>
        <v>212.51569361489015</v>
      </c>
      <c r="S62" s="1">
        <f t="shared" si="4"/>
        <v>166.78355523008983</v>
      </c>
      <c r="T62" s="1">
        <f t="shared" si="8"/>
        <v>52.658388575742862</v>
      </c>
      <c r="U62" s="1">
        <f t="shared" si="7"/>
        <v>173.16219460145086</v>
      </c>
      <c r="V62" s="1">
        <f t="shared" si="7"/>
        <v>252.11587739497912</v>
      </c>
      <c r="W62" s="1">
        <f t="shared" si="7"/>
        <v>441.64480091025371</v>
      </c>
      <c r="X62" s="1">
        <f t="shared" si="7"/>
        <v>47.848498048560792</v>
      </c>
      <c r="Y62" s="1">
        <f t="shared" si="7"/>
        <v>144.80469715405297</v>
      </c>
      <c r="Z62" s="1">
        <f t="shared" si="7"/>
        <v>59.869896269984665</v>
      </c>
      <c r="AA62" s="1">
        <f t="shared" si="7"/>
        <v>335.82089896048655</v>
      </c>
      <c r="AB62" s="1">
        <f t="shared" si="7"/>
        <v>473.80666636238794</v>
      </c>
      <c r="AC62" s="1">
        <f t="shared" si="7"/>
        <v>297.27969468721159</v>
      </c>
      <c r="AD62" s="1">
        <f t="shared" si="7"/>
        <v>98.255300531989789</v>
      </c>
      <c r="AE62" s="1">
        <f t="shared" si="7"/>
        <v>518.62926994183226</v>
      </c>
      <c r="AF62" s="1">
        <f t="shared" si="7"/>
        <v>93.97636635450155</v>
      </c>
      <c r="AG62" s="1">
        <f t="shared" si="7"/>
        <v>142.43278079553824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 x14ac:dyDescent="0.45">
      <c r="A63">
        <v>166.78355523008983</v>
      </c>
      <c r="Q63">
        <v>166.78355523008983</v>
      </c>
      <c r="R63" s="1">
        <f t="shared" si="2"/>
        <v>-109.69464712687383</v>
      </c>
      <c r="S63" s="1">
        <f t="shared" si="4"/>
        <v>52.658388575742862</v>
      </c>
      <c r="T63" s="1">
        <f t="shared" si="8"/>
        <v>173.16219460145086</v>
      </c>
      <c r="U63" s="1">
        <f t="shared" si="7"/>
        <v>252.11587739497912</v>
      </c>
      <c r="V63" s="1">
        <f t="shared" si="7"/>
        <v>441.64480091025371</v>
      </c>
      <c r="W63" s="1">
        <f t="shared" si="7"/>
        <v>47.848498048560792</v>
      </c>
      <c r="X63" s="1">
        <f t="shared" si="7"/>
        <v>144.80469715405297</v>
      </c>
      <c r="Y63" s="1">
        <f t="shared" si="7"/>
        <v>59.869896269984665</v>
      </c>
      <c r="Z63" s="1">
        <f t="shared" si="7"/>
        <v>335.82089896048655</v>
      </c>
      <c r="AA63" s="1">
        <f t="shared" si="7"/>
        <v>473.80666636238794</v>
      </c>
      <c r="AB63" s="1">
        <f t="shared" si="7"/>
        <v>297.27969468721159</v>
      </c>
      <c r="AC63" s="1">
        <f t="shared" si="7"/>
        <v>98.255300531989789</v>
      </c>
      <c r="AD63" s="1">
        <f t="shared" si="7"/>
        <v>518.62926994183226</v>
      </c>
      <c r="AE63" s="1">
        <f t="shared" si="7"/>
        <v>93.97636635450155</v>
      </c>
      <c r="AF63" s="1">
        <f t="shared" si="7"/>
        <v>142.43278079553824</v>
      </c>
      <c r="AG63" s="1">
        <f t="shared" si="7"/>
        <v>455.82920256252265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 x14ac:dyDescent="0.45">
      <c r="A64">
        <v>52.658388575742862</v>
      </c>
      <c r="Q64">
        <v>52.658388575742862</v>
      </c>
      <c r="R64" s="1">
        <f t="shared" si="2"/>
        <v>-223.8198137812208</v>
      </c>
      <c r="S64" s="1">
        <f t="shared" si="4"/>
        <v>173.16219460145086</v>
      </c>
      <c r="T64" s="1">
        <f t="shared" si="8"/>
        <v>252.11587739497912</v>
      </c>
      <c r="U64" s="1">
        <f t="shared" si="7"/>
        <v>441.64480091025371</v>
      </c>
      <c r="V64" s="1">
        <f t="shared" si="7"/>
        <v>47.848498048560792</v>
      </c>
      <c r="W64" s="1">
        <f t="shared" si="7"/>
        <v>144.80469715405297</v>
      </c>
      <c r="X64" s="1">
        <f t="shared" si="7"/>
        <v>59.869896269984665</v>
      </c>
      <c r="Y64" s="1">
        <f t="shared" si="7"/>
        <v>335.82089896048655</v>
      </c>
      <c r="Z64" s="1">
        <f t="shared" si="7"/>
        <v>473.80666636238794</v>
      </c>
      <c r="AA64" s="1">
        <f t="shared" si="7"/>
        <v>297.27969468721159</v>
      </c>
      <c r="AB64" s="1">
        <f t="shared" si="7"/>
        <v>98.255300531989789</v>
      </c>
      <c r="AC64" s="1">
        <f t="shared" si="7"/>
        <v>518.62926994183226</v>
      </c>
      <c r="AD64" s="1">
        <f t="shared" si="7"/>
        <v>93.97636635450155</v>
      </c>
      <c r="AE64" s="1">
        <f t="shared" si="7"/>
        <v>142.43278079553824</v>
      </c>
      <c r="AF64" s="1">
        <f t="shared" si="7"/>
        <v>455.82920256252265</v>
      </c>
      <c r="AG64" s="1">
        <f t="shared" si="7"/>
        <v>596.23910759302396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 x14ac:dyDescent="0.45">
      <c r="A65">
        <v>173.16219460145086</v>
      </c>
      <c r="Q65">
        <v>173.16219460145086</v>
      </c>
      <c r="R65" s="1">
        <f t="shared" si="2"/>
        <v>-103.3160077555128</v>
      </c>
      <c r="S65" s="1">
        <f t="shared" si="4"/>
        <v>252.11587739497912</v>
      </c>
      <c r="T65" s="1">
        <f t="shared" si="8"/>
        <v>441.64480091025371</v>
      </c>
      <c r="U65" s="1">
        <f t="shared" si="7"/>
        <v>47.848498048560792</v>
      </c>
      <c r="V65" s="1">
        <f t="shared" si="7"/>
        <v>144.80469715405297</v>
      </c>
      <c r="W65" s="1">
        <f t="shared" si="7"/>
        <v>59.869896269984665</v>
      </c>
      <c r="X65" s="1">
        <f t="shared" si="7"/>
        <v>335.82089896048655</v>
      </c>
      <c r="Y65" s="1">
        <f t="shared" si="7"/>
        <v>473.80666636238794</v>
      </c>
      <c r="Z65" s="1">
        <f t="shared" si="7"/>
        <v>297.27969468721159</v>
      </c>
      <c r="AA65" s="1">
        <f t="shared" si="7"/>
        <v>98.255300531989789</v>
      </c>
      <c r="AB65" s="1">
        <f t="shared" si="7"/>
        <v>518.62926994183226</v>
      </c>
      <c r="AC65" s="1">
        <f t="shared" si="7"/>
        <v>93.97636635450155</v>
      </c>
      <c r="AD65" s="1">
        <f t="shared" si="7"/>
        <v>142.43278079553824</v>
      </c>
      <c r="AE65" s="1">
        <f t="shared" si="7"/>
        <v>455.82920256252265</v>
      </c>
      <c r="AF65" s="1">
        <f t="shared" si="7"/>
        <v>596.23910759302396</v>
      </c>
      <c r="AG65" s="1">
        <f t="shared" si="7"/>
        <v>295.96022618973575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 x14ac:dyDescent="0.45">
      <c r="A66">
        <v>252.11587739497912</v>
      </c>
      <c r="Q66">
        <v>252.11587739497912</v>
      </c>
      <c r="R66" s="1">
        <f t="shared" si="2"/>
        <v>-24.362324961984541</v>
      </c>
      <c r="S66" s="1">
        <f t="shared" si="4"/>
        <v>441.64480091025371</v>
      </c>
      <c r="T66" s="1">
        <f t="shared" si="8"/>
        <v>47.848498048560792</v>
      </c>
      <c r="U66" s="1">
        <f t="shared" si="7"/>
        <v>144.80469715405297</v>
      </c>
      <c r="V66" s="1">
        <f t="shared" si="7"/>
        <v>59.869896269984665</v>
      </c>
      <c r="W66" s="1">
        <f t="shared" si="7"/>
        <v>335.82089896048655</v>
      </c>
      <c r="X66" s="1">
        <f t="shared" si="7"/>
        <v>473.80666636238794</v>
      </c>
      <c r="Y66" s="1">
        <f t="shared" si="7"/>
        <v>297.27969468721159</v>
      </c>
      <c r="Z66" s="1">
        <f t="shared" si="7"/>
        <v>98.255300531989789</v>
      </c>
      <c r="AA66" s="1">
        <f t="shared" si="7"/>
        <v>518.62926994183226</v>
      </c>
      <c r="AB66" s="1">
        <f t="shared" si="7"/>
        <v>93.97636635450155</v>
      </c>
      <c r="AC66" s="1">
        <f t="shared" si="7"/>
        <v>142.43278079553824</v>
      </c>
      <c r="AD66" s="1">
        <f t="shared" si="7"/>
        <v>455.82920256252265</v>
      </c>
      <c r="AE66" s="1">
        <f t="shared" si="7"/>
        <v>596.23910759302396</v>
      </c>
      <c r="AF66" s="1">
        <f t="shared" si="7"/>
        <v>295.96022618973575</v>
      </c>
      <c r="AG66" s="1">
        <f t="shared" si="7"/>
        <v>67.942553282927193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 x14ac:dyDescent="0.45">
      <c r="A67">
        <v>441.64480091025371</v>
      </c>
      <c r="Q67">
        <v>441.64480091025371</v>
      </c>
      <c r="R67" s="1">
        <f t="shared" si="2"/>
        <v>165.16659855329004</v>
      </c>
      <c r="S67" s="1">
        <f t="shared" si="4"/>
        <v>47.848498048560792</v>
      </c>
      <c r="T67" s="1">
        <f t="shared" si="8"/>
        <v>144.80469715405297</v>
      </c>
      <c r="U67" s="1">
        <f t="shared" si="7"/>
        <v>59.869896269984665</v>
      </c>
      <c r="V67" s="1">
        <f t="shared" si="7"/>
        <v>335.82089896048655</v>
      </c>
      <c r="W67" s="1">
        <f t="shared" si="7"/>
        <v>473.80666636238794</v>
      </c>
      <c r="X67" s="1">
        <f t="shared" si="7"/>
        <v>297.27969468721159</v>
      </c>
      <c r="Y67" s="1">
        <f t="shared" si="7"/>
        <v>98.255300531989789</v>
      </c>
      <c r="Z67" s="1">
        <f t="shared" si="7"/>
        <v>518.62926994183226</v>
      </c>
      <c r="AA67" s="1">
        <f t="shared" si="7"/>
        <v>93.97636635450155</v>
      </c>
      <c r="AB67" s="1">
        <f t="shared" si="7"/>
        <v>142.43278079553824</v>
      </c>
      <c r="AC67" s="1">
        <f t="shared" si="7"/>
        <v>455.82920256252265</v>
      </c>
      <c r="AD67" s="1">
        <f t="shared" si="7"/>
        <v>596.23910759302396</v>
      </c>
      <c r="AE67" s="1">
        <f t="shared" si="7"/>
        <v>295.96022618973575</v>
      </c>
      <c r="AF67" s="1">
        <f t="shared" si="7"/>
        <v>67.942553282927193</v>
      </c>
      <c r="AG67" s="1">
        <f t="shared" si="7"/>
        <v>96.558471319182118</v>
      </c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 x14ac:dyDescent="0.45">
      <c r="A68">
        <v>47.848498048560792</v>
      </c>
      <c r="Q68">
        <v>47.848498048560792</v>
      </c>
      <c r="R68" s="1">
        <f t="shared" si="2"/>
        <v>-228.62970430840286</v>
      </c>
      <c r="S68" s="1">
        <f t="shared" si="4"/>
        <v>144.80469715405297</v>
      </c>
      <c r="T68" s="1">
        <f t="shared" si="8"/>
        <v>59.869896269984665</v>
      </c>
      <c r="U68" s="1">
        <f t="shared" si="7"/>
        <v>335.82089896048655</v>
      </c>
      <c r="V68" s="1">
        <f t="shared" si="7"/>
        <v>473.80666636238794</v>
      </c>
      <c r="W68" s="1">
        <f t="shared" si="7"/>
        <v>297.27969468721159</v>
      </c>
      <c r="X68" s="1">
        <f t="shared" si="7"/>
        <v>98.255300531989789</v>
      </c>
      <c r="Y68" s="1">
        <f t="shared" si="7"/>
        <v>518.62926994183226</v>
      </c>
      <c r="Z68" s="1">
        <f t="shared" si="7"/>
        <v>93.97636635450155</v>
      </c>
      <c r="AA68" s="1">
        <f t="shared" si="7"/>
        <v>142.43278079553824</v>
      </c>
      <c r="AB68" s="1">
        <f t="shared" si="7"/>
        <v>455.82920256252265</v>
      </c>
      <c r="AC68" s="1">
        <f t="shared" si="7"/>
        <v>596.23910759302396</v>
      </c>
      <c r="AD68" s="1">
        <f t="shared" si="7"/>
        <v>295.96022618973575</v>
      </c>
      <c r="AE68" s="1">
        <f t="shared" si="7"/>
        <v>67.942553282927193</v>
      </c>
      <c r="AF68" s="1">
        <f t="shared" si="7"/>
        <v>96.558471319182118</v>
      </c>
      <c r="AG68" s="1">
        <f t="shared" si="7"/>
        <v>343.86748024853443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 x14ac:dyDescent="0.45">
      <c r="A69">
        <v>144.80469715405297</v>
      </c>
      <c r="Q69">
        <v>144.80469715405297</v>
      </c>
      <c r="R69" s="1">
        <f t="shared" ref="R69:R132" si="9">Q69-$F$30</f>
        <v>-131.67350520291069</v>
      </c>
      <c r="S69" s="1">
        <f t="shared" si="4"/>
        <v>59.869896269984665</v>
      </c>
      <c r="T69" s="1">
        <f t="shared" si="8"/>
        <v>335.82089896048655</v>
      </c>
      <c r="U69" s="1">
        <f t="shared" si="8"/>
        <v>473.80666636238794</v>
      </c>
      <c r="V69" s="1">
        <f t="shared" si="8"/>
        <v>297.27969468721159</v>
      </c>
      <c r="W69" s="1">
        <f t="shared" si="8"/>
        <v>98.255300531989789</v>
      </c>
      <c r="X69" s="1">
        <f t="shared" si="8"/>
        <v>518.62926994183226</v>
      </c>
      <c r="Y69" s="1">
        <f t="shared" si="8"/>
        <v>93.97636635450155</v>
      </c>
      <c r="Z69" s="1">
        <f t="shared" si="8"/>
        <v>142.43278079553824</v>
      </c>
      <c r="AA69" s="1">
        <f t="shared" si="8"/>
        <v>455.82920256252265</v>
      </c>
      <c r="AB69" s="1">
        <f t="shared" si="8"/>
        <v>596.23910759302396</v>
      </c>
      <c r="AC69" s="1">
        <f t="shared" si="8"/>
        <v>295.96022618973575</v>
      </c>
      <c r="AD69" s="1">
        <f t="shared" si="8"/>
        <v>67.942553282927193</v>
      </c>
      <c r="AE69" s="1">
        <f t="shared" si="8"/>
        <v>96.558471319182118</v>
      </c>
      <c r="AF69" s="1">
        <f t="shared" si="8"/>
        <v>343.86748024853443</v>
      </c>
      <c r="AG69" s="1">
        <f t="shared" si="8"/>
        <v>281.18845620463583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 x14ac:dyDescent="0.45">
      <c r="A70">
        <v>59.869896269984665</v>
      </c>
      <c r="Q70">
        <v>59.869896269984665</v>
      </c>
      <c r="R70" s="1">
        <f t="shared" si="9"/>
        <v>-216.60830608697898</v>
      </c>
      <c r="S70" s="1">
        <f t="shared" ref="S70:S133" si="10">Q71</f>
        <v>335.82089896048655</v>
      </c>
      <c r="T70" s="1">
        <f t="shared" si="8"/>
        <v>473.80666636238794</v>
      </c>
      <c r="U70" s="1">
        <f t="shared" si="8"/>
        <v>297.27969468721159</v>
      </c>
      <c r="V70" s="1">
        <f t="shared" si="8"/>
        <v>98.255300531989789</v>
      </c>
      <c r="W70" s="1">
        <f t="shared" si="8"/>
        <v>518.62926994183226</v>
      </c>
      <c r="X70" s="1">
        <f t="shared" si="8"/>
        <v>93.97636635450155</v>
      </c>
      <c r="Y70" s="1">
        <f t="shared" si="8"/>
        <v>142.43278079553824</v>
      </c>
      <c r="Z70" s="1">
        <f t="shared" si="8"/>
        <v>455.82920256252265</v>
      </c>
      <c r="AA70" s="1">
        <f t="shared" si="8"/>
        <v>596.23910759302396</v>
      </c>
      <c r="AB70" s="1">
        <f t="shared" si="8"/>
        <v>295.96022618973575</v>
      </c>
      <c r="AC70" s="1">
        <f t="shared" si="8"/>
        <v>67.942553282927193</v>
      </c>
      <c r="AD70" s="1">
        <f t="shared" si="8"/>
        <v>96.558471319182118</v>
      </c>
      <c r="AE70" s="1">
        <f t="shared" si="8"/>
        <v>343.86748024853443</v>
      </c>
      <c r="AF70" s="1">
        <f t="shared" si="8"/>
        <v>281.18845620463583</v>
      </c>
      <c r="AG70" s="1">
        <f t="shared" si="8"/>
        <v>917.4372022271923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 x14ac:dyDescent="0.45">
      <c r="A71">
        <v>335.82089896048655</v>
      </c>
      <c r="Q71">
        <v>335.82089896048655</v>
      </c>
      <c r="R71" s="1">
        <f t="shared" si="9"/>
        <v>59.342696603522882</v>
      </c>
      <c r="S71" s="1">
        <f t="shared" si="10"/>
        <v>473.80666636238794</v>
      </c>
      <c r="T71" s="1">
        <f t="shared" si="8"/>
        <v>297.27969468721159</v>
      </c>
      <c r="U71" s="1">
        <f t="shared" si="8"/>
        <v>98.255300531989789</v>
      </c>
      <c r="V71" s="1">
        <f t="shared" si="8"/>
        <v>518.62926994183226</v>
      </c>
      <c r="W71" s="1">
        <f t="shared" si="8"/>
        <v>93.97636635450155</v>
      </c>
      <c r="X71" s="1">
        <f t="shared" si="8"/>
        <v>142.43278079553824</v>
      </c>
      <c r="Y71" s="1">
        <f t="shared" si="8"/>
        <v>455.82920256252265</v>
      </c>
      <c r="Z71" s="1">
        <f t="shared" si="8"/>
        <v>596.23910759302396</v>
      </c>
      <c r="AA71" s="1">
        <f t="shared" si="8"/>
        <v>295.96022618973575</v>
      </c>
      <c r="AB71" s="1">
        <f t="shared" si="8"/>
        <v>67.942553282927193</v>
      </c>
      <c r="AC71" s="1">
        <f t="shared" si="8"/>
        <v>96.558471319182118</v>
      </c>
      <c r="AD71" s="1">
        <f t="shared" si="8"/>
        <v>343.86748024853443</v>
      </c>
      <c r="AE71" s="1">
        <f t="shared" si="8"/>
        <v>281.18845620463583</v>
      </c>
      <c r="AF71" s="1">
        <f t="shared" si="8"/>
        <v>917.4372022271923</v>
      </c>
      <c r="AG71" s="1">
        <f t="shared" si="8"/>
        <v>262.43180773473506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 x14ac:dyDescent="0.45">
      <c r="A72">
        <v>473.80666636238794</v>
      </c>
      <c r="Q72">
        <v>473.80666636238794</v>
      </c>
      <c r="R72" s="1">
        <f t="shared" si="9"/>
        <v>197.32846400542428</v>
      </c>
      <c r="S72" s="1">
        <f t="shared" si="10"/>
        <v>297.27969468721159</v>
      </c>
      <c r="T72" s="1">
        <f t="shared" si="8"/>
        <v>98.255300531989789</v>
      </c>
      <c r="U72" s="1">
        <f t="shared" si="8"/>
        <v>518.62926994183226</v>
      </c>
      <c r="V72" s="1">
        <f t="shared" si="8"/>
        <v>93.97636635450155</v>
      </c>
      <c r="W72" s="1">
        <f t="shared" si="8"/>
        <v>142.43278079553824</v>
      </c>
      <c r="X72" s="1">
        <f t="shared" si="8"/>
        <v>455.82920256252265</v>
      </c>
      <c r="Y72" s="1">
        <f t="shared" si="8"/>
        <v>596.23910759302396</v>
      </c>
      <c r="Z72" s="1">
        <f t="shared" si="8"/>
        <v>295.96022618973575</v>
      </c>
      <c r="AA72" s="1">
        <f t="shared" si="8"/>
        <v>67.942553282927193</v>
      </c>
      <c r="AB72" s="1">
        <f t="shared" si="8"/>
        <v>96.558471319182118</v>
      </c>
      <c r="AC72" s="1">
        <f t="shared" si="8"/>
        <v>343.86748024853443</v>
      </c>
      <c r="AD72" s="1">
        <f t="shared" si="8"/>
        <v>281.18845620463583</v>
      </c>
      <c r="AE72" s="1">
        <f t="shared" si="8"/>
        <v>917.4372022271923</v>
      </c>
      <c r="AF72" s="1">
        <f t="shared" si="8"/>
        <v>262.43180773473506</v>
      </c>
      <c r="AG72" s="1">
        <f t="shared" si="8"/>
        <v>524.45340443223631</v>
      </c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 x14ac:dyDescent="0.45">
      <c r="A73">
        <v>297.27969468721159</v>
      </c>
      <c r="Q73">
        <v>297.27969468721159</v>
      </c>
      <c r="R73" s="1">
        <f t="shared" si="9"/>
        <v>20.801492330247925</v>
      </c>
      <c r="S73" s="1">
        <f t="shared" si="10"/>
        <v>98.255300531989789</v>
      </c>
      <c r="T73" s="1">
        <f t="shared" si="8"/>
        <v>518.62926994183226</v>
      </c>
      <c r="U73" s="1">
        <f t="shared" si="8"/>
        <v>93.97636635450155</v>
      </c>
      <c r="V73" s="1">
        <f t="shared" si="8"/>
        <v>142.43278079553824</v>
      </c>
      <c r="W73" s="1">
        <f t="shared" si="8"/>
        <v>455.82920256252265</v>
      </c>
      <c r="X73" s="1">
        <f t="shared" si="8"/>
        <v>596.23910759302396</v>
      </c>
      <c r="Y73" s="1">
        <f t="shared" si="8"/>
        <v>295.96022618973575</v>
      </c>
      <c r="Z73" s="1">
        <f t="shared" si="8"/>
        <v>67.942553282927193</v>
      </c>
      <c r="AA73" s="1">
        <f t="shared" si="8"/>
        <v>96.558471319182118</v>
      </c>
      <c r="AB73" s="1">
        <f t="shared" si="8"/>
        <v>343.86748024853443</v>
      </c>
      <c r="AC73" s="1">
        <f t="shared" si="8"/>
        <v>281.18845620463583</v>
      </c>
      <c r="AD73" s="1">
        <f t="shared" si="8"/>
        <v>917.4372022271923</v>
      </c>
      <c r="AE73" s="1">
        <f t="shared" si="8"/>
        <v>262.43180773473506</v>
      </c>
      <c r="AF73" s="1">
        <f t="shared" si="8"/>
        <v>524.45340443223631</v>
      </c>
      <c r="AG73" s="1">
        <f t="shared" si="8"/>
        <v>134.02595032352656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 x14ac:dyDescent="0.45">
      <c r="A74">
        <v>98.255300531989789</v>
      </c>
      <c r="Q74">
        <v>98.255300531989789</v>
      </c>
      <c r="R74" s="1">
        <f t="shared" si="9"/>
        <v>-178.22290182497386</v>
      </c>
      <c r="S74" s="1">
        <f t="shared" si="10"/>
        <v>518.62926994183226</v>
      </c>
      <c r="T74" s="1">
        <f t="shared" si="8"/>
        <v>93.97636635450155</v>
      </c>
      <c r="U74" s="1">
        <f t="shared" si="8"/>
        <v>142.43278079553824</v>
      </c>
      <c r="V74" s="1">
        <f t="shared" si="8"/>
        <v>455.82920256252265</v>
      </c>
      <c r="W74" s="1">
        <f t="shared" si="8"/>
        <v>596.23910759302396</v>
      </c>
      <c r="X74" s="1">
        <f t="shared" si="8"/>
        <v>295.96022618973575</v>
      </c>
      <c r="Y74" s="1">
        <f t="shared" si="8"/>
        <v>67.942553282927193</v>
      </c>
      <c r="Z74" s="1">
        <f t="shared" si="8"/>
        <v>96.558471319182118</v>
      </c>
      <c r="AA74" s="1">
        <f t="shared" si="8"/>
        <v>343.86748024853443</v>
      </c>
      <c r="AB74" s="1">
        <f t="shared" si="8"/>
        <v>281.18845620463583</v>
      </c>
      <c r="AC74" s="1">
        <f t="shared" si="8"/>
        <v>917.4372022271923</v>
      </c>
      <c r="AD74" s="1">
        <f t="shared" si="8"/>
        <v>262.43180773473506</v>
      </c>
      <c r="AE74" s="1">
        <f t="shared" si="8"/>
        <v>524.45340443223631</v>
      </c>
      <c r="AF74" s="1">
        <f t="shared" si="8"/>
        <v>134.02595032352656</v>
      </c>
      <c r="AG74" s="1">
        <f t="shared" si="8"/>
        <v>396.88023212302858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 x14ac:dyDescent="0.45">
      <c r="A75">
        <v>518.62926994183226</v>
      </c>
      <c r="Q75">
        <v>518.62926994183226</v>
      </c>
      <c r="R75" s="1">
        <f t="shared" si="9"/>
        <v>242.1510675848686</v>
      </c>
      <c r="S75" s="1">
        <f t="shared" si="10"/>
        <v>93.97636635450155</v>
      </c>
      <c r="T75" s="1">
        <f t="shared" si="8"/>
        <v>142.43278079553824</v>
      </c>
      <c r="U75" s="1">
        <f t="shared" si="8"/>
        <v>455.82920256252265</v>
      </c>
      <c r="V75" s="1">
        <f t="shared" si="8"/>
        <v>596.23910759302396</v>
      </c>
      <c r="W75" s="1">
        <f t="shared" si="8"/>
        <v>295.96022618973575</v>
      </c>
      <c r="X75" s="1">
        <f t="shared" si="8"/>
        <v>67.942553282927193</v>
      </c>
      <c r="Y75" s="1">
        <f t="shared" si="8"/>
        <v>96.558471319182118</v>
      </c>
      <c r="Z75" s="1">
        <f t="shared" si="8"/>
        <v>343.86748024853443</v>
      </c>
      <c r="AA75" s="1">
        <f t="shared" si="8"/>
        <v>281.18845620463583</v>
      </c>
      <c r="AB75" s="1">
        <f t="shared" si="8"/>
        <v>917.4372022271923</v>
      </c>
      <c r="AC75" s="1">
        <f t="shared" si="8"/>
        <v>262.43180773473506</v>
      </c>
      <c r="AD75" s="1">
        <f t="shared" si="8"/>
        <v>524.45340443223631</v>
      </c>
      <c r="AE75" s="1">
        <f t="shared" si="8"/>
        <v>134.02595032352656</v>
      </c>
      <c r="AF75" s="1">
        <f t="shared" si="8"/>
        <v>396.88023212302858</v>
      </c>
      <c r="AG75" s="1">
        <f t="shared" si="8"/>
        <v>141.09243653739904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 x14ac:dyDescent="0.45">
      <c r="A76">
        <v>93.97636635450155</v>
      </c>
      <c r="Q76">
        <v>93.97636635450155</v>
      </c>
      <c r="R76" s="1">
        <f t="shared" si="9"/>
        <v>-182.50183600246211</v>
      </c>
      <c r="S76" s="1">
        <f t="shared" si="10"/>
        <v>142.43278079553824</v>
      </c>
      <c r="T76" s="1">
        <f t="shared" si="8"/>
        <v>455.82920256252265</v>
      </c>
      <c r="U76" s="1">
        <f t="shared" si="8"/>
        <v>596.23910759302396</v>
      </c>
      <c r="V76" s="1">
        <f t="shared" si="8"/>
        <v>295.96022618973575</v>
      </c>
      <c r="W76" s="1">
        <f t="shared" si="8"/>
        <v>67.942553282927193</v>
      </c>
      <c r="X76" s="1">
        <f t="shared" si="8"/>
        <v>96.558471319182118</v>
      </c>
      <c r="Y76" s="1">
        <f t="shared" si="8"/>
        <v>343.86748024853443</v>
      </c>
      <c r="Z76" s="1">
        <f t="shared" si="8"/>
        <v>281.18845620463583</v>
      </c>
      <c r="AA76" s="1">
        <f t="shared" si="8"/>
        <v>917.4372022271923</v>
      </c>
      <c r="AB76" s="1">
        <f t="shared" si="8"/>
        <v>262.43180773473506</v>
      </c>
      <c r="AC76" s="1">
        <f t="shared" si="8"/>
        <v>524.45340443223631</v>
      </c>
      <c r="AD76" s="1">
        <f t="shared" si="8"/>
        <v>134.02595032352656</v>
      </c>
      <c r="AE76" s="1">
        <f t="shared" si="8"/>
        <v>396.88023212302858</v>
      </c>
      <c r="AF76" s="1">
        <f t="shared" si="8"/>
        <v>141.09243653739904</v>
      </c>
      <c r="AG76" s="1">
        <f t="shared" si="8"/>
        <v>218.46556492072142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 x14ac:dyDescent="0.45">
      <c r="A77">
        <v>142.43278079553824</v>
      </c>
      <c r="Q77">
        <v>142.43278079553824</v>
      </c>
      <c r="R77" s="1">
        <f t="shared" si="9"/>
        <v>-134.04542156142543</v>
      </c>
      <c r="S77" s="1">
        <f t="shared" si="10"/>
        <v>455.82920256252265</v>
      </c>
      <c r="T77" s="1">
        <f t="shared" si="8"/>
        <v>596.23910759302396</v>
      </c>
      <c r="U77" s="1">
        <f t="shared" si="8"/>
        <v>295.96022618973575</v>
      </c>
      <c r="V77" s="1">
        <f t="shared" si="8"/>
        <v>67.942553282927193</v>
      </c>
      <c r="W77" s="1">
        <f t="shared" si="8"/>
        <v>96.558471319182118</v>
      </c>
      <c r="X77" s="1">
        <f t="shared" si="8"/>
        <v>343.86748024853443</v>
      </c>
      <c r="Y77" s="1">
        <f t="shared" si="8"/>
        <v>281.18845620463583</v>
      </c>
      <c r="Z77" s="1">
        <f t="shared" si="8"/>
        <v>917.4372022271923</v>
      </c>
      <c r="AA77" s="1">
        <f t="shared" si="8"/>
        <v>262.43180773473506</v>
      </c>
      <c r="AB77" s="1">
        <f t="shared" si="8"/>
        <v>524.45340443223631</v>
      </c>
      <c r="AC77" s="1">
        <f t="shared" si="8"/>
        <v>134.02595032352656</v>
      </c>
      <c r="AD77" s="1">
        <f t="shared" si="8"/>
        <v>396.88023212302858</v>
      </c>
      <c r="AE77" s="1">
        <f t="shared" si="8"/>
        <v>141.09243653739904</v>
      </c>
      <c r="AF77" s="1">
        <f t="shared" si="8"/>
        <v>218.46556492072142</v>
      </c>
      <c r="AG77" s="1">
        <f t="shared" si="8"/>
        <v>44.628549494627542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 x14ac:dyDescent="0.45">
      <c r="A78">
        <v>455.82920256252265</v>
      </c>
      <c r="Q78">
        <v>455.82920256252265</v>
      </c>
      <c r="R78" s="1">
        <f t="shared" si="9"/>
        <v>179.35100020555899</v>
      </c>
      <c r="S78" s="1">
        <f t="shared" si="10"/>
        <v>596.23910759302396</v>
      </c>
      <c r="T78" s="1">
        <f t="shared" si="8"/>
        <v>295.96022618973575</v>
      </c>
      <c r="U78" s="1">
        <f t="shared" si="8"/>
        <v>67.942553282927193</v>
      </c>
      <c r="V78" s="1">
        <f t="shared" si="8"/>
        <v>96.558471319182118</v>
      </c>
      <c r="W78" s="1">
        <f t="shared" si="8"/>
        <v>343.86748024853443</v>
      </c>
      <c r="X78" s="1">
        <f t="shared" si="8"/>
        <v>281.18845620463583</v>
      </c>
      <c r="Y78" s="1">
        <f t="shared" si="8"/>
        <v>917.4372022271923</v>
      </c>
      <c r="Z78" s="1">
        <f t="shared" si="8"/>
        <v>262.43180773473506</v>
      </c>
      <c r="AA78" s="1">
        <f t="shared" si="8"/>
        <v>524.45340443223631</v>
      </c>
      <c r="AB78" s="1">
        <f t="shared" si="8"/>
        <v>134.02595032352656</v>
      </c>
      <c r="AC78" s="1">
        <f t="shared" si="8"/>
        <v>396.88023212302858</v>
      </c>
      <c r="AD78" s="1">
        <f t="shared" si="8"/>
        <v>141.09243653739904</v>
      </c>
      <c r="AE78" s="1">
        <f t="shared" si="8"/>
        <v>218.46556492072142</v>
      </c>
      <c r="AF78" s="1">
        <f t="shared" si="8"/>
        <v>44.628549494627542</v>
      </c>
      <c r="AG78" s="1">
        <f t="shared" si="8"/>
        <v>71.435914829738323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 x14ac:dyDescent="0.45">
      <c r="A79">
        <v>596.23910759302396</v>
      </c>
      <c r="Q79">
        <v>596.23910759302396</v>
      </c>
      <c r="R79" s="1">
        <f t="shared" si="9"/>
        <v>319.7609052360603</v>
      </c>
      <c r="S79" s="1">
        <f t="shared" si="10"/>
        <v>295.96022618973575</v>
      </c>
      <c r="T79" s="1">
        <f t="shared" si="8"/>
        <v>67.942553282927193</v>
      </c>
      <c r="U79" s="1">
        <f t="shared" si="8"/>
        <v>96.558471319182118</v>
      </c>
      <c r="V79" s="1">
        <f t="shared" si="8"/>
        <v>343.86748024853443</v>
      </c>
      <c r="W79" s="1">
        <f t="shared" si="8"/>
        <v>281.18845620463583</v>
      </c>
      <c r="X79" s="1">
        <f t="shared" si="8"/>
        <v>917.4372022271923</v>
      </c>
      <c r="Y79" s="1">
        <f t="shared" si="8"/>
        <v>262.43180773473506</v>
      </c>
      <c r="Z79" s="1">
        <f t="shared" si="8"/>
        <v>524.45340443223631</v>
      </c>
      <c r="AA79" s="1">
        <f t="shared" si="8"/>
        <v>134.02595032352656</v>
      </c>
      <c r="AB79" s="1">
        <f t="shared" si="8"/>
        <v>396.88023212302858</v>
      </c>
      <c r="AC79" s="1">
        <f t="shared" si="8"/>
        <v>141.09243653739904</v>
      </c>
      <c r="AD79" s="1">
        <f t="shared" si="8"/>
        <v>218.46556492072142</v>
      </c>
      <c r="AE79" s="1">
        <f t="shared" si="8"/>
        <v>44.628549494627542</v>
      </c>
      <c r="AF79" s="1">
        <f t="shared" si="8"/>
        <v>71.435914829738323</v>
      </c>
      <c r="AG79" s="1">
        <f t="shared" si="8"/>
        <v>76.092501582313901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 x14ac:dyDescent="0.45">
      <c r="A80">
        <v>295.96022618973575</v>
      </c>
      <c r="Q80">
        <v>295.96022618973575</v>
      </c>
      <c r="R80" s="1">
        <f t="shared" si="9"/>
        <v>19.482023832772086</v>
      </c>
      <c r="S80" s="1">
        <f t="shared" si="10"/>
        <v>67.942553282927193</v>
      </c>
      <c r="T80" s="1">
        <f t="shared" si="8"/>
        <v>96.558471319182118</v>
      </c>
      <c r="U80" s="1">
        <f t="shared" si="8"/>
        <v>343.86748024853443</v>
      </c>
      <c r="V80" s="1">
        <f t="shared" si="8"/>
        <v>281.18845620463583</v>
      </c>
      <c r="W80" s="1">
        <f t="shared" si="8"/>
        <v>917.4372022271923</v>
      </c>
      <c r="X80" s="1">
        <f t="shared" si="8"/>
        <v>262.43180773473506</v>
      </c>
      <c r="Y80" s="1">
        <f t="shared" si="8"/>
        <v>524.45340443223631</v>
      </c>
      <c r="Z80" s="1">
        <f t="shared" si="8"/>
        <v>134.02595032352656</v>
      </c>
      <c r="AA80" s="1">
        <f t="shared" si="8"/>
        <v>396.88023212302858</v>
      </c>
      <c r="AB80" s="1">
        <f t="shared" si="8"/>
        <v>141.09243653739904</v>
      </c>
      <c r="AC80" s="1">
        <f t="shared" si="8"/>
        <v>218.46556492072142</v>
      </c>
      <c r="AD80" s="1">
        <f t="shared" si="8"/>
        <v>44.628549494627542</v>
      </c>
      <c r="AE80" s="1">
        <f t="shared" si="8"/>
        <v>71.435914829738323</v>
      </c>
      <c r="AF80" s="1">
        <f t="shared" si="8"/>
        <v>76.092501582313901</v>
      </c>
      <c r="AG80" s="1">
        <f t="shared" si="8"/>
        <v>228.21227440928192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 x14ac:dyDescent="0.45">
      <c r="A81">
        <v>67.942553282927193</v>
      </c>
      <c r="Q81">
        <v>67.942553282927193</v>
      </c>
      <c r="R81" s="1">
        <f t="shared" si="9"/>
        <v>-208.53564907403648</v>
      </c>
      <c r="S81" s="1">
        <f t="shared" si="10"/>
        <v>96.558471319182118</v>
      </c>
      <c r="T81" s="1">
        <f t="shared" si="8"/>
        <v>343.86748024853443</v>
      </c>
      <c r="U81" s="1">
        <f t="shared" si="8"/>
        <v>281.18845620463583</v>
      </c>
      <c r="V81" s="1">
        <f t="shared" si="8"/>
        <v>917.4372022271923</v>
      </c>
      <c r="W81" s="1">
        <f t="shared" si="8"/>
        <v>262.43180773473506</v>
      </c>
      <c r="X81" s="1">
        <f t="shared" si="8"/>
        <v>524.45340443223631</v>
      </c>
      <c r="Y81" s="1">
        <f t="shared" si="8"/>
        <v>134.02595032352656</v>
      </c>
      <c r="Z81" s="1">
        <f t="shared" si="8"/>
        <v>396.88023212302858</v>
      </c>
      <c r="AA81" s="1">
        <f t="shared" si="8"/>
        <v>141.09243653739904</v>
      </c>
      <c r="AB81" s="1">
        <f t="shared" si="8"/>
        <v>218.46556492072142</v>
      </c>
      <c r="AC81" s="1">
        <f t="shared" si="8"/>
        <v>44.628549494627542</v>
      </c>
      <c r="AD81" s="1">
        <f t="shared" si="8"/>
        <v>71.435914829738323</v>
      </c>
      <c r="AE81" s="1">
        <f t="shared" si="8"/>
        <v>76.092501582313901</v>
      </c>
      <c r="AF81" s="1">
        <f t="shared" si="8"/>
        <v>228.21227440928192</v>
      </c>
      <c r="AG81" s="1">
        <f t="shared" si="8"/>
        <v>164.19817093997014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 x14ac:dyDescent="0.45">
      <c r="A82">
        <v>96.558471319182118</v>
      </c>
      <c r="Q82">
        <v>96.558471319182118</v>
      </c>
      <c r="R82" s="1">
        <f t="shared" si="9"/>
        <v>-179.91973103778156</v>
      </c>
      <c r="S82" s="1">
        <f t="shared" si="10"/>
        <v>343.86748024853443</v>
      </c>
      <c r="T82" s="1">
        <f t="shared" si="8"/>
        <v>281.18845620463583</v>
      </c>
      <c r="U82" s="1">
        <f t="shared" si="8"/>
        <v>917.4372022271923</v>
      </c>
      <c r="V82" s="1">
        <f t="shared" si="8"/>
        <v>262.43180773473506</v>
      </c>
      <c r="W82" s="1">
        <f t="shared" si="8"/>
        <v>524.45340443223631</v>
      </c>
      <c r="X82" s="1">
        <f t="shared" si="8"/>
        <v>134.02595032352656</v>
      </c>
      <c r="Y82" s="1">
        <f t="shared" si="8"/>
        <v>396.88023212302858</v>
      </c>
      <c r="Z82" s="1">
        <f t="shared" si="8"/>
        <v>141.09243653739904</v>
      </c>
      <c r="AA82" s="1">
        <f t="shared" si="8"/>
        <v>218.46556492072142</v>
      </c>
      <c r="AB82" s="1">
        <f t="shared" si="8"/>
        <v>44.628549494627542</v>
      </c>
      <c r="AC82" s="1">
        <f t="shared" si="8"/>
        <v>71.435914829738323</v>
      </c>
      <c r="AD82" s="1">
        <f t="shared" si="8"/>
        <v>76.092501582313901</v>
      </c>
      <c r="AE82" s="1">
        <f t="shared" si="8"/>
        <v>228.21227440928192</v>
      </c>
      <c r="AF82" s="1">
        <f t="shared" si="8"/>
        <v>164.19817093997014</v>
      </c>
      <c r="AG82" s="1">
        <f t="shared" si="8"/>
        <v>386.67439941582165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 x14ac:dyDescent="0.45">
      <c r="A83">
        <v>343.86748024853443</v>
      </c>
      <c r="Q83">
        <v>343.86748024853443</v>
      </c>
      <c r="R83" s="1">
        <f t="shared" si="9"/>
        <v>67.389277891570771</v>
      </c>
      <c r="S83" s="1">
        <f t="shared" si="10"/>
        <v>281.18845620463583</v>
      </c>
      <c r="T83" s="1">
        <f t="shared" si="8"/>
        <v>917.4372022271923</v>
      </c>
      <c r="U83" s="1">
        <f t="shared" si="8"/>
        <v>262.43180773473506</v>
      </c>
      <c r="V83" s="1">
        <f t="shared" si="8"/>
        <v>524.45340443223631</v>
      </c>
      <c r="W83" s="1">
        <f t="shared" si="8"/>
        <v>134.02595032352656</v>
      </c>
      <c r="X83" s="1">
        <f t="shared" si="8"/>
        <v>396.88023212302858</v>
      </c>
      <c r="Y83" s="1">
        <f t="shared" si="8"/>
        <v>141.09243653739904</v>
      </c>
      <c r="Z83" s="1">
        <f t="shared" si="8"/>
        <v>218.46556492072142</v>
      </c>
      <c r="AA83" s="1">
        <f t="shared" si="8"/>
        <v>44.628549494627542</v>
      </c>
      <c r="AB83" s="1">
        <f t="shared" si="8"/>
        <v>71.435914829738323</v>
      </c>
      <c r="AC83" s="1">
        <f t="shared" si="8"/>
        <v>76.092501582313901</v>
      </c>
      <c r="AD83" s="1">
        <f t="shared" si="8"/>
        <v>228.21227440928192</v>
      </c>
      <c r="AE83" s="1">
        <f t="shared" si="8"/>
        <v>164.19817093997014</v>
      </c>
      <c r="AF83" s="1">
        <f t="shared" si="8"/>
        <v>386.67439941582165</v>
      </c>
      <c r="AG83" s="1">
        <f t="shared" si="8"/>
        <v>227.77808120394292</v>
      </c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 x14ac:dyDescent="0.45">
      <c r="A84">
        <v>281.18845620463583</v>
      </c>
      <c r="Q84">
        <v>281.18845620463583</v>
      </c>
      <c r="R84" s="1">
        <f t="shared" si="9"/>
        <v>4.7102538476721634</v>
      </c>
      <c r="S84" s="1">
        <f t="shared" si="10"/>
        <v>917.4372022271923</v>
      </c>
      <c r="T84" s="1">
        <f t="shared" si="8"/>
        <v>262.43180773473506</v>
      </c>
      <c r="U84" s="1">
        <f t="shared" si="8"/>
        <v>524.45340443223631</v>
      </c>
      <c r="V84" s="1">
        <f t="shared" si="8"/>
        <v>134.02595032352656</v>
      </c>
      <c r="W84" s="1">
        <f t="shared" si="8"/>
        <v>396.88023212302858</v>
      </c>
      <c r="X84" s="1">
        <f t="shared" si="8"/>
        <v>141.09243653739904</v>
      </c>
      <c r="Y84" s="1">
        <f t="shared" si="8"/>
        <v>218.46556492072142</v>
      </c>
      <c r="Z84" s="1">
        <f t="shared" si="8"/>
        <v>44.628549494627542</v>
      </c>
      <c r="AA84" s="1">
        <f t="shared" si="8"/>
        <v>71.435914829738323</v>
      </c>
      <c r="AB84" s="1">
        <f t="shared" si="8"/>
        <v>76.092501582313901</v>
      </c>
      <c r="AC84" s="1">
        <f t="shared" si="8"/>
        <v>228.21227440928192</v>
      </c>
      <c r="AD84" s="1">
        <f t="shared" si="8"/>
        <v>164.19817093997014</v>
      </c>
      <c r="AE84" s="1">
        <f t="shared" si="8"/>
        <v>386.67439941582165</v>
      </c>
      <c r="AF84" s="1">
        <f t="shared" si="8"/>
        <v>227.77808120394292</v>
      </c>
      <c r="AG84" s="1">
        <f t="shared" si="8"/>
        <v>90.238303630962534</v>
      </c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 x14ac:dyDescent="0.45">
      <c r="A85">
        <v>917.4372022271923</v>
      </c>
      <c r="Q85">
        <v>917.4372022271923</v>
      </c>
      <c r="R85" s="1">
        <f t="shared" si="9"/>
        <v>640.95899987022858</v>
      </c>
      <c r="S85" s="1">
        <f t="shared" si="10"/>
        <v>262.43180773473506</v>
      </c>
      <c r="T85" s="1">
        <f t="shared" si="8"/>
        <v>524.45340443223631</v>
      </c>
      <c r="U85" s="1">
        <f t="shared" si="8"/>
        <v>134.02595032352656</v>
      </c>
      <c r="V85" s="1">
        <f t="shared" si="8"/>
        <v>396.88023212302858</v>
      </c>
      <c r="W85" s="1">
        <f t="shared" si="8"/>
        <v>141.09243653739904</v>
      </c>
      <c r="X85" s="1">
        <f t="shared" si="8"/>
        <v>218.46556492072142</v>
      </c>
      <c r="Y85" s="1">
        <f t="shared" si="8"/>
        <v>44.628549494627542</v>
      </c>
      <c r="Z85" s="1">
        <f t="shared" si="8"/>
        <v>71.435914829738323</v>
      </c>
      <c r="AA85" s="1">
        <f t="shared" si="8"/>
        <v>76.092501582313901</v>
      </c>
      <c r="AB85" s="1">
        <f t="shared" si="8"/>
        <v>228.21227440928192</v>
      </c>
      <c r="AC85" s="1">
        <f t="shared" si="8"/>
        <v>164.19817093997014</v>
      </c>
      <c r="AD85" s="1">
        <f t="shared" si="8"/>
        <v>386.67439941582165</v>
      </c>
      <c r="AE85" s="1">
        <f t="shared" si="8"/>
        <v>227.77808120394292</v>
      </c>
      <c r="AF85" s="1">
        <f t="shared" si="8"/>
        <v>90.238303630962534</v>
      </c>
      <c r="AG85" s="1">
        <f t="shared" si="8"/>
        <v>49.362781749031946</v>
      </c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 x14ac:dyDescent="0.45">
      <c r="A86">
        <v>262.43180773473506</v>
      </c>
      <c r="Q86">
        <v>262.43180773473506</v>
      </c>
      <c r="R86" s="1">
        <f t="shared" si="9"/>
        <v>-14.046394622228604</v>
      </c>
      <c r="S86" s="1">
        <f t="shared" si="10"/>
        <v>524.45340443223631</v>
      </c>
      <c r="T86" s="1">
        <f t="shared" si="8"/>
        <v>134.02595032352656</v>
      </c>
      <c r="U86" s="1">
        <f t="shared" si="8"/>
        <v>396.88023212302858</v>
      </c>
      <c r="V86" s="1">
        <f t="shared" si="8"/>
        <v>141.09243653739904</v>
      </c>
      <c r="W86" s="1">
        <f t="shared" si="8"/>
        <v>218.46556492072142</v>
      </c>
      <c r="X86" s="1">
        <f t="shared" si="8"/>
        <v>44.628549494627542</v>
      </c>
      <c r="Y86" s="1">
        <f t="shared" ref="Y86:AG86" si="11">X87</f>
        <v>71.435914829738323</v>
      </c>
      <c r="Z86" s="1">
        <f t="shared" si="11"/>
        <v>76.092501582313901</v>
      </c>
      <c r="AA86" s="1">
        <f t="shared" si="11"/>
        <v>228.21227440928192</v>
      </c>
      <c r="AB86" s="1">
        <f t="shared" si="11"/>
        <v>164.19817093997014</v>
      </c>
      <c r="AC86" s="1">
        <f t="shared" si="11"/>
        <v>386.67439941582165</v>
      </c>
      <c r="AD86" s="1">
        <f t="shared" si="11"/>
        <v>227.77808120394292</v>
      </c>
      <c r="AE86" s="1">
        <f t="shared" si="11"/>
        <v>90.238303630962534</v>
      </c>
      <c r="AF86" s="1">
        <f t="shared" si="11"/>
        <v>49.362781749031946</v>
      </c>
      <c r="AG86" s="1">
        <f t="shared" si="11"/>
        <v>174.2857724255922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 x14ac:dyDescent="0.45">
      <c r="A87">
        <v>524.45340443223631</v>
      </c>
      <c r="Q87">
        <v>524.45340443223631</v>
      </c>
      <c r="R87" s="1">
        <f t="shared" si="9"/>
        <v>247.97520207527265</v>
      </c>
      <c r="S87" s="1">
        <f t="shared" si="10"/>
        <v>134.02595032352656</v>
      </c>
      <c r="T87" s="1">
        <f t="shared" ref="T87:AG105" si="12">S88</f>
        <v>396.88023212302858</v>
      </c>
      <c r="U87" s="1">
        <f t="shared" si="12"/>
        <v>141.09243653739904</v>
      </c>
      <c r="V87" s="1">
        <f t="shared" si="12"/>
        <v>218.46556492072142</v>
      </c>
      <c r="W87" s="1">
        <f t="shared" si="12"/>
        <v>44.628549494627542</v>
      </c>
      <c r="X87" s="1">
        <f t="shared" si="12"/>
        <v>71.435914829738323</v>
      </c>
      <c r="Y87" s="1">
        <f t="shared" si="12"/>
        <v>76.092501582313901</v>
      </c>
      <c r="Z87" s="1">
        <f t="shared" si="12"/>
        <v>228.21227440928192</v>
      </c>
      <c r="AA87" s="1">
        <f t="shared" si="12"/>
        <v>164.19817093997014</v>
      </c>
      <c r="AB87" s="1">
        <f t="shared" si="12"/>
        <v>386.67439941582165</v>
      </c>
      <c r="AC87" s="1">
        <f t="shared" si="12"/>
        <v>227.77808120394292</v>
      </c>
      <c r="AD87" s="1">
        <f t="shared" si="12"/>
        <v>90.238303630962534</v>
      </c>
      <c r="AE87" s="1">
        <f t="shared" si="12"/>
        <v>49.362781749031946</v>
      </c>
      <c r="AF87" s="1">
        <f t="shared" si="12"/>
        <v>174.2857724255922</v>
      </c>
      <c r="AG87" s="1">
        <f t="shared" si="12"/>
        <v>67.204182385311015</v>
      </c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 x14ac:dyDescent="0.45">
      <c r="A88">
        <v>134.02595032352656</v>
      </c>
      <c r="Q88">
        <v>134.02595032352656</v>
      </c>
      <c r="R88" s="1">
        <f t="shared" si="9"/>
        <v>-142.45225203343711</v>
      </c>
      <c r="S88" s="1">
        <f t="shared" si="10"/>
        <v>396.88023212302858</v>
      </c>
      <c r="T88" s="1">
        <f t="shared" si="12"/>
        <v>141.09243653739904</v>
      </c>
      <c r="U88" s="1">
        <f t="shared" si="12"/>
        <v>218.46556492072142</v>
      </c>
      <c r="V88" s="1">
        <f t="shared" si="12"/>
        <v>44.628549494627542</v>
      </c>
      <c r="W88" s="1">
        <f t="shared" si="12"/>
        <v>71.435914829738323</v>
      </c>
      <c r="X88" s="1">
        <f t="shared" si="12"/>
        <v>76.092501582313901</v>
      </c>
      <c r="Y88" s="1">
        <f t="shared" si="12"/>
        <v>228.21227440928192</v>
      </c>
      <c r="Z88" s="1">
        <f t="shared" si="12"/>
        <v>164.19817093997014</v>
      </c>
      <c r="AA88" s="1">
        <f t="shared" si="12"/>
        <v>386.67439941582165</v>
      </c>
      <c r="AB88" s="1">
        <f t="shared" si="12"/>
        <v>227.77808120394292</v>
      </c>
      <c r="AC88" s="1">
        <f t="shared" si="12"/>
        <v>90.238303630962534</v>
      </c>
      <c r="AD88" s="1">
        <f t="shared" si="12"/>
        <v>49.362781749031946</v>
      </c>
      <c r="AE88" s="1">
        <f t="shared" si="12"/>
        <v>174.2857724255922</v>
      </c>
      <c r="AF88" s="1">
        <f t="shared" si="12"/>
        <v>67.204182385311015</v>
      </c>
      <c r="AG88" s="1">
        <f t="shared" si="12"/>
        <v>321.74950872972528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 x14ac:dyDescent="0.45">
      <c r="A89">
        <v>396.88023212302858</v>
      </c>
      <c r="Q89">
        <v>396.88023212302858</v>
      </c>
      <c r="R89" s="1">
        <f t="shared" si="9"/>
        <v>120.40202976606491</v>
      </c>
      <c r="S89" s="1">
        <f t="shared" si="10"/>
        <v>141.09243653739904</v>
      </c>
      <c r="T89" s="1">
        <f t="shared" si="12"/>
        <v>218.46556492072142</v>
      </c>
      <c r="U89" s="1">
        <f t="shared" si="12"/>
        <v>44.628549494627542</v>
      </c>
      <c r="V89" s="1">
        <f t="shared" si="12"/>
        <v>71.435914829738323</v>
      </c>
      <c r="W89" s="1">
        <f t="shared" si="12"/>
        <v>76.092501582313901</v>
      </c>
      <c r="X89" s="1">
        <f t="shared" si="12"/>
        <v>228.21227440928192</v>
      </c>
      <c r="Y89" s="1">
        <f t="shared" si="12"/>
        <v>164.19817093997014</v>
      </c>
      <c r="Z89" s="1">
        <f t="shared" si="12"/>
        <v>386.67439941582165</v>
      </c>
      <c r="AA89" s="1">
        <f t="shared" si="12"/>
        <v>227.77808120394292</v>
      </c>
      <c r="AB89" s="1">
        <f t="shared" si="12"/>
        <v>90.238303630962534</v>
      </c>
      <c r="AC89" s="1">
        <f t="shared" si="12"/>
        <v>49.362781749031946</v>
      </c>
      <c r="AD89" s="1">
        <f t="shared" si="12"/>
        <v>174.2857724255922</v>
      </c>
      <c r="AE89" s="1">
        <f t="shared" si="12"/>
        <v>67.204182385311015</v>
      </c>
      <c r="AF89" s="1">
        <f t="shared" si="12"/>
        <v>321.74950872972528</v>
      </c>
      <c r="AG89" s="1">
        <f t="shared" si="12"/>
        <v>206.96341547082537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 x14ac:dyDescent="0.45">
      <c r="A90">
        <v>141.09243653739904</v>
      </c>
      <c r="Q90">
        <v>141.09243653739904</v>
      </c>
      <c r="R90" s="1">
        <f t="shared" si="9"/>
        <v>-135.38576581956463</v>
      </c>
      <c r="S90" s="1">
        <f t="shared" si="10"/>
        <v>218.46556492072142</v>
      </c>
      <c r="T90" s="1">
        <f t="shared" si="12"/>
        <v>44.628549494627542</v>
      </c>
      <c r="U90" s="1">
        <f t="shared" si="12"/>
        <v>71.435914829738323</v>
      </c>
      <c r="V90" s="1">
        <f t="shared" si="12"/>
        <v>76.092501582313901</v>
      </c>
      <c r="W90" s="1">
        <f t="shared" si="12"/>
        <v>228.21227440928192</v>
      </c>
      <c r="X90" s="1">
        <f t="shared" si="12"/>
        <v>164.19817093997014</v>
      </c>
      <c r="Y90" s="1">
        <f t="shared" si="12"/>
        <v>386.67439941582165</v>
      </c>
      <c r="Z90" s="1">
        <f t="shared" si="12"/>
        <v>227.77808120394292</v>
      </c>
      <c r="AA90" s="1">
        <f t="shared" si="12"/>
        <v>90.238303630962534</v>
      </c>
      <c r="AB90" s="1">
        <f t="shared" si="12"/>
        <v>49.362781749031946</v>
      </c>
      <c r="AC90" s="1">
        <f t="shared" si="12"/>
        <v>174.2857724255922</v>
      </c>
      <c r="AD90" s="1">
        <f t="shared" si="12"/>
        <v>67.204182385311015</v>
      </c>
      <c r="AE90" s="1">
        <f t="shared" si="12"/>
        <v>321.74950872972528</v>
      </c>
      <c r="AF90" s="1">
        <f t="shared" si="12"/>
        <v>206.96341547082537</v>
      </c>
      <c r="AG90" s="1">
        <f t="shared" si="12"/>
        <v>475.33281283571608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 x14ac:dyDescent="0.45">
      <c r="A91">
        <v>218.46556492072142</v>
      </c>
      <c r="Q91">
        <v>218.46556492072142</v>
      </c>
      <c r="R91" s="1">
        <f t="shared" si="9"/>
        <v>-58.012637436242244</v>
      </c>
      <c r="S91" s="1">
        <f t="shared" si="10"/>
        <v>44.628549494627542</v>
      </c>
      <c r="T91" s="1">
        <f t="shared" si="12"/>
        <v>71.435914829738323</v>
      </c>
      <c r="U91" s="1">
        <f t="shared" si="12"/>
        <v>76.092501582313901</v>
      </c>
      <c r="V91" s="1">
        <f t="shared" si="12"/>
        <v>228.21227440928192</v>
      </c>
      <c r="W91" s="1">
        <f t="shared" si="12"/>
        <v>164.19817093997014</v>
      </c>
      <c r="X91" s="1">
        <f t="shared" si="12"/>
        <v>386.67439941582165</v>
      </c>
      <c r="Y91" s="1">
        <f t="shared" si="12"/>
        <v>227.77808120394292</v>
      </c>
      <c r="Z91" s="1">
        <f t="shared" si="12"/>
        <v>90.238303630962534</v>
      </c>
      <c r="AA91" s="1">
        <f t="shared" si="12"/>
        <v>49.362781749031946</v>
      </c>
      <c r="AB91" s="1">
        <f t="shared" si="12"/>
        <v>174.2857724255922</v>
      </c>
      <c r="AC91" s="1">
        <f t="shared" si="12"/>
        <v>67.204182385311015</v>
      </c>
      <c r="AD91" s="1">
        <f t="shared" si="12"/>
        <v>321.74950872972528</v>
      </c>
      <c r="AE91" s="1">
        <f t="shared" si="12"/>
        <v>206.96341547082537</v>
      </c>
      <c r="AF91" s="1">
        <f t="shared" si="12"/>
        <v>475.33281283571608</v>
      </c>
      <c r="AG91" s="1">
        <f t="shared" si="12"/>
        <v>562.61973907776724</v>
      </c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 x14ac:dyDescent="0.45">
      <c r="A92">
        <v>44.628549494627542</v>
      </c>
      <c r="Q92">
        <v>44.628549494627542</v>
      </c>
      <c r="R92" s="1">
        <f t="shared" si="9"/>
        <v>-231.84965286233611</v>
      </c>
      <c r="S92" s="1">
        <f t="shared" si="10"/>
        <v>71.435914829738323</v>
      </c>
      <c r="T92" s="1">
        <f t="shared" si="12"/>
        <v>76.092501582313901</v>
      </c>
      <c r="U92" s="1">
        <f t="shared" si="12"/>
        <v>228.21227440928192</v>
      </c>
      <c r="V92" s="1">
        <f t="shared" si="12"/>
        <v>164.19817093997014</v>
      </c>
      <c r="W92" s="1">
        <f t="shared" si="12"/>
        <v>386.67439941582165</v>
      </c>
      <c r="X92" s="1">
        <f t="shared" si="12"/>
        <v>227.77808120394292</v>
      </c>
      <c r="Y92" s="1">
        <f t="shared" si="12"/>
        <v>90.238303630962534</v>
      </c>
      <c r="Z92" s="1">
        <f t="shared" si="12"/>
        <v>49.362781749031946</v>
      </c>
      <c r="AA92" s="1">
        <f t="shared" si="12"/>
        <v>174.2857724255922</v>
      </c>
      <c r="AB92" s="1">
        <f t="shared" si="12"/>
        <v>67.204182385311015</v>
      </c>
      <c r="AC92" s="1">
        <f t="shared" si="12"/>
        <v>321.74950872972528</v>
      </c>
      <c r="AD92" s="1">
        <f t="shared" si="12"/>
        <v>206.96341547082537</v>
      </c>
      <c r="AE92" s="1">
        <f t="shared" si="12"/>
        <v>475.33281283571608</v>
      </c>
      <c r="AF92" s="1">
        <f t="shared" si="12"/>
        <v>562.61973907776724</v>
      </c>
      <c r="AG92" s="1">
        <f t="shared" si="12"/>
        <v>135.43318257134754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 x14ac:dyDescent="0.45">
      <c r="A93">
        <v>71.435914829738323</v>
      </c>
      <c r="Q93">
        <v>71.435914829738323</v>
      </c>
      <c r="R93" s="1">
        <f t="shared" si="9"/>
        <v>-205.04228752722534</v>
      </c>
      <c r="S93" s="1">
        <f t="shared" si="10"/>
        <v>76.092501582313901</v>
      </c>
      <c r="T93" s="1">
        <f t="shared" si="12"/>
        <v>228.21227440928192</v>
      </c>
      <c r="U93" s="1">
        <f t="shared" si="12"/>
        <v>164.19817093997014</v>
      </c>
      <c r="V93" s="1">
        <f t="shared" si="12"/>
        <v>386.67439941582165</v>
      </c>
      <c r="W93" s="1">
        <f t="shared" si="12"/>
        <v>227.77808120394292</v>
      </c>
      <c r="X93" s="1">
        <f t="shared" si="12"/>
        <v>90.238303630962534</v>
      </c>
      <c r="Y93" s="1">
        <f t="shared" si="12"/>
        <v>49.362781749031946</v>
      </c>
      <c r="Z93" s="1">
        <f t="shared" si="12"/>
        <v>174.2857724255922</v>
      </c>
      <c r="AA93" s="1">
        <f t="shared" si="12"/>
        <v>67.204182385311015</v>
      </c>
      <c r="AB93" s="1">
        <f t="shared" si="12"/>
        <v>321.74950872972528</v>
      </c>
      <c r="AC93" s="1">
        <f t="shared" si="12"/>
        <v>206.96341547082537</v>
      </c>
      <c r="AD93" s="1">
        <f t="shared" si="12"/>
        <v>475.33281283571608</v>
      </c>
      <c r="AE93" s="1">
        <f t="shared" si="12"/>
        <v>562.61973907776724</v>
      </c>
      <c r="AF93" s="1">
        <f t="shared" si="12"/>
        <v>135.43318257134754</v>
      </c>
      <c r="AG93" s="1">
        <f t="shared" si="12"/>
        <v>502.17393063270958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 x14ac:dyDescent="0.45">
      <c r="A94">
        <v>76.092501582313901</v>
      </c>
      <c r="Q94">
        <v>76.092501582313901</v>
      </c>
      <c r="R94" s="1">
        <f t="shared" si="9"/>
        <v>-200.38570077464976</v>
      </c>
      <c r="S94" s="1">
        <f t="shared" si="10"/>
        <v>228.21227440928192</v>
      </c>
      <c r="T94" s="1">
        <f t="shared" si="12"/>
        <v>164.19817093997014</v>
      </c>
      <c r="U94" s="1">
        <f t="shared" si="12"/>
        <v>386.67439941582165</v>
      </c>
      <c r="V94" s="1">
        <f t="shared" si="12"/>
        <v>227.77808120394292</v>
      </c>
      <c r="W94" s="1">
        <f t="shared" si="12"/>
        <v>90.238303630962534</v>
      </c>
      <c r="X94" s="1">
        <f t="shared" si="12"/>
        <v>49.362781749031946</v>
      </c>
      <c r="Y94" s="1">
        <f t="shared" si="12"/>
        <v>174.2857724255922</v>
      </c>
      <c r="Z94" s="1">
        <f t="shared" si="12"/>
        <v>67.204182385311015</v>
      </c>
      <c r="AA94" s="1">
        <f t="shared" si="12"/>
        <v>321.74950872972528</v>
      </c>
      <c r="AB94" s="1">
        <f t="shared" si="12"/>
        <v>206.96341547082537</v>
      </c>
      <c r="AC94" s="1">
        <f t="shared" si="12"/>
        <v>475.33281283571608</v>
      </c>
      <c r="AD94" s="1">
        <f t="shared" si="12"/>
        <v>562.61973907776724</v>
      </c>
      <c r="AE94" s="1">
        <f t="shared" si="12"/>
        <v>135.43318257134754</v>
      </c>
      <c r="AF94" s="1">
        <f t="shared" si="12"/>
        <v>502.17393063270958</v>
      </c>
      <c r="AG94" s="1">
        <f t="shared" si="12"/>
        <v>70.947422021638545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 x14ac:dyDescent="0.45">
      <c r="A95">
        <v>228.21227440928192</v>
      </c>
      <c r="Q95">
        <v>228.21227440928192</v>
      </c>
      <c r="R95" s="1">
        <f t="shared" si="9"/>
        <v>-48.265927947681746</v>
      </c>
      <c r="S95" s="1">
        <f t="shared" si="10"/>
        <v>164.19817093997014</v>
      </c>
      <c r="T95" s="1">
        <f t="shared" si="12"/>
        <v>386.67439941582165</v>
      </c>
      <c r="U95" s="1">
        <f t="shared" si="12"/>
        <v>227.77808120394292</v>
      </c>
      <c r="V95" s="1">
        <f t="shared" si="12"/>
        <v>90.238303630962534</v>
      </c>
      <c r="W95" s="1">
        <f t="shared" si="12"/>
        <v>49.362781749031946</v>
      </c>
      <c r="X95" s="1">
        <f t="shared" si="12"/>
        <v>174.2857724255922</v>
      </c>
      <c r="Y95" s="1">
        <f t="shared" si="12"/>
        <v>67.204182385311015</v>
      </c>
      <c r="Z95" s="1">
        <f t="shared" si="12"/>
        <v>321.74950872972528</v>
      </c>
      <c r="AA95" s="1">
        <f t="shared" si="12"/>
        <v>206.96341547082537</v>
      </c>
      <c r="AB95" s="1">
        <f t="shared" si="12"/>
        <v>475.33281283571608</v>
      </c>
      <c r="AC95" s="1">
        <f t="shared" si="12"/>
        <v>562.61973907776724</v>
      </c>
      <c r="AD95" s="1">
        <f t="shared" si="12"/>
        <v>135.43318257134754</v>
      </c>
      <c r="AE95" s="1">
        <f t="shared" si="12"/>
        <v>502.17393063270958</v>
      </c>
      <c r="AF95" s="1">
        <f t="shared" si="12"/>
        <v>70.947422021638545</v>
      </c>
      <c r="AG95" s="1">
        <f t="shared" si="12"/>
        <v>318.11069672121238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 x14ac:dyDescent="0.45">
      <c r="A96">
        <v>164.19817093997014</v>
      </c>
      <c r="Q96">
        <v>164.19817093997014</v>
      </c>
      <c r="R96" s="1">
        <f t="shared" si="9"/>
        <v>-112.28003141699352</v>
      </c>
      <c r="S96" s="1">
        <f t="shared" si="10"/>
        <v>386.67439941582165</v>
      </c>
      <c r="T96" s="1">
        <f t="shared" si="12"/>
        <v>227.77808120394292</v>
      </c>
      <c r="U96" s="1">
        <f t="shared" si="12"/>
        <v>90.238303630962534</v>
      </c>
      <c r="V96" s="1">
        <f t="shared" si="12"/>
        <v>49.362781749031946</v>
      </c>
      <c r="W96" s="1">
        <f t="shared" si="12"/>
        <v>174.2857724255922</v>
      </c>
      <c r="X96" s="1">
        <f t="shared" si="12"/>
        <v>67.204182385311015</v>
      </c>
      <c r="Y96" s="1">
        <f t="shared" si="12"/>
        <v>321.74950872972528</v>
      </c>
      <c r="Z96" s="1">
        <f t="shared" si="12"/>
        <v>206.96341547082537</v>
      </c>
      <c r="AA96" s="1">
        <f t="shared" si="12"/>
        <v>475.33281283571608</v>
      </c>
      <c r="AB96" s="1">
        <f t="shared" si="12"/>
        <v>562.61973907776724</v>
      </c>
      <c r="AC96" s="1">
        <f t="shared" si="12"/>
        <v>135.43318257134754</v>
      </c>
      <c r="AD96" s="1">
        <f t="shared" si="12"/>
        <v>502.17393063270958</v>
      </c>
      <c r="AE96" s="1">
        <f t="shared" si="12"/>
        <v>70.947422021638545</v>
      </c>
      <c r="AF96" s="1">
        <f t="shared" si="12"/>
        <v>318.11069672121238</v>
      </c>
      <c r="AG96" s="1">
        <f t="shared" si="12"/>
        <v>345.46758011275131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 x14ac:dyDescent="0.45">
      <c r="A97">
        <v>386.67439941582165</v>
      </c>
      <c r="Q97">
        <v>386.67439941582165</v>
      </c>
      <c r="R97" s="1">
        <f t="shared" si="9"/>
        <v>110.19619705885799</v>
      </c>
      <c r="S97" s="1">
        <f t="shared" si="10"/>
        <v>227.77808120394292</v>
      </c>
      <c r="T97" s="1">
        <f t="shared" si="12"/>
        <v>90.238303630962534</v>
      </c>
      <c r="U97" s="1">
        <f t="shared" si="12"/>
        <v>49.362781749031946</v>
      </c>
      <c r="V97" s="1">
        <f t="shared" si="12"/>
        <v>174.2857724255922</v>
      </c>
      <c r="W97" s="1">
        <f t="shared" si="12"/>
        <v>67.204182385311015</v>
      </c>
      <c r="X97" s="1">
        <f t="shared" si="12"/>
        <v>321.74950872972528</v>
      </c>
      <c r="Y97" s="1">
        <f t="shared" si="12"/>
        <v>206.96341547082537</v>
      </c>
      <c r="Z97" s="1">
        <f t="shared" si="12"/>
        <v>475.33281283571608</v>
      </c>
      <c r="AA97" s="1">
        <f t="shared" si="12"/>
        <v>562.61973907776724</v>
      </c>
      <c r="AB97" s="1">
        <f t="shared" si="12"/>
        <v>135.43318257134754</v>
      </c>
      <c r="AC97" s="1">
        <f t="shared" si="12"/>
        <v>502.17393063270958</v>
      </c>
      <c r="AD97" s="1">
        <f t="shared" si="12"/>
        <v>70.947422021638545</v>
      </c>
      <c r="AE97" s="1">
        <f t="shared" si="12"/>
        <v>318.11069672121238</v>
      </c>
      <c r="AF97" s="1">
        <f t="shared" si="12"/>
        <v>345.46758011275131</v>
      </c>
      <c r="AG97" s="1">
        <f t="shared" si="12"/>
        <v>482.09133774798386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 x14ac:dyDescent="0.45">
      <c r="A98">
        <v>227.77808120394292</v>
      </c>
      <c r="Q98">
        <v>227.77808120394292</v>
      </c>
      <c r="R98" s="1">
        <f t="shared" si="9"/>
        <v>-48.700121153020746</v>
      </c>
      <c r="S98" s="1">
        <f t="shared" si="10"/>
        <v>90.238303630962534</v>
      </c>
      <c r="T98" s="1">
        <f t="shared" si="12"/>
        <v>49.362781749031946</v>
      </c>
      <c r="U98" s="1">
        <f t="shared" si="12"/>
        <v>174.2857724255922</v>
      </c>
      <c r="V98" s="1">
        <f t="shared" si="12"/>
        <v>67.204182385311015</v>
      </c>
      <c r="W98" s="1">
        <f t="shared" si="12"/>
        <v>321.74950872972528</v>
      </c>
      <c r="X98" s="1">
        <f t="shared" si="12"/>
        <v>206.96341547082537</v>
      </c>
      <c r="Y98" s="1">
        <f t="shared" si="12"/>
        <v>475.33281283571608</v>
      </c>
      <c r="Z98" s="1">
        <f t="shared" si="12"/>
        <v>562.61973907776724</v>
      </c>
      <c r="AA98" s="1">
        <f t="shared" si="12"/>
        <v>135.43318257134754</v>
      </c>
      <c r="AB98" s="1">
        <f t="shared" si="12"/>
        <v>502.17393063270958</v>
      </c>
      <c r="AC98" s="1">
        <f t="shared" si="12"/>
        <v>70.947422021638545</v>
      </c>
      <c r="AD98" s="1">
        <f t="shared" si="12"/>
        <v>318.11069672121238</v>
      </c>
      <c r="AE98" s="1">
        <f t="shared" si="12"/>
        <v>345.46758011275131</v>
      </c>
      <c r="AF98" s="1">
        <f t="shared" si="12"/>
        <v>482.09133774798386</v>
      </c>
      <c r="AG98" s="1">
        <f t="shared" si="12"/>
        <v>383.75946144376746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 x14ac:dyDescent="0.45">
      <c r="A99">
        <v>90.238303630962534</v>
      </c>
      <c r="Q99">
        <v>90.238303630962534</v>
      </c>
      <c r="R99" s="1">
        <f t="shared" si="9"/>
        <v>-186.23989872600112</v>
      </c>
      <c r="S99" s="1">
        <f t="shared" si="10"/>
        <v>49.362781749031946</v>
      </c>
      <c r="T99" s="1">
        <f t="shared" si="12"/>
        <v>174.2857724255922</v>
      </c>
      <c r="U99" s="1">
        <f t="shared" si="12"/>
        <v>67.204182385311015</v>
      </c>
      <c r="V99" s="1">
        <f t="shared" si="12"/>
        <v>321.74950872972528</v>
      </c>
      <c r="W99" s="1">
        <f t="shared" si="12"/>
        <v>206.96341547082537</v>
      </c>
      <c r="X99" s="1">
        <f t="shared" si="12"/>
        <v>475.33281283571608</v>
      </c>
      <c r="Y99" s="1">
        <f t="shared" si="12"/>
        <v>562.61973907776724</v>
      </c>
      <c r="Z99" s="1">
        <f t="shared" si="12"/>
        <v>135.43318257134754</v>
      </c>
      <c r="AA99" s="1">
        <f t="shared" si="12"/>
        <v>502.17393063270958</v>
      </c>
      <c r="AB99" s="1">
        <f t="shared" si="12"/>
        <v>70.947422021638545</v>
      </c>
      <c r="AC99" s="1">
        <f t="shared" si="12"/>
        <v>318.11069672121238</v>
      </c>
      <c r="AD99" s="1">
        <f t="shared" si="12"/>
        <v>345.46758011275131</v>
      </c>
      <c r="AE99" s="1">
        <f t="shared" si="12"/>
        <v>482.09133774798386</v>
      </c>
      <c r="AF99" s="1">
        <f t="shared" si="12"/>
        <v>383.75946144376746</v>
      </c>
      <c r="AG99" s="1">
        <f t="shared" si="12"/>
        <v>263.58608042492097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 x14ac:dyDescent="0.45">
      <c r="A100">
        <v>49.362781749031946</v>
      </c>
      <c r="Q100">
        <v>49.362781749031946</v>
      </c>
      <c r="R100" s="1">
        <f t="shared" si="9"/>
        <v>-227.11542060793172</v>
      </c>
      <c r="S100" s="1">
        <f t="shared" si="10"/>
        <v>174.2857724255922</v>
      </c>
      <c r="T100" s="1">
        <f t="shared" si="12"/>
        <v>67.204182385311015</v>
      </c>
      <c r="U100" s="1">
        <f t="shared" si="12"/>
        <v>321.74950872972528</v>
      </c>
      <c r="V100" s="1">
        <f t="shared" si="12"/>
        <v>206.96341547082537</v>
      </c>
      <c r="W100" s="1">
        <f t="shared" si="12"/>
        <v>475.33281283571608</v>
      </c>
      <c r="X100" s="1">
        <f t="shared" si="12"/>
        <v>562.61973907776724</v>
      </c>
      <c r="Y100" s="1">
        <f t="shared" si="12"/>
        <v>135.43318257134754</v>
      </c>
      <c r="Z100" s="1">
        <f t="shared" si="12"/>
        <v>502.17393063270958</v>
      </c>
      <c r="AA100" s="1">
        <f t="shared" si="12"/>
        <v>70.947422021638545</v>
      </c>
      <c r="AB100" s="1">
        <f t="shared" si="12"/>
        <v>318.11069672121238</v>
      </c>
      <c r="AC100" s="1">
        <f t="shared" si="12"/>
        <v>345.46758011275131</v>
      </c>
      <c r="AD100" s="1">
        <f t="shared" si="12"/>
        <v>482.09133774798386</v>
      </c>
      <c r="AE100" s="1">
        <f t="shared" si="12"/>
        <v>383.75946144376746</v>
      </c>
      <c r="AF100" s="1">
        <f t="shared" si="12"/>
        <v>263.58608042492097</v>
      </c>
      <c r="AG100" s="1">
        <f t="shared" si="12"/>
        <v>179.10529315348955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 x14ac:dyDescent="0.45">
      <c r="A101">
        <v>174.2857724255922</v>
      </c>
      <c r="Q101">
        <v>174.2857724255922</v>
      </c>
      <c r="R101" s="1">
        <f t="shared" si="9"/>
        <v>-102.19242993137146</v>
      </c>
      <c r="S101" s="1">
        <f t="shared" si="10"/>
        <v>67.204182385311015</v>
      </c>
      <c r="T101" s="1">
        <f t="shared" si="12"/>
        <v>321.74950872972528</v>
      </c>
      <c r="U101" s="1">
        <f t="shared" si="12"/>
        <v>206.96341547082537</v>
      </c>
      <c r="V101" s="1">
        <f t="shared" si="12"/>
        <v>475.33281283571608</v>
      </c>
      <c r="W101" s="1">
        <f t="shared" si="12"/>
        <v>562.61973907776724</v>
      </c>
      <c r="X101" s="1">
        <f t="shared" si="12"/>
        <v>135.43318257134754</v>
      </c>
      <c r="Y101" s="1">
        <f t="shared" si="12"/>
        <v>502.17393063270958</v>
      </c>
      <c r="Z101" s="1">
        <f t="shared" si="12"/>
        <v>70.947422021638545</v>
      </c>
      <c r="AA101" s="1">
        <f t="shared" si="12"/>
        <v>318.11069672121238</v>
      </c>
      <c r="AB101" s="1">
        <f t="shared" si="12"/>
        <v>345.46758011275131</v>
      </c>
      <c r="AC101" s="1">
        <f t="shared" si="12"/>
        <v>482.09133774798386</v>
      </c>
      <c r="AD101" s="1">
        <f t="shared" si="12"/>
        <v>383.75946144376746</v>
      </c>
      <c r="AE101" s="1">
        <f t="shared" si="12"/>
        <v>263.58608042492097</v>
      </c>
      <c r="AF101" s="1">
        <f t="shared" si="12"/>
        <v>179.10529315348955</v>
      </c>
      <c r="AG101" s="1">
        <f t="shared" si="12"/>
        <v>88.938903663500952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 x14ac:dyDescent="0.45">
      <c r="A102">
        <v>67.204182385311015</v>
      </c>
      <c r="Q102">
        <v>67.204182385311015</v>
      </c>
      <c r="R102" s="1">
        <f t="shared" si="9"/>
        <v>-209.27401997165265</v>
      </c>
      <c r="S102" s="1">
        <f t="shared" si="10"/>
        <v>321.74950872972528</v>
      </c>
      <c r="T102" s="1">
        <f t="shared" si="12"/>
        <v>206.96341547082537</v>
      </c>
      <c r="U102" s="1">
        <f t="shared" si="12"/>
        <v>475.33281283571608</v>
      </c>
      <c r="V102" s="1">
        <f t="shared" si="12"/>
        <v>562.61973907776724</v>
      </c>
      <c r="W102" s="1">
        <f t="shared" si="12"/>
        <v>135.43318257134754</v>
      </c>
      <c r="X102" s="1">
        <f t="shared" si="12"/>
        <v>502.17393063270958</v>
      </c>
      <c r="Y102" s="1">
        <f t="shared" si="12"/>
        <v>70.947422021638545</v>
      </c>
      <c r="Z102" s="1">
        <f t="shared" si="12"/>
        <v>318.11069672121238</v>
      </c>
      <c r="AA102" s="1">
        <f t="shared" si="12"/>
        <v>345.46758011275131</v>
      </c>
      <c r="AB102" s="1">
        <f t="shared" si="12"/>
        <v>482.09133774798386</v>
      </c>
      <c r="AC102" s="1">
        <f t="shared" si="12"/>
        <v>383.75946144376746</v>
      </c>
      <c r="AD102" s="1">
        <f t="shared" si="12"/>
        <v>263.58608042492097</v>
      </c>
      <c r="AE102" s="1">
        <f t="shared" si="12"/>
        <v>179.10529315348955</v>
      </c>
      <c r="AF102" s="1">
        <f t="shared" si="12"/>
        <v>88.938903663500952</v>
      </c>
      <c r="AG102" s="1">
        <f t="shared" si="12"/>
        <v>202.1412280198237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 x14ac:dyDescent="0.45">
      <c r="A103">
        <v>321.74950872972528</v>
      </c>
      <c r="Q103">
        <v>321.74950872972528</v>
      </c>
      <c r="R103" s="1">
        <f t="shared" si="9"/>
        <v>45.271306372761615</v>
      </c>
      <c r="S103" s="1">
        <f t="shared" si="10"/>
        <v>206.96341547082537</v>
      </c>
      <c r="T103" s="1">
        <f t="shared" si="12"/>
        <v>475.33281283571608</v>
      </c>
      <c r="U103" s="1">
        <f t="shared" si="12"/>
        <v>562.61973907776724</v>
      </c>
      <c r="V103" s="1">
        <f t="shared" si="12"/>
        <v>135.43318257134754</v>
      </c>
      <c r="W103" s="1">
        <f t="shared" si="12"/>
        <v>502.17393063270958</v>
      </c>
      <c r="X103" s="1">
        <f t="shared" si="12"/>
        <v>70.947422021638545</v>
      </c>
      <c r="Y103" s="1">
        <f t="shared" si="12"/>
        <v>318.11069672121238</v>
      </c>
      <c r="Z103" s="1">
        <f t="shared" si="12"/>
        <v>345.46758011275131</v>
      </c>
      <c r="AA103" s="1">
        <f t="shared" si="12"/>
        <v>482.09133774798386</v>
      </c>
      <c r="AB103" s="1">
        <f t="shared" si="12"/>
        <v>383.75946144376746</v>
      </c>
      <c r="AC103" s="1">
        <f t="shared" si="12"/>
        <v>263.58608042492097</v>
      </c>
      <c r="AD103" s="1">
        <f t="shared" si="12"/>
        <v>179.10529315348955</v>
      </c>
      <c r="AE103" s="1">
        <f t="shared" si="12"/>
        <v>88.938903663500952</v>
      </c>
      <c r="AF103" s="1">
        <f t="shared" si="12"/>
        <v>202.1412280198237</v>
      </c>
      <c r="AG103" s="1">
        <f t="shared" si="12"/>
        <v>431.31516352368709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 x14ac:dyDescent="0.45">
      <c r="A104">
        <v>206.96341547082537</v>
      </c>
      <c r="Q104">
        <v>206.96341547082537</v>
      </c>
      <c r="R104" s="1">
        <f t="shared" si="9"/>
        <v>-69.514786886138296</v>
      </c>
      <c r="S104" s="1">
        <f t="shared" si="10"/>
        <v>475.33281283571608</v>
      </c>
      <c r="T104" s="1">
        <f t="shared" si="12"/>
        <v>562.61973907776724</v>
      </c>
      <c r="U104" s="1">
        <f t="shared" si="12"/>
        <v>135.43318257134754</v>
      </c>
      <c r="V104" s="1">
        <f t="shared" si="12"/>
        <v>502.17393063270958</v>
      </c>
      <c r="W104" s="1">
        <f t="shared" si="12"/>
        <v>70.947422021638545</v>
      </c>
      <c r="X104" s="1">
        <f t="shared" si="12"/>
        <v>318.11069672121238</v>
      </c>
      <c r="Y104" s="1">
        <f t="shared" si="12"/>
        <v>345.46758011275131</v>
      </c>
      <c r="Z104" s="1">
        <f t="shared" si="12"/>
        <v>482.09133774798386</v>
      </c>
      <c r="AA104" s="1">
        <f t="shared" si="12"/>
        <v>383.75946144376746</v>
      </c>
      <c r="AB104" s="1">
        <f t="shared" si="12"/>
        <v>263.58608042492097</v>
      </c>
      <c r="AC104" s="1">
        <f t="shared" si="12"/>
        <v>179.10529315348955</v>
      </c>
      <c r="AD104" s="1">
        <f t="shared" si="12"/>
        <v>88.938903663500952</v>
      </c>
      <c r="AE104" s="1">
        <f t="shared" si="12"/>
        <v>202.1412280198237</v>
      </c>
      <c r="AF104" s="1">
        <f t="shared" si="12"/>
        <v>431.31516352368709</v>
      </c>
      <c r="AG104" s="1">
        <f t="shared" si="12"/>
        <v>112.53526346467414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 x14ac:dyDescent="0.45">
      <c r="A105">
        <v>475.33281283571608</v>
      </c>
      <c r="Q105">
        <v>475.33281283571608</v>
      </c>
      <c r="R105" s="1">
        <f t="shared" si="9"/>
        <v>198.85461047875242</v>
      </c>
      <c r="S105" s="1">
        <f t="shared" si="10"/>
        <v>562.61973907776724</v>
      </c>
      <c r="T105" s="1">
        <f t="shared" si="12"/>
        <v>135.43318257134754</v>
      </c>
      <c r="U105" s="1">
        <f t="shared" si="12"/>
        <v>502.17393063270958</v>
      </c>
      <c r="V105" s="1">
        <f t="shared" si="12"/>
        <v>70.947422021638545</v>
      </c>
      <c r="W105" s="1">
        <f t="shared" ref="U105:AG120" si="13">V106</f>
        <v>318.11069672121238</v>
      </c>
      <c r="X105" s="1">
        <f t="shared" si="13"/>
        <v>345.46758011275131</v>
      </c>
      <c r="Y105" s="1">
        <f t="shared" si="13"/>
        <v>482.09133774798386</v>
      </c>
      <c r="Z105" s="1">
        <f t="shared" si="13"/>
        <v>383.75946144376746</v>
      </c>
      <c r="AA105" s="1">
        <f t="shared" si="13"/>
        <v>263.58608042492097</v>
      </c>
      <c r="AB105" s="1">
        <f t="shared" si="13"/>
        <v>179.10529315348955</v>
      </c>
      <c r="AC105" s="1">
        <f t="shared" si="13"/>
        <v>88.938903663500952</v>
      </c>
      <c r="AD105" s="1">
        <f t="shared" si="13"/>
        <v>202.1412280198237</v>
      </c>
      <c r="AE105" s="1">
        <f t="shared" si="13"/>
        <v>431.31516352368709</v>
      </c>
      <c r="AF105" s="1">
        <f t="shared" si="13"/>
        <v>112.53526346467414</v>
      </c>
      <c r="AG105" s="1">
        <f t="shared" si="13"/>
        <v>156.81447719544678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 x14ac:dyDescent="0.45">
      <c r="A106">
        <v>562.61973907776724</v>
      </c>
      <c r="Q106">
        <v>562.61973907776724</v>
      </c>
      <c r="R106" s="1">
        <f t="shared" si="9"/>
        <v>286.14153672080357</v>
      </c>
      <c r="S106" s="1">
        <f t="shared" si="10"/>
        <v>135.43318257134754</v>
      </c>
      <c r="T106" s="1">
        <f t="shared" ref="T106:AG138" si="14">S107</f>
        <v>502.17393063270958</v>
      </c>
      <c r="U106" s="1">
        <f t="shared" si="13"/>
        <v>70.947422021638545</v>
      </c>
      <c r="V106" s="1">
        <f t="shared" si="13"/>
        <v>318.11069672121238</v>
      </c>
      <c r="W106" s="1">
        <f t="shared" si="13"/>
        <v>345.46758011275131</v>
      </c>
      <c r="X106" s="1">
        <f t="shared" si="13"/>
        <v>482.09133774798386</v>
      </c>
      <c r="Y106" s="1">
        <f t="shared" si="13"/>
        <v>383.75946144376746</v>
      </c>
      <c r="Z106" s="1">
        <f t="shared" si="13"/>
        <v>263.58608042492097</v>
      </c>
      <c r="AA106" s="1">
        <f t="shared" si="13"/>
        <v>179.10529315348955</v>
      </c>
      <c r="AB106" s="1">
        <f t="shared" si="13"/>
        <v>88.938903663500952</v>
      </c>
      <c r="AC106" s="1">
        <f t="shared" si="13"/>
        <v>202.1412280198237</v>
      </c>
      <c r="AD106" s="1">
        <f t="shared" si="13"/>
        <v>431.31516352368709</v>
      </c>
      <c r="AE106" s="1">
        <f t="shared" si="13"/>
        <v>112.53526346467414</v>
      </c>
      <c r="AF106" s="1">
        <f t="shared" si="13"/>
        <v>156.81447719544678</v>
      </c>
      <c r="AG106" s="1">
        <f t="shared" si="13"/>
        <v>179.70715529775978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 x14ac:dyDescent="0.45">
      <c r="A107">
        <v>135.43318257134754</v>
      </c>
      <c r="Q107">
        <v>135.43318257134754</v>
      </c>
      <c r="R107" s="1">
        <f t="shared" si="9"/>
        <v>-141.04501978561612</v>
      </c>
      <c r="S107" s="1">
        <f t="shared" si="10"/>
        <v>502.17393063270958</v>
      </c>
      <c r="T107" s="1">
        <f t="shared" si="14"/>
        <v>70.947422021638545</v>
      </c>
      <c r="U107" s="1">
        <f t="shared" si="13"/>
        <v>318.11069672121238</v>
      </c>
      <c r="V107" s="1">
        <f t="shared" si="13"/>
        <v>345.46758011275131</v>
      </c>
      <c r="W107" s="1">
        <f t="shared" si="13"/>
        <v>482.09133774798386</v>
      </c>
      <c r="X107" s="1">
        <f t="shared" si="13"/>
        <v>383.75946144376746</v>
      </c>
      <c r="Y107" s="1">
        <f t="shared" si="13"/>
        <v>263.58608042492097</v>
      </c>
      <c r="Z107" s="1">
        <f t="shared" si="13"/>
        <v>179.10529315348955</v>
      </c>
      <c r="AA107" s="1">
        <f t="shared" si="13"/>
        <v>88.938903663500952</v>
      </c>
      <c r="AB107" s="1">
        <f t="shared" si="13"/>
        <v>202.1412280198237</v>
      </c>
      <c r="AC107" s="1">
        <f t="shared" si="13"/>
        <v>431.31516352368709</v>
      </c>
      <c r="AD107" s="1">
        <f t="shared" si="13"/>
        <v>112.53526346467414</v>
      </c>
      <c r="AE107" s="1">
        <f t="shared" si="13"/>
        <v>156.81447719544678</v>
      </c>
      <c r="AF107" s="1">
        <f t="shared" si="13"/>
        <v>179.70715529775978</v>
      </c>
      <c r="AG107" s="1">
        <f t="shared" si="13"/>
        <v>152.37778879923559</v>
      </c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 x14ac:dyDescent="0.45">
      <c r="A108">
        <v>502.17393063270958</v>
      </c>
      <c r="Q108">
        <v>502.17393063270958</v>
      </c>
      <c r="R108" s="1">
        <f t="shared" si="9"/>
        <v>225.69572827574592</v>
      </c>
      <c r="S108" s="1">
        <f t="shared" si="10"/>
        <v>70.947422021638545</v>
      </c>
      <c r="T108" s="1">
        <f t="shared" si="14"/>
        <v>318.11069672121238</v>
      </c>
      <c r="U108" s="1">
        <f t="shared" si="13"/>
        <v>345.46758011275131</v>
      </c>
      <c r="V108" s="1">
        <f t="shared" si="13"/>
        <v>482.09133774798386</v>
      </c>
      <c r="W108" s="1">
        <f t="shared" si="13"/>
        <v>383.75946144376746</v>
      </c>
      <c r="X108" s="1">
        <f t="shared" si="13"/>
        <v>263.58608042492097</v>
      </c>
      <c r="Y108" s="1">
        <f t="shared" si="13"/>
        <v>179.10529315348955</v>
      </c>
      <c r="Z108" s="1">
        <f t="shared" si="13"/>
        <v>88.938903663500952</v>
      </c>
      <c r="AA108" s="1">
        <f t="shared" si="13"/>
        <v>202.1412280198237</v>
      </c>
      <c r="AB108" s="1">
        <f t="shared" si="13"/>
        <v>431.31516352368709</v>
      </c>
      <c r="AC108" s="1">
        <f t="shared" si="13"/>
        <v>112.53526346467414</v>
      </c>
      <c r="AD108" s="1">
        <f t="shared" si="13"/>
        <v>156.81447719544678</v>
      </c>
      <c r="AE108" s="1">
        <f t="shared" si="13"/>
        <v>179.70715529775978</v>
      </c>
      <c r="AF108" s="1">
        <f t="shared" si="13"/>
        <v>152.37778879923559</v>
      </c>
      <c r="AG108" s="1">
        <f t="shared" si="13"/>
        <v>142.76274535358621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 x14ac:dyDescent="0.45">
      <c r="A109">
        <v>70.947422021638545</v>
      </c>
      <c r="Q109">
        <v>70.947422021638545</v>
      </c>
      <c r="R109" s="1">
        <f t="shared" si="9"/>
        <v>-205.53078033532512</v>
      </c>
      <c r="S109" s="1">
        <f t="shared" si="10"/>
        <v>318.11069672121238</v>
      </c>
      <c r="T109" s="1">
        <f t="shared" si="14"/>
        <v>345.46758011275131</v>
      </c>
      <c r="U109" s="1">
        <f t="shared" si="13"/>
        <v>482.09133774798386</v>
      </c>
      <c r="V109" s="1">
        <f t="shared" si="13"/>
        <v>383.75946144376746</v>
      </c>
      <c r="W109" s="1">
        <f t="shared" si="13"/>
        <v>263.58608042492097</v>
      </c>
      <c r="X109" s="1">
        <f t="shared" si="13"/>
        <v>179.10529315348955</v>
      </c>
      <c r="Y109" s="1">
        <f t="shared" si="13"/>
        <v>88.938903663500952</v>
      </c>
      <c r="Z109" s="1">
        <f t="shared" si="13"/>
        <v>202.1412280198237</v>
      </c>
      <c r="AA109" s="1">
        <f t="shared" si="13"/>
        <v>431.31516352368709</v>
      </c>
      <c r="AB109" s="1">
        <f t="shared" si="13"/>
        <v>112.53526346467414</v>
      </c>
      <c r="AC109" s="1">
        <f t="shared" si="13"/>
        <v>156.81447719544678</v>
      </c>
      <c r="AD109" s="1">
        <f t="shared" si="13"/>
        <v>179.70715529775978</v>
      </c>
      <c r="AE109" s="1">
        <f t="shared" si="13"/>
        <v>152.37778879923559</v>
      </c>
      <c r="AF109" s="1">
        <f t="shared" si="13"/>
        <v>142.76274535358621</v>
      </c>
      <c r="AG109" s="1">
        <f t="shared" si="13"/>
        <v>42.91935684307812</v>
      </c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 x14ac:dyDescent="0.45">
      <c r="A110">
        <v>318.11069672121238</v>
      </c>
      <c r="Q110">
        <v>318.11069672121238</v>
      </c>
      <c r="R110" s="1">
        <f t="shared" si="9"/>
        <v>41.632494364248714</v>
      </c>
      <c r="S110" s="1">
        <f t="shared" si="10"/>
        <v>345.46758011275131</v>
      </c>
      <c r="T110" s="1">
        <f t="shared" si="14"/>
        <v>482.09133774798386</v>
      </c>
      <c r="U110" s="1">
        <f t="shared" si="13"/>
        <v>383.75946144376746</v>
      </c>
      <c r="V110" s="1">
        <f t="shared" si="13"/>
        <v>263.58608042492097</v>
      </c>
      <c r="W110" s="1">
        <f t="shared" si="13"/>
        <v>179.10529315348955</v>
      </c>
      <c r="X110" s="1">
        <f t="shared" si="13"/>
        <v>88.938903663500952</v>
      </c>
      <c r="Y110" s="1">
        <f t="shared" si="13"/>
        <v>202.1412280198237</v>
      </c>
      <c r="Z110" s="1">
        <f t="shared" si="13"/>
        <v>431.31516352368709</v>
      </c>
      <c r="AA110" s="1">
        <f t="shared" si="13"/>
        <v>112.53526346467414</v>
      </c>
      <c r="AB110" s="1">
        <f t="shared" si="13"/>
        <v>156.81447719544678</v>
      </c>
      <c r="AC110" s="1">
        <f t="shared" si="13"/>
        <v>179.70715529775978</v>
      </c>
      <c r="AD110" s="1">
        <f t="shared" si="13"/>
        <v>152.37778879923559</v>
      </c>
      <c r="AE110" s="1">
        <f t="shared" si="13"/>
        <v>142.76274535358621</v>
      </c>
      <c r="AF110" s="1">
        <f t="shared" si="13"/>
        <v>42.91935684307812</v>
      </c>
      <c r="AG110" s="1">
        <f t="shared" si="13"/>
        <v>311.44277532247179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 x14ac:dyDescent="0.45">
      <c r="A111">
        <v>345.46758011275131</v>
      </c>
      <c r="Q111">
        <v>345.46758011275131</v>
      </c>
      <c r="R111" s="1">
        <f t="shared" si="9"/>
        <v>68.989377755787643</v>
      </c>
      <c r="S111" s="1">
        <f t="shared" si="10"/>
        <v>482.09133774798386</v>
      </c>
      <c r="T111" s="1">
        <f t="shared" si="14"/>
        <v>383.75946144376746</v>
      </c>
      <c r="U111" s="1">
        <f t="shared" si="13"/>
        <v>263.58608042492097</v>
      </c>
      <c r="V111" s="1">
        <f t="shared" si="13"/>
        <v>179.10529315348955</v>
      </c>
      <c r="W111" s="1">
        <f t="shared" si="13"/>
        <v>88.938903663500952</v>
      </c>
      <c r="X111" s="1">
        <f t="shared" si="13"/>
        <v>202.1412280198237</v>
      </c>
      <c r="Y111" s="1">
        <f t="shared" si="13"/>
        <v>431.31516352368709</v>
      </c>
      <c r="Z111" s="1">
        <f t="shared" si="13"/>
        <v>112.53526346467414</v>
      </c>
      <c r="AA111" s="1">
        <f t="shared" si="13"/>
        <v>156.81447719544678</v>
      </c>
      <c r="AB111" s="1">
        <f t="shared" si="13"/>
        <v>179.70715529775978</v>
      </c>
      <c r="AC111" s="1">
        <f t="shared" si="13"/>
        <v>152.37778879923559</v>
      </c>
      <c r="AD111" s="1">
        <f t="shared" si="13"/>
        <v>142.76274535358621</v>
      </c>
      <c r="AE111" s="1">
        <f t="shared" si="13"/>
        <v>42.91935684307812</v>
      </c>
      <c r="AF111" s="1">
        <f t="shared" si="13"/>
        <v>311.44277532247179</v>
      </c>
      <c r="AG111" s="1">
        <f t="shared" si="13"/>
        <v>85.436024999419658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 x14ac:dyDescent="0.45">
      <c r="A112">
        <v>482.09133774798386</v>
      </c>
      <c r="Q112">
        <v>482.09133774798386</v>
      </c>
      <c r="R112" s="1">
        <f t="shared" si="9"/>
        <v>205.61313539102019</v>
      </c>
      <c r="S112" s="1">
        <f t="shared" si="10"/>
        <v>383.75946144376746</v>
      </c>
      <c r="T112" s="1">
        <f t="shared" si="14"/>
        <v>263.58608042492097</v>
      </c>
      <c r="U112" s="1">
        <f t="shared" si="13"/>
        <v>179.10529315348955</v>
      </c>
      <c r="V112" s="1">
        <f t="shared" si="13"/>
        <v>88.938903663500952</v>
      </c>
      <c r="W112" s="1">
        <f t="shared" si="13"/>
        <v>202.1412280198237</v>
      </c>
      <c r="X112" s="1">
        <f t="shared" si="13"/>
        <v>431.31516352368709</v>
      </c>
      <c r="Y112" s="1">
        <f t="shared" si="13"/>
        <v>112.53526346467414</v>
      </c>
      <c r="Z112" s="1">
        <f t="shared" si="13"/>
        <v>156.81447719544678</v>
      </c>
      <c r="AA112" s="1">
        <f t="shared" si="13"/>
        <v>179.70715529775978</v>
      </c>
      <c r="AB112" s="1">
        <f t="shared" si="13"/>
        <v>152.37778879923559</v>
      </c>
      <c r="AC112" s="1">
        <f t="shared" si="13"/>
        <v>142.76274535358621</v>
      </c>
      <c r="AD112" s="1">
        <f t="shared" si="13"/>
        <v>42.91935684307812</v>
      </c>
      <c r="AE112" s="1">
        <f t="shared" si="13"/>
        <v>311.44277532247179</v>
      </c>
      <c r="AF112" s="1">
        <f t="shared" si="13"/>
        <v>85.436024999419658</v>
      </c>
      <c r="AG112" s="1">
        <f t="shared" si="13"/>
        <v>218.979935251662</v>
      </c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 x14ac:dyDescent="0.45">
      <c r="A113">
        <v>383.75946144376746</v>
      </c>
      <c r="Q113">
        <v>383.75946144376746</v>
      </c>
      <c r="R113" s="1">
        <f t="shared" si="9"/>
        <v>107.2812590868038</v>
      </c>
      <c r="S113" s="1">
        <f t="shared" si="10"/>
        <v>263.58608042492097</v>
      </c>
      <c r="T113" s="1">
        <f t="shared" si="14"/>
        <v>179.10529315348955</v>
      </c>
      <c r="U113" s="1">
        <f t="shared" si="13"/>
        <v>88.938903663500952</v>
      </c>
      <c r="V113" s="1">
        <f t="shared" si="13"/>
        <v>202.1412280198237</v>
      </c>
      <c r="W113" s="1">
        <f t="shared" si="13"/>
        <v>431.31516352368709</v>
      </c>
      <c r="X113" s="1">
        <f t="shared" si="13"/>
        <v>112.53526346467414</v>
      </c>
      <c r="Y113" s="1">
        <f t="shared" si="13"/>
        <v>156.81447719544678</v>
      </c>
      <c r="Z113" s="1">
        <f t="shared" si="13"/>
        <v>179.70715529775978</v>
      </c>
      <c r="AA113" s="1">
        <f t="shared" si="13"/>
        <v>152.37778879923559</v>
      </c>
      <c r="AB113" s="1">
        <f t="shared" si="13"/>
        <v>142.76274535358621</v>
      </c>
      <c r="AC113" s="1">
        <f t="shared" si="13"/>
        <v>42.91935684307812</v>
      </c>
      <c r="AD113" s="1">
        <f t="shared" si="13"/>
        <v>311.44277532247179</v>
      </c>
      <c r="AE113" s="1">
        <f t="shared" si="13"/>
        <v>85.436024999419658</v>
      </c>
      <c r="AF113" s="1">
        <f t="shared" si="13"/>
        <v>218.979935251662</v>
      </c>
      <c r="AG113" s="1">
        <f t="shared" si="13"/>
        <v>524.79584450048492</v>
      </c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 x14ac:dyDescent="0.45">
      <c r="A114">
        <v>263.58608042492097</v>
      </c>
      <c r="Q114">
        <v>263.58608042492097</v>
      </c>
      <c r="R114" s="1">
        <f t="shared" si="9"/>
        <v>-12.892121932042699</v>
      </c>
      <c r="S114" s="1">
        <f t="shared" si="10"/>
        <v>179.10529315348955</v>
      </c>
      <c r="T114" s="1">
        <f t="shared" si="14"/>
        <v>88.938903663500952</v>
      </c>
      <c r="U114" s="1">
        <f t="shared" si="13"/>
        <v>202.1412280198237</v>
      </c>
      <c r="V114" s="1">
        <f t="shared" si="13"/>
        <v>431.31516352368709</v>
      </c>
      <c r="W114" s="1">
        <f t="shared" si="13"/>
        <v>112.53526346467414</v>
      </c>
      <c r="X114" s="1">
        <f t="shared" si="13"/>
        <v>156.81447719544678</v>
      </c>
      <c r="Y114" s="1">
        <f t="shared" si="13"/>
        <v>179.70715529775978</v>
      </c>
      <c r="Z114" s="1">
        <f t="shared" si="13"/>
        <v>152.37778879923559</v>
      </c>
      <c r="AA114" s="1">
        <f t="shared" si="13"/>
        <v>142.76274535358621</v>
      </c>
      <c r="AB114" s="1">
        <f t="shared" si="13"/>
        <v>42.91935684307812</v>
      </c>
      <c r="AC114" s="1">
        <f t="shared" si="13"/>
        <v>311.44277532247179</v>
      </c>
      <c r="AD114" s="1">
        <f t="shared" si="13"/>
        <v>85.436024999419658</v>
      </c>
      <c r="AE114" s="1">
        <f t="shared" si="13"/>
        <v>218.979935251662</v>
      </c>
      <c r="AF114" s="1">
        <f t="shared" si="13"/>
        <v>524.79584450048492</v>
      </c>
      <c r="AG114" s="1">
        <f t="shared" si="13"/>
        <v>462.71371241146039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 x14ac:dyDescent="0.45">
      <c r="A115">
        <v>179.10529315348955</v>
      </c>
      <c r="Q115">
        <v>179.10529315348955</v>
      </c>
      <c r="R115" s="1">
        <f t="shared" si="9"/>
        <v>-97.372909203474109</v>
      </c>
      <c r="S115" s="1">
        <f t="shared" si="10"/>
        <v>88.938903663500952</v>
      </c>
      <c r="T115" s="1">
        <f t="shared" si="14"/>
        <v>202.1412280198237</v>
      </c>
      <c r="U115" s="1">
        <f t="shared" si="13"/>
        <v>431.31516352368709</v>
      </c>
      <c r="V115" s="1">
        <f t="shared" si="13"/>
        <v>112.53526346467414</v>
      </c>
      <c r="W115" s="1">
        <f t="shared" si="13"/>
        <v>156.81447719544678</v>
      </c>
      <c r="X115" s="1">
        <f t="shared" si="13"/>
        <v>179.70715529775978</v>
      </c>
      <c r="Y115" s="1">
        <f t="shared" si="13"/>
        <v>152.37778879923559</v>
      </c>
      <c r="Z115" s="1">
        <f t="shared" si="13"/>
        <v>142.76274535358621</v>
      </c>
      <c r="AA115" s="1">
        <f t="shared" si="13"/>
        <v>42.91935684307812</v>
      </c>
      <c r="AB115" s="1">
        <f t="shared" si="13"/>
        <v>311.44277532247179</v>
      </c>
      <c r="AC115" s="1">
        <f t="shared" si="13"/>
        <v>85.436024999419658</v>
      </c>
      <c r="AD115" s="1">
        <f t="shared" si="13"/>
        <v>218.979935251662</v>
      </c>
      <c r="AE115" s="1">
        <f t="shared" si="13"/>
        <v>524.79584450048492</v>
      </c>
      <c r="AF115" s="1">
        <f t="shared" si="13"/>
        <v>462.71371241146039</v>
      </c>
      <c r="AG115" s="1">
        <f t="shared" si="13"/>
        <v>265.78547028910907</v>
      </c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 x14ac:dyDescent="0.45">
      <c r="A116">
        <v>88.938903663500952</v>
      </c>
      <c r="Q116">
        <v>88.938903663500952</v>
      </c>
      <c r="R116" s="1">
        <f t="shared" si="9"/>
        <v>-187.53929869346271</v>
      </c>
      <c r="S116" s="1">
        <f t="shared" si="10"/>
        <v>202.1412280198237</v>
      </c>
      <c r="T116" s="1">
        <f t="shared" si="14"/>
        <v>431.31516352368709</v>
      </c>
      <c r="U116" s="1">
        <f t="shared" si="13"/>
        <v>112.53526346467414</v>
      </c>
      <c r="V116" s="1">
        <f t="shared" si="13"/>
        <v>156.81447719544678</v>
      </c>
      <c r="W116" s="1">
        <f t="shared" si="13"/>
        <v>179.70715529775978</v>
      </c>
      <c r="X116" s="1">
        <f t="shared" si="13"/>
        <v>152.37778879923559</v>
      </c>
      <c r="Y116" s="1">
        <f t="shared" si="13"/>
        <v>142.76274535358621</v>
      </c>
      <c r="Z116" s="1">
        <f t="shared" si="13"/>
        <v>42.91935684307812</v>
      </c>
      <c r="AA116" s="1">
        <f t="shared" si="13"/>
        <v>311.44277532247179</v>
      </c>
      <c r="AB116" s="1">
        <f t="shared" si="13"/>
        <v>85.436024999419658</v>
      </c>
      <c r="AC116" s="1">
        <f t="shared" si="13"/>
        <v>218.979935251662</v>
      </c>
      <c r="AD116" s="1">
        <f t="shared" si="13"/>
        <v>524.79584450048492</v>
      </c>
      <c r="AE116" s="1">
        <f t="shared" si="13"/>
        <v>462.71371241146039</v>
      </c>
      <c r="AF116" s="1">
        <f t="shared" si="13"/>
        <v>265.78547028910907</v>
      </c>
      <c r="AG116" s="1">
        <f t="shared" si="13"/>
        <v>119.38835250673448</v>
      </c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 x14ac:dyDescent="0.45">
      <c r="A117">
        <v>202.1412280198237</v>
      </c>
      <c r="Q117">
        <v>202.1412280198237</v>
      </c>
      <c r="R117" s="1">
        <f t="shared" si="9"/>
        <v>-74.336974337139964</v>
      </c>
      <c r="S117" s="1">
        <f t="shared" si="10"/>
        <v>431.31516352368709</v>
      </c>
      <c r="T117" s="1">
        <f t="shared" si="14"/>
        <v>112.53526346467414</v>
      </c>
      <c r="U117" s="1">
        <f t="shared" si="13"/>
        <v>156.81447719544678</v>
      </c>
      <c r="V117" s="1">
        <f t="shared" si="13"/>
        <v>179.70715529775978</v>
      </c>
      <c r="W117" s="1">
        <f t="shared" si="13"/>
        <v>152.37778879923559</v>
      </c>
      <c r="X117" s="1">
        <f t="shared" si="13"/>
        <v>142.76274535358621</v>
      </c>
      <c r="Y117" s="1">
        <f t="shared" si="13"/>
        <v>42.91935684307812</v>
      </c>
      <c r="Z117" s="1">
        <f t="shared" si="13"/>
        <v>311.44277532247179</v>
      </c>
      <c r="AA117" s="1">
        <f t="shared" si="13"/>
        <v>85.436024999419658</v>
      </c>
      <c r="AB117" s="1">
        <f t="shared" si="13"/>
        <v>218.979935251662</v>
      </c>
      <c r="AC117" s="1">
        <f t="shared" si="13"/>
        <v>524.79584450048492</v>
      </c>
      <c r="AD117" s="1">
        <f t="shared" si="13"/>
        <v>462.71371241146039</v>
      </c>
      <c r="AE117" s="1">
        <f t="shared" si="13"/>
        <v>265.78547028910907</v>
      </c>
      <c r="AF117" s="1">
        <f t="shared" si="13"/>
        <v>119.38835250673448</v>
      </c>
      <c r="AG117" s="1">
        <f t="shared" si="13"/>
        <v>135.71558325092766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 x14ac:dyDescent="0.45">
      <c r="A118">
        <v>431.31516352368709</v>
      </c>
      <c r="Q118">
        <v>431.31516352368709</v>
      </c>
      <c r="R118" s="1">
        <f t="shared" si="9"/>
        <v>154.83696116672343</v>
      </c>
      <c r="S118" s="1">
        <f t="shared" si="10"/>
        <v>112.53526346467414</v>
      </c>
      <c r="T118" s="1">
        <f t="shared" si="14"/>
        <v>156.81447719544678</v>
      </c>
      <c r="U118" s="1">
        <f t="shared" si="13"/>
        <v>179.70715529775978</v>
      </c>
      <c r="V118" s="1">
        <f t="shared" si="13"/>
        <v>152.37778879923559</v>
      </c>
      <c r="W118" s="1">
        <f t="shared" si="13"/>
        <v>142.76274535358621</v>
      </c>
      <c r="X118" s="1">
        <f t="shared" si="13"/>
        <v>42.91935684307812</v>
      </c>
      <c r="Y118" s="1">
        <f t="shared" si="13"/>
        <v>311.44277532247179</v>
      </c>
      <c r="Z118" s="1">
        <f t="shared" si="13"/>
        <v>85.436024999419658</v>
      </c>
      <c r="AA118" s="1">
        <f t="shared" si="13"/>
        <v>218.979935251662</v>
      </c>
      <c r="AB118" s="1">
        <f t="shared" si="13"/>
        <v>524.79584450048492</v>
      </c>
      <c r="AC118" s="1">
        <f t="shared" si="13"/>
        <v>462.71371241146039</v>
      </c>
      <c r="AD118" s="1">
        <f t="shared" si="13"/>
        <v>265.78547028910907</v>
      </c>
      <c r="AE118" s="1">
        <f t="shared" si="13"/>
        <v>119.38835250673448</v>
      </c>
      <c r="AF118" s="1">
        <f t="shared" si="13"/>
        <v>135.71558325092766</v>
      </c>
      <c r="AG118" s="1">
        <f t="shared" si="13"/>
        <v>284.15695997124516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 x14ac:dyDescent="0.45">
      <c r="A119">
        <v>112.53526346467414</v>
      </c>
      <c r="Q119">
        <v>112.53526346467414</v>
      </c>
      <c r="R119" s="1">
        <f t="shared" si="9"/>
        <v>-163.94293889228953</v>
      </c>
      <c r="S119" s="1">
        <f t="shared" si="10"/>
        <v>156.81447719544678</v>
      </c>
      <c r="T119" s="1">
        <f t="shared" si="14"/>
        <v>179.70715529775978</v>
      </c>
      <c r="U119" s="1">
        <f t="shared" si="13"/>
        <v>152.37778879923559</v>
      </c>
      <c r="V119" s="1">
        <f t="shared" si="13"/>
        <v>142.76274535358621</v>
      </c>
      <c r="W119" s="1">
        <f t="shared" si="13"/>
        <v>42.91935684307812</v>
      </c>
      <c r="X119" s="1">
        <f t="shared" si="13"/>
        <v>311.44277532247179</v>
      </c>
      <c r="Y119" s="1">
        <f t="shared" si="13"/>
        <v>85.436024999419658</v>
      </c>
      <c r="Z119" s="1">
        <f t="shared" si="13"/>
        <v>218.979935251662</v>
      </c>
      <c r="AA119" s="1">
        <f t="shared" si="13"/>
        <v>524.79584450048492</v>
      </c>
      <c r="AB119" s="1">
        <f t="shared" si="13"/>
        <v>462.71371241146039</v>
      </c>
      <c r="AC119" s="1">
        <f t="shared" si="13"/>
        <v>265.78547028910907</v>
      </c>
      <c r="AD119" s="1">
        <f t="shared" si="13"/>
        <v>119.38835250673448</v>
      </c>
      <c r="AE119" s="1">
        <f t="shared" si="13"/>
        <v>135.71558325092766</v>
      </c>
      <c r="AF119" s="1">
        <f t="shared" si="13"/>
        <v>284.15695997124516</v>
      </c>
      <c r="AG119" s="1">
        <f t="shared" si="13"/>
        <v>454.66531258920463</v>
      </c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 x14ac:dyDescent="0.45">
      <c r="A120">
        <v>156.81447719544678</v>
      </c>
      <c r="Q120">
        <v>156.81447719544678</v>
      </c>
      <c r="R120" s="1">
        <f t="shared" si="9"/>
        <v>-119.66372516151688</v>
      </c>
      <c r="S120" s="1">
        <f t="shared" si="10"/>
        <v>179.70715529775978</v>
      </c>
      <c r="T120" s="1">
        <f t="shared" si="14"/>
        <v>152.37778879923559</v>
      </c>
      <c r="U120" s="1">
        <f t="shared" si="13"/>
        <v>142.76274535358621</v>
      </c>
      <c r="V120" s="1">
        <f t="shared" si="13"/>
        <v>42.91935684307812</v>
      </c>
      <c r="W120" s="1">
        <f t="shared" si="13"/>
        <v>311.44277532247179</v>
      </c>
      <c r="X120" s="1">
        <f t="shared" si="13"/>
        <v>85.436024999419658</v>
      </c>
      <c r="Y120" s="1">
        <f t="shared" si="13"/>
        <v>218.979935251662</v>
      </c>
      <c r="Z120" s="1">
        <f t="shared" si="13"/>
        <v>524.79584450048492</v>
      </c>
      <c r="AA120" s="1">
        <f t="shared" si="13"/>
        <v>462.71371241146039</v>
      </c>
      <c r="AB120" s="1">
        <f t="shared" si="13"/>
        <v>265.78547028910907</v>
      </c>
      <c r="AC120" s="1">
        <f t="shared" si="13"/>
        <v>119.38835250673448</v>
      </c>
      <c r="AD120" s="1">
        <f t="shared" si="13"/>
        <v>135.71558325092766</v>
      </c>
      <c r="AE120" s="1">
        <f t="shared" si="13"/>
        <v>284.15695997124516</v>
      </c>
      <c r="AF120" s="1">
        <f t="shared" si="13"/>
        <v>454.66531258920463</v>
      </c>
      <c r="AG120" s="1">
        <f t="shared" si="13"/>
        <v>275.78945460876781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 x14ac:dyDescent="0.45">
      <c r="A121">
        <v>179.70715529775978</v>
      </c>
      <c r="Q121">
        <v>179.70715529775978</v>
      </c>
      <c r="R121" s="1">
        <f t="shared" si="9"/>
        <v>-96.77104705920388</v>
      </c>
      <c r="S121" s="1">
        <f t="shared" si="10"/>
        <v>152.37778879923559</v>
      </c>
      <c r="T121" s="1">
        <f t="shared" si="14"/>
        <v>142.76274535358621</v>
      </c>
      <c r="U121" s="1">
        <f t="shared" si="14"/>
        <v>42.91935684307812</v>
      </c>
      <c r="V121" s="1">
        <f t="shared" si="14"/>
        <v>311.44277532247179</v>
      </c>
      <c r="W121" s="1">
        <f t="shared" si="14"/>
        <v>85.436024999419658</v>
      </c>
      <c r="X121" s="1">
        <f t="shared" si="14"/>
        <v>218.979935251662</v>
      </c>
      <c r="Y121" s="1">
        <f t="shared" si="14"/>
        <v>524.79584450048492</v>
      </c>
      <c r="Z121" s="1">
        <f t="shared" si="14"/>
        <v>462.71371241146039</v>
      </c>
      <c r="AA121" s="1">
        <f t="shared" si="14"/>
        <v>265.78547028910907</v>
      </c>
      <c r="AB121" s="1">
        <f t="shared" si="14"/>
        <v>119.38835250673448</v>
      </c>
      <c r="AC121" s="1">
        <f t="shared" si="14"/>
        <v>135.71558325092766</v>
      </c>
      <c r="AD121" s="1">
        <f t="shared" si="14"/>
        <v>284.15695997124516</v>
      </c>
      <c r="AE121" s="1">
        <f t="shared" si="14"/>
        <v>454.66531258920463</v>
      </c>
      <c r="AF121" s="1">
        <f t="shared" si="14"/>
        <v>275.78945460876781</v>
      </c>
      <c r="AG121" s="1">
        <f t="shared" si="14"/>
        <v>92.487468892436027</v>
      </c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 x14ac:dyDescent="0.45">
      <c r="A122">
        <v>152.37778879923559</v>
      </c>
      <c r="Q122">
        <v>152.37778879923559</v>
      </c>
      <c r="R122" s="1">
        <f t="shared" si="9"/>
        <v>-124.10041355772807</v>
      </c>
      <c r="S122" s="1">
        <f t="shared" si="10"/>
        <v>142.76274535358621</v>
      </c>
      <c r="T122" s="1">
        <f t="shared" si="14"/>
        <v>42.91935684307812</v>
      </c>
      <c r="U122" s="1">
        <f t="shared" si="14"/>
        <v>311.44277532247179</v>
      </c>
      <c r="V122" s="1">
        <f t="shared" si="14"/>
        <v>85.436024999419658</v>
      </c>
      <c r="W122" s="1">
        <f t="shared" si="14"/>
        <v>218.979935251662</v>
      </c>
      <c r="X122" s="1">
        <f t="shared" si="14"/>
        <v>524.79584450048492</v>
      </c>
      <c r="Y122" s="1">
        <f t="shared" si="14"/>
        <v>462.71371241146039</v>
      </c>
      <c r="Z122" s="1">
        <f t="shared" si="14"/>
        <v>265.78547028910907</v>
      </c>
      <c r="AA122" s="1">
        <f t="shared" si="14"/>
        <v>119.38835250673448</v>
      </c>
      <c r="AB122" s="1">
        <f t="shared" si="14"/>
        <v>135.71558325092766</v>
      </c>
      <c r="AC122" s="1">
        <f t="shared" si="14"/>
        <v>284.15695997124516</v>
      </c>
      <c r="AD122" s="1">
        <f t="shared" si="14"/>
        <v>454.66531258920463</v>
      </c>
      <c r="AE122" s="1">
        <f t="shared" si="14"/>
        <v>275.78945460876781</v>
      </c>
      <c r="AF122" s="1">
        <f t="shared" si="14"/>
        <v>92.487468892436027</v>
      </c>
      <c r="AG122" s="1">
        <f t="shared" si="14"/>
        <v>265.17450290722093</v>
      </c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 x14ac:dyDescent="0.45">
      <c r="A123">
        <v>142.76274535358621</v>
      </c>
      <c r="Q123">
        <v>142.76274535358621</v>
      </c>
      <c r="R123" s="1">
        <f t="shared" si="9"/>
        <v>-133.71545700337745</v>
      </c>
      <c r="S123" s="1">
        <f t="shared" si="10"/>
        <v>42.91935684307812</v>
      </c>
      <c r="T123" s="1">
        <f t="shared" si="14"/>
        <v>311.44277532247179</v>
      </c>
      <c r="U123" s="1">
        <f t="shared" si="14"/>
        <v>85.436024999419658</v>
      </c>
      <c r="V123" s="1">
        <f t="shared" si="14"/>
        <v>218.979935251662</v>
      </c>
      <c r="W123" s="1">
        <f t="shared" si="14"/>
        <v>524.79584450048492</v>
      </c>
      <c r="X123" s="1">
        <f t="shared" si="14"/>
        <v>462.71371241146039</v>
      </c>
      <c r="Y123" s="1">
        <f t="shared" si="14"/>
        <v>265.78547028910907</v>
      </c>
      <c r="Z123" s="1">
        <f t="shared" si="14"/>
        <v>119.38835250673448</v>
      </c>
      <c r="AA123" s="1">
        <f t="shared" si="14"/>
        <v>135.71558325092766</v>
      </c>
      <c r="AB123" s="1">
        <f t="shared" si="14"/>
        <v>284.15695997124516</v>
      </c>
      <c r="AC123" s="1">
        <f t="shared" si="14"/>
        <v>454.66531258920463</v>
      </c>
      <c r="AD123" s="1">
        <f t="shared" si="14"/>
        <v>275.78945460876781</v>
      </c>
      <c r="AE123" s="1">
        <f t="shared" si="14"/>
        <v>92.487468892436027</v>
      </c>
      <c r="AF123" s="1">
        <f t="shared" si="14"/>
        <v>265.17450290722093</v>
      </c>
      <c r="AG123" s="1">
        <f t="shared" si="14"/>
        <v>307.62602749770878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 x14ac:dyDescent="0.45">
      <c r="A124">
        <v>42.91935684307812</v>
      </c>
      <c r="Q124">
        <v>42.91935684307812</v>
      </c>
      <c r="R124" s="1">
        <f t="shared" si="9"/>
        <v>-233.55884551388556</v>
      </c>
      <c r="S124" s="1">
        <f t="shared" si="10"/>
        <v>311.44277532247179</v>
      </c>
      <c r="T124" s="1">
        <f t="shared" si="14"/>
        <v>85.436024999419658</v>
      </c>
      <c r="U124" s="1">
        <f t="shared" si="14"/>
        <v>218.979935251662</v>
      </c>
      <c r="V124" s="1">
        <f t="shared" si="14"/>
        <v>524.79584450048492</v>
      </c>
      <c r="W124" s="1">
        <f t="shared" si="14"/>
        <v>462.71371241146039</v>
      </c>
      <c r="X124" s="1">
        <f t="shared" si="14"/>
        <v>265.78547028910907</v>
      </c>
      <c r="Y124" s="1">
        <f t="shared" si="14"/>
        <v>119.38835250673448</v>
      </c>
      <c r="Z124" s="1">
        <f t="shared" si="14"/>
        <v>135.71558325092766</v>
      </c>
      <c r="AA124" s="1">
        <f t="shared" si="14"/>
        <v>284.15695997124516</v>
      </c>
      <c r="AB124" s="1">
        <f t="shared" si="14"/>
        <v>454.66531258920463</v>
      </c>
      <c r="AC124" s="1">
        <f t="shared" si="14"/>
        <v>275.78945460876781</v>
      </c>
      <c r="AD124" s="1">
        <f t="shared" si="14"/>
        <v>92.487468892436027</v>
      </c>
      <c r="AE124" s="1">
        <f t="shared" si="14"/>
        <v>265.17450290722093</v>
      </c>
      <c r="AF124" s="1">
        <f t="shared" si="14"/>
        <v>307.62602749770878</v>
      </c>
      <c r="AG124" s="1">
        <f t="shared" si="14"/>
        <v>371.48766362664111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 x14ac:dyDescent="0.45">
      <c r="A125">
        <v>311.44277532247179</v>
      </c>
      <c r="Q125">
        <v>311.44277532247179</v>
      </c>
      <c r="R125" s="1">
        <f t="shared" si="9"/>
        <v>34.964572965508125</v>
      </c>
      <c r="S125" s="1">
        <f t="shared" si="10"/>
        <v>85.436024999419658</v>
      </c>
      <c r="T125" s="1">
        <f t="shared" si="14"/>
        <v>218.979935251662</v>
      </c>
      <c r="U125" s="1">
        <f t="shared" si="14"/>
        <v>524.79584450048492</v>
      </c>
      <c r="V125" s="1">
        <f t="shared" si="14"/>
        <v>462.71371241146039</v>
      </c>
      <c r="W125" s="1">
        <f t="shared" si="14"/>
        <v>265.78547028910907</v>
      </c>
      <c r="X125" s="1">
        <f t="shared" si="14"/>
        <v>119.38835250673448</v>
      </c>
      <c r="Y125" s="1">
        <f t="shared" si="14"/>
        <v>135.71558325092766</v>
      </c>
      <c r="Z125" s="1">
        <f t="shared" si="14"/>
        <v>284.15695997124516</v>
      </c>
      <c r="AA125" s="1">
        <f t="shared" si="14"/>
        <v>454.66531258920463</v>
      </c>
      <c r="AB125" s="1">
        <f t="shared" si="14"/>
        <v>275.78945460876781</v>
      </c>
      <c r="AC125" s="1">
        <f t="shared" si="14"/>
        <v>92.487468892436027</v>
      </c>
      <c r="AD125" s="1">
        <f t="shared" si="14"/>
        <v>265.17450290722093</v>
      </c>
      <c r="AE125" s="1">
        <f t="shared" si="14"/>
        <v>307.62602749770878</v>
      </c>
      <c r="AF125" s="1">
        <f t="shared" si="14"/>
        <v>371.48766362664111</v>
      </c>
      <c r="AG125" s="1">
        <f t="shared" si="14"/>
        <v>198.76256055552781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 x14ac:dyDescent="0.45">
      <c r="A126">
        <v>85.436024999419658</v>
      </c>
      <c r="Q126">
        <v>85.436024999419658</v>
      </c>
      <c r="R126" s="1">
        <f t="shared" si="9"/>
        <v>-191.04217735754401</v>
      </c>
      <c r="S126" s="1">
        <f t="shared" si="10"/>
        <v>218.979935251662</v>
      </c>
      <c r="T126" s="1">
        <f t="shared" si="14"/>
        <v>524.79584450048492</v>
      </c>
      <c r="U126" s="1">
        <f t="shared" si="14"/>
        <v>462.71371241146039</v>
      </c>
      <c r="V126" s="1">
        <f t="shared" si="14"/>
        <v>265.78547028910907</v>
      </c>
      <c r="W126" s="1">
        <f t="shared" si="14"/>
        <v>119.38835250673448</v>
      </c>
      <c r="X126" s="1">
        <f t="shared" si="14"/>
        <v>135.71558325092766</v>
      </c>
      <c r="Y126" s="1">
        <f t="shared" si="14"/>
        <v>284.15695997124516</v>
      </c>
      <c r="Z126" s="1">
        <f t="shared" si="14"/>
        <v>454.66531258920463</v>
      </c>
      <c r="AA126" s="1">
        <f t="shared" si="14"/>
        <v>275.78945460876781</v>
      </c>
      <c r="AB126" s="1">
        <f t="shared" si="14"/>
        <v>92.487468892436027</v>
      </c>
      <c r="AC126" s="1">
        <f t="shared" si="14"/>
        <v>265.17450290722093</v>
      </c>
      <c r="AD126" s="1">
        <f t="shared" si="14"/>
        <v>307.62602749770878</v>
      </c>
      <c r="AE126" s="1">
        <f t="shared" si="14"/>
        <v>371.48766362664111</v>
      </c>
      <c r="AF126" s="1">
        <f t="shared" si="14"/>
        <v>198.76256055552781</v>
      </c>
      <c r="AG126" s="1">
        <f t="shared" si="14"/>
        <v>86.968485433386348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 x14ac:dyDescent="0.45">
      <c r="A127">
        <v>218.979935251662</v>
      </c>
      <c r="Q127">
        <v>218.979935251662</v>
      </c>
      <c r="R127" s="1">
        <f t="shared" si="9"/>
        <v>-57.498267105301665</v>
      </c>
      <c r="S127" s="1">
        <f t="shared" si="10"/>
        <v>524.79584450048492</v>
      </c>
      <c r="T127" s="1">
        <f t="shared" si="14"/>
        <v>462.71371241146039</v>
      </c>
      <c r="U127" s="1">
        <f t="shared" si="14"/>
        <v>265.78547028910907</v>
      </c>
      <c r="V127" s="1">
        <f t="shared" si="14"/>
        <v>119.38835250673448</v>
      </c>
      <c r="W127" s="1">
        <f t="shared" si="14"/>
        <v>135.71558325092766</v>
      </c>
      <c r="X127" s="1">
        <f t="shared" si="14"/>
        <v>284.15695997124516</v>
      </c>
      <c r="Y127" s="1">
        <f t="shared" si="14"/>
        <v>454.66531258920463</v>
      </c>
      <c r="Z127" s="1">
        <f t="shared" si="14"/>
        <v>275.78945460876781</v>
      </c>
      <c r="AA127" s="1">
        <f t="shared" si="14"/>
        <v>92.487468892436027</v>
      </c>
      <c r="AB127" s="1">
        <f t="shared" si="14"/>
        <v>265.17450290722093</v>
      </c>
      <c r="AC127" s="1">
        <f t="shared" si="14"/>
        <v>307.62602749770878</v>
      </c>
      <c r="AD127" s="1">
        <f t="shared" si="14"/>
        <v>371.48766362664111</v>
      </c>
      <c r="AE127" s="1">
        <f t="shared" si="14"/>
        <v>198.76256055552781</v>
      </c>
      <c r="AF127" s="1">
        <f t="shared" si="14"/>
        <v>86.968485433386348</v>
      </c>
      <c r="AG127" s="1">
        <f t="shared" si="14"/>
        <v>296.4778687331397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 x14ac:dyDescent="0.45">
      <c r="A128">
        <v>524.79584450048492</v>
      </c>
      <c r="Q128">
        <v>524.79584450048492</v>
      </c>
      <c r="R128" s="1">
        <f t="shared" si="9"/>
        <v>248.31764214352125</v>
      </c>
      <c r="S128" s="1">
        <f t="shared" si="10"/>
        <v>462.71371241146039</v>
      </c>
      <c r="T128" s="1">
        <f t="shared" si="14"/>
        <v>265.78547028910907</v>
      </c>
      <c r="U128" s="1">
        <f t="shared" si="14"/>
        <v>119.38835250673448</v>
      </c>
      <c r="V128" s="1">
        <f t="shared" si="14"/>
        <v>135.71558325092766</v>
      </c>
      <c r="W128" s="1">
        <f t="shared" si="14"/>
        <v>284.15695997124516</v>
      </c>
      <c r="X128" s="1">
        <f t="shared" si="14"/>
        <v>454.66531258920463</v>
      </c>
      <c r="Y128" s="1">
        <f t="shared" si="14"/>
        <v>275.78945460876781</v>
      </c>
      <c r="Z128" s="1">
        <f t="shared" si="14"/>
        <v>92.487468892436027</v>
      </c>
      <c r="AA128" s="1">
        <f t="shared" si="14"/>
        <v>265.17450290722093</v>
      </c>
      <c r="AB128" s="1">
        <f t="shared" si="14"/>
        <v>307.62602749770878</v>
      </c>
      <c r="AC128" s="1">
        <f t="shared" si="14"/>
        <v>371.48766362664111</v>
      </c>
      <c r="AD128" s="1">
        <f t="shared" si="14"/>
        <v>198.76256055552781</v>
      </c>
      <c r="AE128" s="1">
        <f t="shared" si="14"/>
        <v>86.968485433386348</v>
      </c>
      <c r="AF128" s="1">
        <f t="shared" si="14"/>
        <v>296.4778687331397</v>
      </c>
      <c r="AG128" s="1">
        <f t="shared" si="14"/>
        <v>175.11163497781669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 x14ac:dyDescent="0.45">
      <c r="A129">
        <v>462.71371241146039</v>
      </c>
      <c r="Q129">
        <v>462.71371241146039</v>
      </c>
      <c r="R129" s="1">
        <f t="shared" si="9"/>
        <v>186.23551005449673</v>
      </c>
      <c r="S129" s="1">
        <f t="shared" si="10"/>
        <v>265.78547028910907</v>
      </c>
      <c r="T129" s="1">
        <f t="shared" si="14"/>
        <v>119.38835250673448</v>
      </c>
      <c r="U129" s="1">
        <f t="shared" si="14"/>
        <v>135.71558325092766</v>
      </c>
      <c r="V129" s="1">
        <f t="shared" si="14"/>
        <v>284.15695997124516</v>
      </c>
      <c r="W129" s="1">
        <f t="shared" si="14"/>
        <v>454.66531258920463</v>
      </c>
      <c r="X129" s="1">
        <f t="shared" si="14"/>
        <v>275.78945460876781</v>
      </c>
      <c r="Y129" s="1">
        <f t="shared" si="14"/>
        <v>92.487468892436027</v>
      </c>
      <c r="Z129" s="1">
        <f t="shared" si="14"/>
        <v>265.17450290722093</v>
      </c>
      <c r="AA129" s="1">
        <f t="shared" si="14"/>
        <v>307.62602749770878</v>
      </c>
      <c r="AB129" s="1">
        <f t="shared" si="14"/>
        <v>371.48766362664111</v>
      </c>
      <c r="AC129" s="1">
        <f t="shared" si="14"/>
        <v>198.76256055552781</v>
      </c>
      <c r="AD129" s="1">
        <f t="shared" si="14"/>
        <v>86.968485433386348</v>
      </c>
      <c r="AE129" s="1">
        <f t="shared" si="14"/>
        <v>296.4778687331397</v>
      </c>
      <c r="AF129" s="1">
        <f t="shared" si="14"/>
        <v>175.11163497781669</v>
      </c>
      <c r="AG129" s="1">
        <f t="shared" si="14"/>
        <v>195.5394036311836</v>
      </c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 x14ac:dyDescent="0.45">
      <c r="A130">
        <v>265.78547028910907</v>
      </c>
      <c r="Q130">
        <v>265.78547028910907</v>
      </c>
      <c r="R130" s="1">
        <f t="shared" si="9"/>
        <v>-10.692732067854593</v>
      </c>
      <c r="S130" s="1">
        <f t="shared" si="10"/>
        <v>119.38835250673448</v>
      </c>
      <c r="T130" s="1">
        <f t="shared" si="14"/>
        <v>135.71558325092766</v>
      </c>
      <c r="U130" s="1">
        <f t="shared" si="14"/>
        <v>284.15695997124516</v>
      </c>
      <c r="V130" s="1">
        <f t="shared" si="14"/>
        <v>454.66531258920463</v>
      </c>
      <c r="W130" s="1">
        <f t="shared" si="14"/>
        <v>275.78945460876781</v>
      </c>
      <c r="X130" s="1">
        <f t="shared" si="14"/>
        <v>92.487468892436027</v>
      </c>
      <c r="Y130" s="1">
        <f t="shared" si="14"/>
        <v>265.17450290722093</v>
      </c>
      <c r="Z130" s="1">
        <f t="shared" si="14"/>
        <v>307.62602749770878</v>
      </c>
      <c r="AA130" s="1">
        <f t="shared" si="14"/>
        <v>371.48766362664111</v>
      </c>
      <c r="AB130" s="1">
        <f t="shared" si="14"/>
        <v>198.76256055552781</v>
      </c>
      <c r="AC130" s="1">
        <f t="shared" si="14"/>
        <v>86.968485433386348</v>
      </c>
      <c r="AD130" s="1">
        <f t="shared" si="14"/>
        <v>296.4778687331397</v>
      </c>
      <c r="AE130" s="1">
        <f t="shared" si="14"/>
        <v>175.11163497781669</v>
      </c>
      <c r="AF130" s="1">
        <f t="shared" si="14"/>
        <v>195.5394036311836</v>
      </c>
      <c r="AG130" s="1">
        <f t="shared" si="14"/>
        <v>773.62442485022143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 x14ac:dyDescent="0.45">
      <c r="A131">
        <v>119.38835250673448</v>
      </c>
      <c r="Q131">
        <v>119.38835250673448</v>
      </c>
      <c r="R131" s="1">
        <f t="shared" si="9"/>
        <v>-157.0898498502292</v>
      </c>
      <c r="S131" s="1">
        <f t="shared" si="10"/>
        <v>135.71558325092766</v>
      </c>
      <c r="T131" s="1">
        <f t="shared" si="14"/>
        <v>284.15695997124516</v>
      </c>
      <c r="U131" s="1">
        <f t="shared" si="14"/>
        <v>454.66531258920463</v>
      </c>
      <c r="V131" s="1">
        <f t="shared" si="14"/>
        <v>275.78945460876781</v>
      </c>
      <c r="W131" s="1">
        <f t="shared" si="14"/>
        <v>92.487468892436027</v>
      </c>
      <c r="X131" s="1">
        <f t="shared" si="14"/>
        <v>265.17450290722093</v>
      </c>
      <c r="Y131" s="1">
        <f t="shared" si="14"/>
        <v>307.62602749770878</v>
      </c>
      <c r="Z131" s="1">
        <f t="shared" si="14"/>
        <v>371.48766362664111</v>
      </c>
      <c r="AA131" s="1">
        <f t="shared" si="14"/>
        <v>198.76256055552781</v>
      </c>
      <c r="AB131" s="1">
        <f t="shared" si="14"/>
        <v>86.968485433386348</v>
      </c>
      <c r="AC131" s="1">
        <f t="shared" si="14"/>
        <v>296.4778687331397</v>
      </c>
      <c r="AD131" s="1">
        <f t="shared" si="14"/>
        <v>175.11163497781669</v>
      </c>
      <c r="AE131" s="1">
        <f t="shared" si="14"/>
        <v>195.5394036311836</v>
      </c>
      <c r="AF131" s="1">
        <f t="shared" si="14"/>
        <v>773.62442485022143</v>
      </c>
      <c r="AG131" s="1">
        <f t="shared" si="14"/>
        <v>963.91192404331218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 x14ac:dyDescent="0.45">
      <c r="A132">
        <v>135.71558325092766</v>
      </c>
      <c r="Q132">
        <v>135.71558325092766</v>
      </c>
      <c r="R132" s="1">
        <f t="shared" si="9"/>
        <v>-140.762619106036</v>
      </c>
      <c r="S132" s="1">
        <f t="shared" si="10"/>
        <v>284.15695997124516</v>
      </c>
      <c r="T132" s="1">
        <f t="shared" si="14"/>
        <v>454.66531258920463</v>
      </c>
      <c r="U132" s="1">
        <f t="shared" si="14"/>
        <v>275.78945460876781</v>
      </c>
      <c r="V132" s="1">
        <f t="shared" si="14"/>
        <v>92.487468892436027</v>
      </c>
      <c r="W132" s="1">
        <f t="shared" si="14"/>
        <v>265.17450290722093</v>
      </c>
      <c r="X132" s="1">
        <f t="shared" si="14"/>
        <v>307.62602749770878</v>
      </c>
      <c r="Y132" s="1">
        <f t="shared" si="14"/>
        <v>371.48766362664111</v>
      </c>
      <c r="Z132" s="1">
        <f t="shared" si="14"/>
        <v>198.76256055552781</v>
      </c>
      <c r="AA132" s="1">
        <f t="shared" si="14"/>
        <v>86.968485433386348</v>
      </c>
      <c r="AB132" s="1">
        <f t="shared" si="14"/>
        <v>296.4778687331397</v>
      </c>
      <c r="AC132" s="1">
        <f t="shared" si="14"/>
        <v>175.11163497781669</v>
      </c>
      <c r="AD132" s="1">
        <f t="shared" si="14"/>
        <v>195.5394036311836</v>
      </c>
      <c r="AE132" s="1">
        <f t="shared" si="14"/>
        <v>773.62442485022143</v>
      </c>
      <c r="AF132" s="1">
        <f t="shared" si="14"/>
        <v>963.91192404331218</v>
      </c>
      <c r="AG132" s="1">
        <f t="shared" si="14"/>
        <v>470.07735964383585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 x14ac:dyDescent="0.45">
      <c r="A133">
        <v>284.15695997124516</v>
      </c>
      <c r="Q133">
        <v>284.15695997124516</v>
      </c>
      <c r="R133" s="1">
        <f t="shared" ref="R133:R196" si="15">Q133-$F$30</f>
        <v>7.6787576142814942</v>
      </c>
      <c r="S133" s="1">
        <f t="shared" si="10"/>
        <v>454.66531258920463</v>
      </c>
      <c r="T133" s="1">
        <f t="shared" si="14"/>
        <v>275.78945460876781</v>
      </c>
      <c r="U133" s="1">
        <f t="shared" si="14"/>
        <v>92.487468892436027</v>
      </c>
      <c r="V133" s="1">
        <f t="shared" si="14"/>
        <v>265.17450290722093</v>
      </c>
      <c r="W133" s="1">
        <f t="shared" si="14"/>
        <v>307.62602749770878</v>
      </c>
      <c r="X133" s="1">
        <f t="shared" si="14"/>
        <v>371.48766362664111</v>
      </c>
      <c r="Y133" s="1">
        <f t="shared" si="14"/>
        <v>198.76256055552781</v>
      </c>
      <c r="Z133" s="1">
        <f t="shared" si="14"/>
        <v>86.968485433386348</v>
      </c>
      <c r="AA133" s="1">
        <f t="shared" si="14"/>
        <v>296.4778687331397</v>
      </c>
      <c r="AB133" s="1">
        <f t="shared" si="14"/>
        <v>175.11163497781669</v>
      </c>
      <c r="AC133" s="1">
        <f t="shared" si="14"/>
        <v>195.5394036311836</v>
      </c>
      <c r="AD133" s="1">
        <f t="shared" si="14"/>
        <v>773.62442485022143</v>
      </c>
      <c r="AE133" s="1">
        <f t="shared" si="14"/>
        <v>963.91192404331218</v>
      </c>
      <c r="AF133" s="1">
        <f t="shared" si="14"/>
        <v>470.07735964383585</v>
      </c>
      <c r="AG133" s="1">
        <f t="shared" si="14"/>
        <v>58.666798039845595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 x14ac:dyDescent="0.45">
      <c r="A134">
        <v>454.66531258920463</v>
      </c>
      <c r="Q134">
        <v>454.66531258920463</v>
      </c>
      <c r="R134" s="1">
        <f t="shared" si="15"/>
        <v>178.18711023224097</v>
      </c>
      <c r="S134" s="1">
        <f t="shared" ref="S134:S197" si="16">Q135</f>
        <v>275.78945460876781</v>
      </c>
      <c r="T134" s="1">
        <f t="shared" si="14"/>
        <v>92.487468892436027</v>
      </c>
      <c r="U134" s="1">
        <f t="shared" si="14"/>
        <v>265.17450290722093</v>
      </c>
      <c r="V134" s="1">
        <f t="shared" si="14"/>
        <v>307.62602749770878</v>
      </c>
      <c r="W134" s="1">
        <f t="shared" si="14"/>
        <v>371.48766362664111</v>
      </c>
      <c r="X134" s="1">
        <f t="shared" si="14"/>
        <v>198.76256055552781</v>
      </c>
      <c r="Y134" s="1">
        <f t="shared" si="14"/>
        <v>86.968485433386348</v>
      </c>
      <c r="Z134" s="1">
        <f t="shared" si="14"/>
        <v>296.4778687331397</v>
      </c>
      <c r="AA134" s="1">
        <f t="shared" si="14"/>
        <v>175.11163497781669</v>
      </c>
      <c r="AB134" s="1">
        <f t="shared" si="14"/>
        <v>195.5394036311836</v>
      </c>
      <c r="AC134" s="1">
        <f t="shared" si="14"/>
        <v>773.62442485022143</v>
      </c>
      <c r="AD134" s="1">
        <f t="shared" si="14"/>
        <v>963.91192404331218</v>
      </c>
      <c r="AE134" s="1">
        <f t="shared" si="14"/>
        <v>470.07735964383585</v>
      </c>
      <c r="AF134" s="1">
        <f t="shared" si="14"/>
        <v>58.666798039845595</v>
      </c>
      <c r="AG134" s="1">
        <f t="shared" si="14"/>
        <v>286.58976380434297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 x14ac:dyDescent="0.45">
      <c r="A135">
        <v>275.78945460876781</v>
      </c>
      <c r="Q135">
        <v>275.78945460876781</v>
      </c>
      <c r="R135" s="1">
        <f t="shared" si="15"/>
        <v>-0.68874774819585127</v>
      </c>
      <c r="S135" s="1">
        <f t="shared" si="16"/>
        <v>92.487468892436027</v>
      </c>
      <c r="T135" s="1">
        <f t="shared" si="14"/>
        <v>265.17450290722093</v>
      </c>
      <c r="U135" s="1">
        <f t="shared" si="14"/>
        <v>307.62602749770878</v>
      </c>
      <c r="V135" s="1">
        <f t="shared" si="14"/>
        <v>371.48766362664111</v>
      </c>
      <c r="W135" s="1">
        <f t="shared" si="14"/>
        <v>198.76256055552781</v>
      </c>
      <c r="X135" s="1">
        <f t="shared" si="14"/>
        <v>86.968485433386348</v>
      </c>
      <c r="Y135" s="1">
        <f t="shared" si="14"/>
        <v>296.4778687331397</v>
      </c>
      <c r="Z135" s="1">
        <f t="shared" si="14"/>
        <v>175.11163497781669</v>
      </c>
      <c r="AA135" s="1">
        <f t="shared" si="14"/>
        <v>195.5394036311836</v>
      </c>
      <c r="AB135" s="1">
        <f t="shared" si="14"/>
        <v>773.62442485022143</v>
      </c>
      <c r="AC135" s="1">
        <f t="shared" si="14"/>
        <v>963.91192404331218</v>
      </c>
      <c r="AD135" s="1">
        <f t="shared" si="14"/>
        <v>470.07735964383585</v>
      </c>
      <c r="AE135" s="1">
        <f t="shared" si="14"/>
        <v>58.666798039845595</v>
      </c>
      <c r="AF135" s="1">
        <f t="shared" si="14"/>
        <v>286.58976380434297</v>
      </c>
      <c r="AG135" s="1">
        <f t="shared" si="14"/>
        <v>206.34793947422529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 x14ac:dyDescent="0.45">
      <c r="A136">
        <v>92.487468892436027</v>
      </c>
      <c r="Q136">
        <v>92.487468892436027</v>
      </c>
      <c r="R136" s="1">
        <f t="shared" si="15"/>
        <v>-183.99073346452764</v>
      </c>
      <c r="S136" s="1">
        <f t="shared" si="16"/>
        <v>265.17450290722093</v>
      </c>
      <c r="T136" s="1">
        <f t="shared" si="14"/>
        <v>307.62602749770878</v>
      </c>
      <c r="U136" s="1">
        <f t="shared" si="14"/>
        <v>371.48766362664111</v>
      </c>
      <c r="V136" s="1">
        <f t="shared" si="14"/>
        <v>198.76256055552781</v>
      </c>
      <c r="W136" s="1">
        <f t="shared" si="14"/>
        <v>86.968485433386348</v>
      </c>
      <c r="X136" s="1">
        <f t="shared" si="14"/>
        <v>296.4778687331397</v>
      </c>
      <c r="Y136" s="1">
        <f t="shared" si="14"/>
        <v>175.11163497781669</v>
      </c>
      <c r="Z136" s="1">
        <f t="shared" si="14"/>
        <v>195.5394036311836</v>
      </c>
      <c r="AA136" s="1">
        <f t="shared" si="14"/>
        <v>773.62442485022143</v>
      </c>
      <c r="AB136" s="1">
        <f t="shared" si="14"/>
        <v>963.91192404331218</v>
      </c>
      <c r="AC136" s="1">
        <f t="shared" si="14"/>
        <v>470.07735964383585</v>
      </c>
      <c r="AD136" s="1">
        <f t="shared" si="14"/>
        <v>58.666798039845595</v>
      </c>
      <c r="AE136" s="1">
        <f t="shared" si="14"/>
        <v>286.58976380434297</v>
      </c>
      <c r="AF136" s="1">
        <f t="shared" si="14"/>
        <v>206.34793947422529</v>
      </c>
      <c r="AG136" s="1">
        <f t="shared" si="14"/>
        <v>304.27088457688751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 x14ac:dyDescent="0.45">
      <c r="A137">
        <v>265.17450290722093</v>
      </c>
      <c r="Q137">
        <v>265.17450290722093</v>
      </c>
      <c r="R137" s="1">
        <f t="shared" si="15"/>
        <v>-11.303699449742737</v>
      </c>
      <c r="S137" s="1">
        <f t="shared" si="16"/>
        <v>307.62602749770878</v>
      </c>
      <c r="T137" s="1">
        <f t="shared" si="14"/>
        <v>371.48766362664111</v>
      </c>
      <c r="U137" s="1">
        <f t="shared" si="14"/>
        <v>198.76256055552781</v>
      </c>
      <c r="V137" s="1">
        <f t="shared" si="14"/>
        <v>86.968485433386348</v>
      </c>
      <c r="W137" s="1">
        <f t="shared" si="14"/>
        <v>296.4778687331397</v>
      </c>
      <c r="X137" s="1">
        <f t="shared" si="14"/>
        <v>175.11163497781669</v>
      </c>
      <c r="Y137" s="1">
        <f t="shared" si="14"/>
        <v>195.5394036311836</v>
      </c>
      <c r="Z137" s="1">
        <f t="shared" si="14"/>
        <v>773.62442485022143</v>
      </c>
      <c r="AA137" s="1">
        <f t="shared" si="14"/>
        <v>963.91192404331218</v>
      </c>
      <c r="AB137" s="1">
        <f t="shared" si="14"/>
        <v>470.07735964383585</v>
      </c>
      <c r="AC137" s="1">
        <f t="shared" si="14"/>
        <v>58.666798039845595</v>
      </c>
      <c r="AD137" s="1">
        <f t="shared" si="14"/>
        <v>286.58976380434297</v>
      </c>
      <c r="AE137" s="1">
        <f t="shared" si="14"/>
        <v>206.34793947422529</v>
      </c>
      <c r="AF137" s="1">
        <f t="shared" si="14"/>
        <v>304.27088457688751</v>
      </c>
      <c r="AG137" s="1">
        <f t="shared" si="14"/>
        <v>104.26280419099015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 x14ac:dyDescent="0.45">
      <c r="A138">
        <v>307.62602749770878</v>
      </c>
      <c r="Q138">
        <v>307.62602749770878</v>
      </c>
      <c r="R138" s="1">
        <f t="shared" si="15"/>
        <v>31.147825140745113</v>
      </c>
      <c r="S138" s="1">
        <f t="shared" si="16"/>
        <v>371.48766362664111</v>
      </c>
      <c r="T138" s="1">
        <f t="shared" si="14"/>
        <v>198.76256055552781</v>
      </c>
      <c r="U138" s="1">
        <f t="shared" si="14"/>
        <v>86.968485433386348</v>
      </c>
      <c r="V138" s="1">
        <f t="shared" ref="T138:AG156" si="17">U139</f>
        <v>296.4778687331397</v>
      </c>
      <c r="W138" s="1">
        <f t="shared" si="17"/>
        <v>175.11163497781669</v>
      </c>
      <c r="X138" s="1">
        <f t="shared" si="17"/>
        <v>195.5394036311836</v>
      </c>
      <c r="Y138" s="1">
        <f t="shared" si="17"/>
        <v>773.62442485022143</v>
      </c>
      <c r="Z138" s="1">
        <f t="shared" si="17"/>
        <v>963.91192404331218</v>
      </c>
      <c r="AA138" s="1">
        <f t="shared" si="17"/>
        <v>470.07735964383585</v>
      </c>
      <c r="AB138" s="1">
        <f t="shared" si="17"/>
        <v>58.666798039845595</v>
      </c>
      <c r="AC138" s="1">
        <f t="shared" si="17"/>
        <v>286.58976380434297</v>
      </c>
      <c r="AD138" s="1">
        <f t="shared" si="17"/>
        <v>206.34793947422529</v>
      </c>
      <c r="AE138" s="1">
        <f t="shared" si="17"/>
        <v>304.27088457688751</v>
      </c>
      <c r="AF138" s="1">
        <f t="shared" si="17"/>
        <v>104.26280419099015</v>
      </c>
      <c r="AG138" s="1">
        <f t="shared" si="17"/>
        <v>41.987405013056787</v>
      </c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 x14ac:dyDescent="0.45">
      <c r="A139">
        <v>371.48766362664111</v>
      </c>
      <c r="Q139">
        <v>371.48766362664111</v>
      </c>
      <c r="R139" s="1">
        <f t="shared" si="15"/>
        <v>95.009461269677445</v>
      </c>
      <c r="S139" s="1">
        <f t="shared" si="16"/>
        <v>198.76256055552781</v>
      </c>
      <c r="T139" s="1">
        <f t="shared" si="17"/>
        <v>86.968485433386348</v>
      </c>
      <c r="U139" s="1">
        <f t="shared" si="17"/>
        <v>296.4778687331397</v>
      </c>
      <c r="V139" s="1">
        <f t="shared" si="17"/>
        <v>175.11163497781669</v>
      </c>
      <c r="W139" s="1">
        <f t="shared" si="17"/>
        <v>195.5394036311836</v>
      </c>
      <c r="X139" s="1">
        <f t="shared" si="17"/>
        <v>773.62442485022143</v>
      </c>
      <c r="Y139" s="1">
        <f t="shared" si="17"/>
        <v>963.91192404331218</v>
      </c>
      <c r="Z139" s="1">
        <f t="shared" si="17"/>
        <v>470.07735964383585</v>
      </c>
      <c r="AA139" s="1">
        <f t="shared" si="17"/>
        <v>58.666798039845595</v>
      </c>
      <c r="AB139" s="1">
        <f t="shared" si="17"/>
        <v>286.58976380434297</v>
      </c>
      <c r="AC139" s="1">
        <f t="shared" si="17"/>
        <v>206.34793947422529</v>
      </c>
      <c r="AD139" s="1">
        <f t="shared" si="17"/>
        <v>304.27088457688751</v>
      </c>
      <c r="AE139" s="1">
        <f t="shared" si="17"/>
        <v>104.26280419099015</v>
      </c>
      <c r="AF139" s="1">
        <f t="shared" si="17"/>
        <v>41.987405013056787</v>
      </c>
      <c r="AG139" s="1">
        <f t="shared" si="17"/>
        <v>283.1327490709441</v>
      </c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 x14ac:dyDescent="0.45">
      <c r="A140">
        <v>198.76256055552781</v>
      </c>
      <c r="Q140">
        <v>198.76256055552781</v>
      </c>
      <c r="R140" s="1">
        <f t="shared" si="15"/>
        <v>-77.715641801435851</v>
      </c>
      <c r="S140" s="1">
        <f t="shared" si="16"/>
        <v>86.968485433386348</v>
      </c>
      <c r="T140" s="1">
        <f t="shared" si="17"/>
        <v>296.4778687331397</v>
      </c>
      <c r="U140" s="1">
        <f t="shared" si="17"/>
        <v>175.11163497781669</v>
      </c>
      <c r="V140" s="1">
        <f t="shared" si="17"/>
        <v>195.5394036311836</v>
      </c>
      <c r="W140" s="1">
        <f t="shared" si="17"/>
        <v>773.62442485022143</v>
      </c>
      <c r="X140" s="1">
        <f t="shared" si="17"/>
        <v>963.91192404331218</v>
      </c>
      <c r="Y140" s="1">
        <f t="shared" si="17"/>
        <v>470.07735964383585</v>
      </c>
      <c r="Z140" s="1">
        <f t="shared" si="17"/>
        <v>58.666798039845595</v>
      </c>
      <c r="AA140" s="1">
        <f t="shared" si="17"/>
        <v>286.58976380434297</v>
      </c>
      <c r="AB140" s="1">
        <f t="shared" si="17"/>
        <v>206.34793947422529</v>
      </c>
      <c r="AC140" s="1">
        <f t="shared" si="17"/>
        <v>304.27088457688751</v>
      </c>
      <c r="AD140" s="1">
        <f t="shared" si="17"/>
        <v>104.26280419099015</v>
      </c>
      <c r="AE140" s="1">
        <f t="shared" si="17"/>
        <v>41.987405013056787</v>
      </c>
      <c r="AF140" s="1">
        <f t="shared" si="17"/>
        <v>283.1327490709441</v>
      </c>
      <c r="AG140" s="1">
        <f t="shared" si="17"/>
        <v>132.85573066642723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 x14ac:dyDescent="0.45">
      <c r="A141">
        <v>86.968485433386348</v>
      </c>
      <c r="Q141">
        <v>86.968485433386348</v>
      </c>
      <c r="R141" s="1">
        <f t="shared" si="15"/>
        <v>-189.50971692357732</v>
      </c>
      <c r="S141" s="1">
        <f t="shared" si="16"/>
        <v>296.4778687331397</v>
      </c>
      <c r="T141" s="1">
        <f t="shared" si="17"/>
        <v>175.11163497781669</v>
      </c>
      <c r="U141" s="1">
        <f t="shared" si="17"/>
        <v>195.5394036311836</v>
      </c>
      <c r="V141" s="1">
        <f t="shared" si="17"/>
        <v>773.62442485022143</v>
      </c>
      <c r="W141" s="1">
        <f t="shared" si="17"/>
        <v>963.91192404331218</v>
      </c>
      <c r="X141" s="1">
        <f t="shared" si="17"/>
        <v>470.07735964383585</v>
      </c>
      <c r="Y141" s="1">
        <f t="shared" si="17"/>
        <v>58.666798039845595</v>
      </c>
      <c r="Z141" s="1">
        <f t="shared" si="17"/>
        <v>286.58976380434297</v>
      </c>
      <c r="AA141" s="1">
        <f t="shared" si="17"/>
        <v>206.34793947422529</v>
      </c>
      <c r="AB141" s="1">
        <f t="shared" si="17"/>
        <v>304.27088457688751</v>
      </c>
      <c r="AC141" s="1">
        <f t="shared" si="17"/>
        <v>104.26280419099015</v>
      </c>
      <c r="AD141" s="1">
        <f t="shared" si="17"/>
        <v>41.987405013056787</v>
      </c>
      <c r="AE141" s="1">
        <f t="shared" si="17"/>
        <v>283.1327490709441</v>
      </c>
      <c r="AF141" s="1">
        <f t="shared" si="17"/>
        <v>132.85573066642723</v>
      </c>
      <c r="AG141" s="1">
        <f t="shared" si="17"/>
        <v>249.47330187908724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 x14ac:dyDescent="0.45">
      <c r="A142">
        <v>296.4778687331397</v>
      </c>
      <c r="Q142">
        <v>296.4778687331397</v>
      </c>
      <c r="R142" s="1">
        <f t="shared" si="15"/>
        <v>19.999666376176037</v>
      </c>
      <c r="S142" s="1">
        <f t="shared" si="16"/>
        <v>175.11163497781669</v>
      </c>
      <c r="T142" s="1">
        <f t="shared" si="17"/>
        <v>195.5394036311836</v>
      </c>
      <c r="U142" s="1">
        <f t="shared" si="17"/>
        <v>773.62442485022143</v>
      </c>
      <c r="V142" s="1">
        <f t="shared" si="17"/>
        <v>963.91192404331218</v>
      </c>
      <c r="W142" s="1">
        <f t="shared" si="17"/>
        <v>470.07735964383585</v>
      </c>
      <c r="X142" s="1">
        <f t="shared" si="17"/>
        <v>58.666798039845595</v>
      </c>
      <c r="Y142" s="1">
        <f t="shared" si="17"/>
        <v>286.58976380434297</v>
      </c>
      <c r="Z142" s="1">
        <f t="shared" si="17"/>
        <v>206.34793947422529</v>
      </c>
      <c r="AA142" s="1">
        <f t="shared" si="17"/>
        <v>304.27088457688751</v>
      </c>
      <c r="AB142" s="1">
        <f t="shared" si="17"/>
        <v>104.26280419099015</v>
      </c>
      <c r="AC142" s="1">
        <f t="shared" si="17"/>
        <v>41.987405013056787</v>
      </c>
      <c r="AD142" s="1">
        <f t="shared" si="17"/>
        <v>283.1327490709441</v>
      </c>
      <c r="AE142" s="1">
        <f t="shared" si="17"/>
        <v>132.85573066642723</v>
      </c>
      <c r="AF142" s="1">
        <f t="shared" si="17"/>
        <v>249.47330187908724</v>
      </c>
      <c r="AG142" s="1">
        <f t="shared" si="17"/>
        <v>258.11916421926173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 x14ac:dyDescent="0.45">
      <c r="A143">
        <v>175.11163497781669</v>
      </c>
      <c r="Q143">
        <v>175.11163497781669</v>
      </c>
      <c r="R143" s="1">
        <f t="shared" si="15"/>
        <v>-101.36656737914697</v>
      </c>
      <c r="S143" s="1">
        <f t="shared" si="16"/>
        <v>195.5394036311836</v>
      </c>
      <c r="T143" s="1">
        <f t="shared" si="17"/>
        <v>773.62442485022143</v>
      </c>
      <c r="U143" s="1">
        <f t="shared" si="17"/>
        <v>963.91192404331218</v>
      </c>
      <c r="V143" s="1">
        <f t="shared" si="17"/>
        <v>470.07735964383585</v>
      </c>
      <c r="W143" s="1">
        <f t="shared" si="17"/>
        <v>58.666798039845595</v>
      </c>
      <c r="X143" s="1">
        <f t="shared" si="17"/>
        <v>286.58976380434297</v>
      </c>
      <c r="Y143" s="1">
        <f t="shared" si="17"/>
        <v>206.34793947422529</v>
      </c>
      <c r="Z143" s="1">
        <f t="shared" si="17"/>
        <v>304.27088457688751</v>
      </c>
      <c r="AA143" s="1">
        <f t="shared" si="17"/>
        <v>104.26280419099015</v>
      </c>
      <c r="AB143" s="1">
        <f t="shared" si="17"/>
        <v>41.987405013056787</v>
      </c>
      <c r="AC143" s="1">
        <f t="shared" si="17"/>
        <v>283.1327490709441</v>
      </c>
      <c r="AD143" s="1">
        <f t="shared" si="17"/>
        <v>132.85573066642723</v>
      </c>
      <c r="AE143" s="1">
        <f t="shared" si="17"/>
        <v>249.47330187908724</v>
      </c>
      <c r="AF143" s="1">
        <f t="shared" si="17"/>
        <v>258.11916421926173</v>
      </c>
      <c r="AG143" s="1">
        <f t="shared" si="17"/>
        <v>544.83169816681391</v>
      </c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 x14ac:dyDescent="0.45">
      <c r="A144">
        <v>195.5394036311836</v>
      </c>
      <c r="Q144">
        <v>195.5394036311836</v>
      </c>
      <c r="R144" s="1">
        <f t="shared" si="15"/>
        <v>-80.93879872578006</v>
      </c>
      <c r="S144" s="1">
        <f t="shared" si="16"/>
        <v>773.62442485022143</v>
      </c>
      <c r="T144" s="1">
        <f t="shared" si="17"/>
        <v>963.91192404331218</v>
      </c>
      <c r="U144" s="1">
        <f t="shared" si="17"/>
        <v>470.07735964383585</v>
      </c>
      <c r="V144" s="1">
        <f t="shared" si="17"/>
        <v>58.666798039845595</v>
      </c>
      <c r="W144" s="1">
        <f t="shared" si="17"/>
        <v>286.58976380434297</v>
      </c>
      <c r="X144" s="1">
        <f t="shared" si="17"/>
        <v>206.34793947422529</v>
      </c>
      <c r="Y144" s="1">
        <f t="shared" si="17"/>
        <v>304.27088457688751</v>
      </c>
      <c r="Z144" s="1">
        <f t="shared" si="17"/>
        <v>104.26280419099015</v>
      </c>
      <c r="AA144" s="1">
        <f t="shared" si="17"/>
        <v>41.987405013056787</v>
      </c>
      <c r="AB144" s="1">
        <f t="shared" si="17"/>
        <v>283.1327490709441</v>
      </c>
      <c r="AC144" s="1">
        <f t="shared" si="17"/>
        <v>132.85573066642723</v>
      </c>
      <c r="AD144" s="1">
        <f t="shared" si="17"/>
        <v>249.47330187908724</v>
      </c>
      <c r="AE144" s="1">
        <f t="shared" si="17"/>
        <v>258.11916421926173</v>
      </c>
      <c r="AF144" s="1">
        <f t="shared" si="17"/>
        <v>544.83169816681391</v>
      </c>
      <c r="AG144" s="1">
        <f t="shared" si="17"/>
        <v>427.3316189693366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 x14ac:dyDescent="0.45">
      <c r="A145">
        <v>773.62442485022143</v>
      </c>
      <c r="Q145">
        <v>773.62442485022143</v>
      </c>
      <c r="R145" s="1">
        <f t="shared" si="15"/>
        <v>497.14622249325777</v>
      </c>
      <c r="S145" s="1">
        <f t="shared" si="16"/>
        <v>963.91192404331218</v>
      </c>
      <c r="T145" s="1">
        <f t="shared" si="17"/>
        <v>470.07735964383585</v>
      </c>
      <c r="U145" s="1">
        <f t="shared" si="17"/>
        <v>58.666798039845595</v>
      </c>
      <c r="V145" s="1">
        <f t="shared" si="17"/>
        <v>286.58976380434297</v>
      </c>
      <c r="W145" s="1">
        <f t="shared" si="17"/>
        <v>206.34793947422529</v>
      </c>
      <c r="X145" s="1">
        <f t="shared" si="17"/>
        <v>304.27088457688751</v>
      </c>
      <c r="Y145" s="1">
        <f t="shared" si="17"/>
        <v>104.26280419099015</v>
      </c>
      <c r="Z145" s="1">
        <f t="shared" si="17"/>
        <v>41.987405013056787</v>
      </c>
      <c r="AA145" s="1">
        <f t="shared" si="17"/>
        <v>283.1327490709441</v>
      </c>
      <c r="AB145" s="1">
        <f t="shared" si="17"/>
        <v>132.85573066642723</v>
      </c>
      <c r="AC145" s="1">
        <f t="shared" si="17"/>
        <v>249.47330187908724</v>
      </c>
      <c r="AD145" s="1">
        <f t="shared" si="17"/>
        <v>258.11916421926173</v>
      </c>
      <c r="AE145" s="1">
        <f t="shared" si="17"/>
        <v>544.83169816681391</v>
      </c>
      <c r="AF145" s="1">
        <f t="shared" si="17"/>
        <v>427.3316189693366</v>
      </c>
      <c r="AG145" s="1">
        <f t="shared" si="17"/>
        <v>111.21298400891638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 x14ac:dyDescent="0.45">
      <c r="A146">
        <v>963.91192404331218</v>
      </c>
      <c r="Q146">
        <v>963.91192404331218</v>
      </c>
      <c r="R146" s="1">
        <f t="shared" si="15"/>
        <v>687.43372168634846</v>
      </c>
      <c r="S146" s="1">
        <f t="shared" si="16"/>
        <v>470.07735964383585</v>
      </c>
      <c r="T146" s="1">
        <f t="shared" si="17"/>
        <v>58.666798039845595</v>
      </c>
      <c r="U146" s="1">
        <f t="shared" si="17"/>
        <v>286.58976380434297</v>
      </c>
      <c r="V146" s="1">
        <f t="shared" si="17"/>
        <v>206.34793947422529</v>
      </c>
      <c r="W146" s="1">
        <f t="shared" si="17"/>
        <v>304.27088457688751</v>
      </c>
      <c r="X146" s="1">
        <f t="shared" si="17"/>
        <v>104.26280419099015</v>
      </c>
      <c r="Y146" s="1">
        <f t="shared" si="17"/>
        <v>41.987405013056787</v>
      </c>
      <c r="Z146" s="1">
        <f t="shared" si="17"/>
        <v>283.1327490709441</v>
      </c>
      <c r="AA146" s="1">
        <f t="shared" si="17"/>
        <v>132.85573066642723</v>
      </c>
      <c r="AB146" s="1">
        <f t="shared" si="17"/>
        <v>249.47330187908724</v>
      </c>
      <c r="AC146" s="1">
        <f t="shared" si="17"/>
        <v>258.11916421926173</v>
      </c>
      <c r="AD146" s="1">
        <f t="shared" si="17"/>
        <v>544.83169816681391</v>
      </c>
      <c r="AE146" s="1">
        <f t="shared" si="17"/>
        <v>427.3316189693366</v>
      </c>
      <c r="AF146" s="1">
        <f t="shared" si="17"/>
        <v>111.21298400891638</v>
      </c>
      <c r="AG146" s="1">
        <f t="shared" si="17"/>
        <v>516.60930724462185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 x14ac:dyDescent="0.45">
      <c r="A147">
        <v>470.07735964383585</v>
      </c>
      <c r="Q147">
        <v>470.07735964383585</v>
      </c>
      <c r="R147" s="1">
        <f t="shared" si="15"/>
        <v>193.59915728687218</v>
      </c>
      <c r="S147" s="1">
        <f t="shared" si="16"/>
        <v>58.666798039845595</v>
      </c>
      <c r="T147" s="1">
        <f t="shared" si="17"/>
        <v>286.58976380434297</v>
      </c>
      <c r="U147" s="1">
        <f t="shared" si="17"/>
        <v>206.34793947422529</v>
      </c>
      <c r="V147" s="1">
        <f t="shared" si="17"/>
        <v>304.27088457688751</v>
      </c>
      <c r="W147" s="1">
        <f t="shared" si="17"/>
        <v>104.26280419099015</v>
      </c>
      <c r="X147" s="1">
        <f t="shared" si="17"/>
        <v>41.987405013056787</v>
      </c>
      <c r="Y147" s="1">
        <f t="shared" si="17"/>
        <v>283.1327490709441</v>
      </c>
      <c r="Z147" s="1">
        <f t="shared" si="17"/>
        <v>132.85573066642723</v>
      </c>
      <c r="AA147" s="1">
        <f t="shared" si="17"/>
        <v>249.47330187908724</v>
      </c>
      <c r="AB147" s="1">
        <f t="shared" si="17"/>
        <v>258.11916421926173</v>
      </c>
      <c r="AC147" s="1">
        <f t="shared" si="17"/>
        <v>544.83169816681391</v>
      </c>
      <c r="AD147" s="1">
        <f t="shared" si="17"/>
        <v>427.3316189693366</v>
      </c>
      <c r="AE147" s="1">
        <f t="shared" si="17"/>
        <v>111.21298400891638</v>
      </c>
      <c r="AF147" s="1">
        <f t="shared" si="17"/>
        <v>516.60930724462185</v>
      </c>
      <c r="AG147" s="1">
        <f t="shared" si="17"/>
        <v>422.49552308820171</v>
      </c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 x14ac:dyDescent="0.45">
      <c r="A148">
        <v>58.666798039845595</v>
      </c>
      <c r="Q148">
        <v>58.666798039845595</v>
      </c>
      <c r="R148" s="1">
        <f t="shared" si="15"/>
        <v>-217.81140431711808</v>
      </c>
      <c r="S148" s="1">
        <f t="shared" si="16"/>
        <v>286.58976380434297</v>
      </c>
      <c r="T148" s="1">
        <f t="shared" si="17"/>
        <v>206.34793947422529</v>
      </c>
      <c r="U148" s="1">
        <f t="shared" si="17"/>
        <v>304.27088457688751</v>
      </c>
      <c r="V148" s="1">
        <f t="shared" si="17"/>
        <v>104.26280419099015</v>
      </c>
      <c r="W148" s="1">
        <f t="shared" si="17"/>
        <v>41.987405013056787</v>
      </c>
      <c r="X148" s="1">
        <f t="shared" si="17"/>
        <v>283.1327490709441</v>
      </c>
      <c r="Y148" s="1">
        <f t="shared" si="17"/>
        <v>132.85573066642723</v>
      </c>
      <c r="Z148" s="1">
        <f t="shared" si="17"/>
        <v>249.47330187908724</v>
      </c>
      <c r="AA148" s="1">
        <f t="shared" si="17"/>
        <v>258.11916421926173</v>
      </c>
      <c r="AB148" s="1">
        <f t="shared" si="17"/>
        <v>544.83169816681391</v>
      </c>
      <c r="AC148" s="1">
        <f t="shared" si="17"/>
        <v>427.3316189693366</v>
      </c>
      <c r="AD148" s="1">
        <f t="shared" si="17"/>
        <v>111.21298400891638</v>
      </c>
      <c r="AE148" s="1">
        <f t="shared" si="17"/>
        <v>516.60930724462185</v>
      </c>
      <c r="AF148" s="1">
        <f t="shared" si="17"/>
        <v>422.49552308820171</v>
      </c>
      <c r="AG148" s="1">
        <f t="shared" si="17"/>
        <v>64.449753103583717</v>
      </c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 x14ac:dyDescent="0.45">
      <c r="A149">
        <v>286.58976380434297</v>
      </c>
      <c r="Q149">
        <v>286.58976380434297</v>
      </c>
      <c r="R149" s="1">
        <f t="shared" si="15"/>
        <v>10.111561447379302</v>
      </c>
      <c r="S149" s="1">
        <f t="shared" si="16"/>
        <v>206.34793947422529</v>
      </c>
      <c r="T149" s="1">
        <f t="shared" si="17"/>
        <v>304.27088457688751</v>
      </c>
      <c r="U149" s="1">
        <f t="shared" si="17"/>
        <v>104.26280419099015</v>
      </c>
      <c r="V149" s="1">
        <f t="shared" si="17"/>
        <v>41.987405013056787</v>
      </c>
      <c r="W149" s="1">
        <f t="shared" si="17"/>
        <v>283.1327490709441</v>
      </c>
      <c r="X149" s="1">
        <f t="shared" si="17"/>
        <v>132.85573066642723</v>
      </c>
      <c r="Y149" s="1">
        <f t="shared" si="17"/>
        <v>249.47330187908724</v>
      </c>
      <c r="Z149" s="1">
        <f t="shared" si="17"/>
        <v>258.11916421926173</v>
      </c>
      <c r="AA149" s="1">
        <f t="shared" si="17"/>
        <v>544.83169816681391</v>
      </c>
      <c r="AB149" s="1">
        <f t="shared" si="17"/>
        <v>427.3316189693366</v>
      </c>
      <c r="AC149" s="1">
        <f t="shared" si="17"/>
        <v>111.21298400891638</v>
      </c>
      <c r="AD149" s="1">
        <f t="shared" si="17"/>
        <v>516.60930724462185</v>
      </c>
      <c r="AE149" s="1">
        <f t="shared" si="17"/>
        <v>422.49552308820171</v>
      </c>
      <c r="AF149" s="1">
        <f t="shared" si="17"/>
        <v>64.449753103583717</v>
      </c>
      <c r="AG149" s="1">
        <f t="shared" si="17"/>
        <v>330.64674018688521</v>
      </c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 x14ac:dyDescent="0.45">
      <c r="A150">
        <v>206.34793947422529</v>
      </c>
      <c r="Q150">
        <v>206.34793947422529</v>
      </c>
      <c r="R150" s="1">
        <f t="shared" si="15"/>
        <v>-70.130262882738378</v>
      </c>
      <c r="S150" s="1">
        <f t="shared" si="16"/>
        <v>304.27088457688751</v>
      </c>
      <c r="T150" s="1">
        <f t="shared" si="17"/>
        <v>104.26280419099015</v>
      </c>
      <c r="U150" s="1">
        <f t="shared" si="17"/>
        <v>41.987405013056787</v>
      </c>
      <c r="V150" s="1">
        <f t="shared" si="17"/>
        <v>283.1327490709441</v>
      </c>
      <c r="W150" s="1">
        <f t="shared" si="17"/>
        <v>132.85573066642723</v>
      </c>
      <c r="X150" s="1">
        <f t="shared" si="17"/>
        <v>249.47330187908724</v>
      </c>
      <c r="Y150" s="1">
        <f t="shared" si="17"/>
        <v>258.11916421926173</v>
      </c>
      <c r="Z150" s="1">
        <f t="shared" si="17"/>
        <v>544.83169816681391</v>
      </c>
      <c r="AA150" s="1">
        <f t="shared" si="17"/>
        <v>427.3316189693366</v>
      </c>
      <c r="AB150" s="1">
        <f t="shared" si="17"/>
        <v>111.21298400891638</v>
      </c>
      <c r="AC150" s="1">
        <f t="shared" si="17"/>
        <v>516.60930724462185</v>
      </c>
      <c r="AD150" s="1">
        <f t="shared" si="17"/>
        <v>422.49552308820171</v>
      </c>
      <c r="AE150" s="1">
        <f t="shared" si="17"/>
        <v>64.449753103583717</v>
      </c>
      <c r="AF150" s="1">
        <f t="shared" si="17"/>
        <v>330.64674018688521</v>
      </c>
      <c r="AG150" s="1">
        <f t="shared" si="17"/>
        <v>225.75968930738185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 x14ac:dyDescent="0.45">
      <c r="A151">
        <v>304.27088457688751</v>
      </c>
      <c r="Q151">
        <v>304.27088457688751</v>
      </c>
      <c r="R151" s="1">
        <f t="shared" si="15"/>
        <v>27.792682219923847</v>
      </c>
      <c r="S151" s="1">
        <f t="shared" si="16"/>
        <v>104.26280419099015</v>
      </c>
      <c r="T151" s="1">
        <f t="shared" si="17"/>
        <v>41.987405013056787</v>
      </c>
      <c r="U151" s="1">
        <f t="shared" si="17"/>
        <v>283.1327490709441</v>
      </c>
      <c r="V151" s="1">
        <f t="shared" si="17"/>
        <v>132.85573066642723</v>
      </c>
      <c r="W151" s="1">
        <f t="shared" si="17"/>
        <v>249.47330187908724</v>
      </c>
      <c r="X151" s="1">
        <f t="shared" si="17"/>
        <v>258.11916421926173</v>
      </c>
      <c r="Y151" s="1">
        <f t="shared" si="17"/>
        <v>544.83169816681391</v>
      </c>
      <c r="Z151" s="1">
        <f t="shared" si="17"/>
        <v>427.3316189693366</v>
      </c>
      <c r="AA151" s="1">
        <f t="shared" si="17"/>
        <v>111.21298400891638</v>
      </c>
      <c r="AB151" s="1">
        <f t="shared" si="17"/>
        <v>516.60930724462185</v>
      </c>
      <c r="AC151" s="1">
        <f t="shared" si="17"/>
        <v>422.49552308820171</v>
      </c>
      <c r="AD151" s="1">
        <f t="shared" si="17"/>
        <v>64.449753103583717</v>
      </c>
      <c r="AE151" s="1">
        <f t="shared" si="17"/>
        <v>330.64674018688521</v>
      </c>
      <c r="AF151" s="1">
        <f t="shared" si="17"/>
        <v>225.75968930738185</v>
      </c>
      <c r="AG151" s="1">
        <f t="shared" si="17"/>
        <v>464.29149854897616</v>
      </c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 x14ac:dyDescent="0.45">
      <c r="A152">
        <v>104.26280419099015</v>
      </c>
      <c r="Q152">
        <v>104.26280419099015</v>
      </c>
      <c r="R152" s="1">
        <f t="shared" si="15"/>
        <v>-172.21539816597351</v>
      </c>
      <c r="S152" s="1">
        <f t="shared" si="16"/>
        <v>41.987405013056787</v>
      </c>
      <c r="T152" s="1">
        <f t="shared" si="17"/>
        <v>283.1327490709441</v>
      </c>
      <c r="U152" s="1">
        <f t="shared" si="17"/>
        <v>132.85573066642723</v>
      </c>
      <c r="V152" s="1">
        <f t="shared" si="17"/>
        <v>249.47330187908724</v>
      </c>
      <c r="W152" s="1">
        <f t="shared" si="17"/>
        <v>258.11916421926173</v>
      </c>
      <c r="X152" s="1">
        <f t="shared" si="17"/>
        <v>544.83169816681391</v>
      </c>
      <c r="Y152" s="1">
        <f t="shared" si="17"/>
        <v>427.3316189693366</v>
      </c>
      <c r="Z152" s="1">
        <f t="shared" si="17"/>
        <v>111.21298400891638</v>
      </c>
      <c r="AA152" s="1">
        <f t="shared" si="17"/>
        <v>516.60930724462185</v>
      </c>
      <c r="AB152" s="1">
        <f t="shared" si="17"/>
        <v>422.49552308820171</v>
      </c>
      <c r="AC152" s="1">
        <f t="shared" si="17"/>
        <v>64.449753103583717</v>
      </c>
      <c r="AD152" s="1">
        <f t="shared" si="17"/>
        <v>330.64674018688521</v>
      </c>
      <c r="AE152" s="1">
        <f t="shared" si="17"/>
        <v>225.75968930738185</v>
      </c>
      <c r="AF152" s="1">
        <f t="shared" si="17"/>
        <v>464.29149854897616</v>
      </c>
      <c r="AG152" s="1">
        <f t="shared" si="17"/>
        <v>448.35954772690258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 x14ac:dyDescent="0.45">
      <c r="A153">
        <v>41.987405013056787</v>
      </c>
      <c r="Q153">
        <v>41.987405013056787</v>
      </c>
      <c r="R153" s="1">
        <f t="shared" si="15"/>
        <v>-234.49079734390688</v>
      </c>
      <c r="S153" s="1">
        <f t="shared" si="16"/>
        <v>283.1327490709441</v>
      </c>
      <c r="T153" s="1">
        <f t="shared" si="17"/>
        <v>132.85573066642723</v>
      </c>
      <c r="U153" s="1">
        <f t="shared" si="17"/>
        <v>249.47330187908724</v>
      </c>
      <c r="V153" s="1">
        <f t="shared" si="17"/>
        <v>258.11916421926173</v>
      </c>
      <c r="W153" s="1">
        <f t="shared" si="17"/>
        <v>544.83169816681391</v>
      </c>
      <c r="X153" s="1">
        <f t="shared" si="17"/>
        <v>427.3316189693366</v>
      </c>
      <c r="Y153" s="1">
        <f t="shared" si="17"/>
        <v>111.21298400891638</v>
      </c>
      <c r="Z153" s="1">
        <f t="shared" si="17"/>
        <v>516.60930724462185</v>
      </c>
      <c r="AA153" s="1">
        <f t="shared" si="17"/>
        <v>422.49552308820171</v>
      </c>
      <c r="AB153" s="1">
        <f t="shared" si="17"/>
        <v>64.449753103583717</v>
      </c>
      <c r="AC153" s="1">
        <f t="shared" si="17"/>
        <v>330.64674018688521</v>
      </c>
      <c r="AD153" s="1">
        <f t="shared" si="17"/>
        <v>225.75968930738185</v>
      </c>
      <c r="AE153" s="1">
        <f t="shared" si="17"/>
        <v>464.29149854897616</v>
      </c>
      <c r="AF153" s="1">
        <f t="shared" si="17"/>
        <v>448.35954772690258</v>
      </c>
      <c r="AG153" s="1">
        <f t="shared" si="17"/>
        <v>82.518026953077907</v>
      </c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 x14ac:dyDescent="0.45">
      <c r="A154">
        <v>283.1327490709441</v>
      </c>
      <c r="Q154">
        <v>283.1327490709441</v>
      </c>
      <c r="R154" s="1">
        <f t="shared" si="15"/>
        <v>6.6545467139804373</v>
      </c>
      <c r="S154" s="1">
        <f t="shared" si="16"/>
        <v>132.85573066642723</v>
      </c>
      <c r="T154" s="1">
        <f t="shared" si="17"/>
        <v>249.47330187908724</v>
      </c>
      <c r="U154" s="1">
        <f t="shared" si="17"/>
        <v>258.11916421926173</v>
      </c>
      <c r="V154" s="1">
        <f t="shared" si="17"/>
        <v>544.83169816681391</v>
      </c>
      <c r="W154" s="1">
        <f t="shared" si="17"/>
        <v>427.3316189693366</v>
      </c>
      <c r="X154" s="1">
        <f t="shared" si="17"/>
        <v>111.21298400891638</v>
      </c>
      <c r="Y154" s="1">
        <f t="shared" si="17"/>
        <v>516.60930724462185</v>
      </c>
      <c r="Z154" s="1">
        <f t="shared" si="17"/>
        <v>422.49552308820171</v>
      </c>
      <c r="AA154" s="1">
        <f t="shared" si="17"/>
        <v>64.449753103583717</v>
      </c>
      <c r="AB154" s="1">
        <f t="shared" si="17"/>
        <v>330.64674018688521</v>
      </c>
      <c r="AC154" s="1">
        <f t="shared" si="17"/>
        <v>225.75968930738185</v>
      </c>
      <c r="AD154" s="1">
        <f t="shared" si="17"/>
        <v>464.29149854897616</v>
      </c>
      <c r="AE154" s="1">
        <f t="shared" si="17"/>
        <v>448.35954772690258</v>
      </c>
      <c r="AF154" s="1">
        <f t="shared" si="17"/>
        <v>82.518026953077907</v>
      </c>
      <c r="AG154" s="1">
        <f t="shared" si="17"/>
        <v>324.72883545157691</v>
      </c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 x14ac:dyDescent="0.45">
      <c r="A155">
        <v>132.85573066642723</v>
      </c>
      <c r="Q155">
        <v>132.85573066642723</v>
      </c>
      <c r="R155" s="1">
        <f t="shared" si="15"/>
        <v>-143.62247169053643</v>
      </c>
      <c r="S155" s="1">
        <f t="shared" si="16"/>
        <v>249.47330187908724</v>
      </c>
      <c r="T155" s="1">
        <f t="shared" si="17"/>
        <v>258.11916421926173</v>
      </c>
      <c r="U155" s="1">
        <f t="shared" si="17"/>
        <v>544.83169816681391</v>
      </c>
      <c r="V155" s="1">
        <f t="shared" si="17"/>
        <v>427.3316189693366</v>
      </c>
      <c r="W155" s="1">
        <f t="shared" si="17"/>
        <v>111.21298400891638</v>
      </c>
      <c r="X155" s="1">
        <f t="shared" si="17"/>
        <v>516.60930724462185</v>
      </c>
      <c r="Y155" s="1">
        <f t="shared" si="17"/>
        <v>422.49552308820171</v>
      </c>
      <c r="Z155" s="1">
        <f t="shared" si="17"/>
        <v>64.449753103583717</v>
      </c>
      <c r="AA155" s="1">
        <f t="shared" si="17"/>
        <v>330.64674018688521</v>
      </c>
      <c r="AB155" s="1">
        <f t="shared" si="17"/>
        <v>225.75968930738185</v>
      </c>
      <c r="AC155" s="1">
        <f t="shared" si="17"/>
        <v>464.29149854897616</v>
      </c>
      <c r="AD155" s="1">
        <f t="shared" si="17"/>
        <v>448.35954772690258</v>
      </c>
      <c r="AE155" s="1">
        <f t="shared" si="17"/>
        <v>82.518026953077907</v>
      </c>
      <c r="AF155" s="1">
        <f t="shared" si="17"/>
        <v>324.72883545157691</v>
      </c>
      <c r="AG155" s="1">
        <f t="shared" si="17"/>
        <v>493.69109607150557</v>
      </c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 x14ac:dyDescent="0.45">
      <c r="A156">
        <v>249.47330187908724</v>
      </c>
      <c r="Q156">
        <v>249.47330187908724</v>
      </c>
      <c r="R156" s="1">
        <f t="shared" si="15"/>
        <v>-27.004900477876419</v>
      </c>
      <c r="S156" s="1">
        <f t="shared" si="16"/>
        <v>258.11916421926173</v>
      </c>
      <c r="T156" s="1">
        <f t="shared" si="17"/>
        <v>544.83169816681391</v>
      </c>
      <c r="U156" s="1">
        <f t="shared" si="17"/>
        <v>427.3316189693366</v>
      </c>
      <c r="V156" s="1">
        <f t="shared" si="17"/>
        <v>111.21298400891638</v>
      </c>
      <c r="W156" s="1">
        <f t="shared" si="17"/>
        <v>516.60930724462185</v>
      </c>
      <c r="X156" s="1">
        <f t="shared" si="17"/>
        <v>422.49552308820171</v>
      </c>
      <c r="Y156" s="1">
        <f t="shared" ref="Y156:AG156" si="18">X157</f>
        <v>64.449753103583717</v>
      </c>
      <c r="Z156" s="1">
        <f t="shared" si="18"/>
        <v>330.64674018688521</v>
      </c>
      <c r="AA156" s="1">
        <f t="shared" si="18"/>
        <v>225.75968930738185</v>
      </c>
      <c r="AB156" s="1">
        <f t="shared" si="18"/>
        <v>464.29149854897616</v>
      </c>
      <c r="AC156" s="1">
        <f t="shared" si="18"/>
        <v>448.35954772690258</v>
      </c>
      <c r="AD156" s="1">
        <f t="shared" si="18"/>
        <v>82.518026953077907</v>
      </c>
      <c r="AE156" s="1">
        <f t="shared" si="18"/>
        <v>324.72883545157691</v>
      </c>
      <c r="AF156" s="1">
        <f t="shared" si="18"/>
        <v>493.69109607150557</v>
      </c>
      <c r="AG156" s="1">
        <f t="shared" si="18"/>
        <v>80.529610511574333</v>
      </c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 x14ac:dyDescent="0.45">
      <c r="A157">
        <v>258.11916421926173</v>
      </c>
      <c r="Q157">
        <v>258.11916421926173</v>
      </c>
      <c r="R157" s="1">
        <f t="shared" si="15"/>
        <v>-18.35903813770193</v>
      </c>
      <c r="S157" s="1">
        <f t="shared" si="16"/>
        <v>544.83169816681391</v>
      </c>
      <c r="T157" s="1">
        <f t="shared" ref="T157:AG175" si="19">S158</f>
        <v>427.3316189693366</v>
      </c>
      <c r="U157" s="1">
        <f t="shared" si="19"/>
        <v>111.21298400891638</v>
      </c>
      <c r="V157" s="1">
        <f t="shared" si="19"/>
        <v>516.60930724462185</v>
      </c>
      <c r="W157" s="1">
        <f t="shared" si="19"/>
        <v>422.49552308820171</v>
      </c>
      <c r="X157" s="1">
        <f t="shared" si="19"/>
        <v>64.449753103583717</v>
      </c>
      <c r="Y157" s="1">
        <f t="shared" si="19"/>
        <v>330.64674018688521</v>
      </c>
      <c r="Z157" s="1">
        <f t="shared" si="19"/>
        <v>225.75968930738185</v>
      </c>
      <c r="AA157" s="1">
        <f t="shared" si="19"/>
        <v>464.29149854897616</v>
      </c>
      <c r="AB157" s="1">
        <f t="shared" si="19"/>
        <v>448.35954772690258</v>
      </c>
      <c r="AC157" s="1">
        <f t="shared" si="19"/>
        <v>82.518026953077907</v>
      </c>
      <c r="AD157" s="1">
        <f t="shared" si="19"/>
        <v>324.72883545157691</v>
      </c>
      <c r="AE157" s="1">
        <f t="shared" si="19"/>
        <v>493.69109607150557</v>
      </c>
      <c r="AF157" s="1">
        <f t="shared" si="19"/>
        <v>80.529610511574333</v>
      </c>
      <c r="AG157" s="1">
        <f t="shared" si="19"/>
        <v>335.89937217365878</v>
      </c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 x14ac:dyDescent="0.45">
      <c r="A158">
        <v>544.83169816681391</v>
      </c>
      <c r="Q158">
        <v>544.83169816681391</v>
      </c>
      <c r="R158" s="1">
        <f t="shared" si="15"/>
        <v>268.35349580985024</v>
      </c>
      <c r="S158" s="1">
        <f t="shared" si="16"/>
        <v>427.3316189693366</v>
      </c>
      <c r="T158" s="1">
        <f t="shared" si="19"/>
        <v>111.21298400891638</v>
      </c>
      <c r="U158" s="1">
        <f t="shared" si="19"/>
        <v>516.60930724462185</v>
      </c>
      <c r="V158" s="1">
        <f t="shared" si="19"/>
        <v>422.49552308820171</v>
      </c>
      <c r="W158" s="1">
        <f t="shared" si="19"/>
        <v>64.449753103583717</v>
      </c>
      <c r="X158" s="1">
        <f t="shared" si="19"/>
        <v>330.64674018688521</v>
      </c>
      <c r="Y158" s="1">
        <f t="shared" si="19"/>
        <v>225.75968930738185</v>
      </c>
      <c r="Z158" s="1">
        <f t="shared" si="19"/>
        <v>464.29149854897616</v>
      </c>
      <c r="AA158" s="1">
        <f t="shared" si="19"/>
        <v>448.35954772690258</v>
      </c>
      <c r="AB158" s="1">
        <f t="shared" si="19"/>
        <v>82.518026953077907</v>
      </c>
      <c r="AC158" s="1">
        <f t="shared" si="19"/>
        <v>324.72883545157691</v>
      </c>
      <c r="AD158" s="1">
        <f t="shared" si="19"/>
        <v>493.69109607150557</v>
      </c>
      <c r="AE158" s="1">
        <f t="shared" si="19"/>
        <v>80.529610511574333</v>
      </c>
      <c r="AF158" s="1">
        <f t="shared" si="19"/>
        <v>335.89937217365878</v>
      </c>
      <c r="AG158" s="1">
        <f t="shared" si="19"/>
        <v>204.55976274179119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 x14ac:dyDescent="0.45">
      <c r="A159">
        <v>427.3316189693366</v>
      </c>
      <c r="Q159">
        <v>427.3316189693366</v>
      </c>
      <c r="R159" s="1">
        <f t="shared" si="15"/>
        <v>150.85341661237294</v>
      </c>
      <c r="S159" s="1">
        <f t="shared" si="16"/>
        <v>111.21298400891638</v>
      </c>
      <c r="T159" s="1">
        <f t="shared" si="19"/>
        <v>516.60930724462185</v>
      </c>
      <c r="U159" s="1">
        <f t="shared" si="19"/>
        <v>422.49552308820171</v>
      </c>
      <c r="V159" s="1">
        <f t="shared" si="19"/>
        <v>64.449753103583717</v>
      </c>
      <c r="W159" s="1">
        <f t="shared" si="19"/>
        <v>330.64674018688521</v>
      </c>
      <c r="X159" s="1">
        <f t="shared" si="19"/>
        <v>225.75968930738185</v>
      </c>
      <c r="Y159" s="1">
        <f t="shared" si="19"/>
        <v>464.29149854897616</v>
      </c>
      <c r="Z159" s="1">
        <f t="shared" si="19"/>
        <v>448.35954772690258</v>
      </c>
      <c r="AA159" s="1">
        <f t="shared" si="19"/>
        <v>82.518026953077907</v>
      </c>
      <c r="AB159" s="1">
        <f t="shared" si="19"/>
        <v>324.72883545157691</v>
      </c>
      <c r="AC159" s="1">
        <f t="shared" si="19"/>
        <v>493.69109607150557</v>
      </c>
      <c r="AD159" s="1">
        <f t="shared" si="19"/>
        <v>80.529610511574333</v>
      </c>
      <c r="AE159" s="1">
        <f t="shared" si="19"/>
        <v>335.89937217365878</v>
      </c>
      <c r="AF159" s="1">
        <f t="shared" si="19"/>
        <v>204.55976274179119</v>
      </c>
      <c r="AG159" s="1">
        <f t="shared" si="19"/>
        <v>78.325475383001191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 x14ac:dyDescent="0.45">
      <c r="A160">
        <v>111.21298400891638</v>
      </c>
      <c r="Q160">
        <v>111.21298400891638</v>
      </c>
      <c r="R160" s="1">
        <f t="shared" si="15"/>
        <v>-165.26521834804728</v>
      </c>
      <c r="S160" s="1">
        <f t="shared" si="16"/>
        <v>516.60930724462185</v>
      </c>
      <c r="T160" s="1">
        <f t="shared" si="19"/>
        <v>422.49552308820171</v>
      </c>
      <c r="U160" s="1">
        <f t="shared" si="19"/>
        <v>64.449753103583717</v>
      </c>
      <c r="V160" s="1">
        <f t="shared" si="19"/>
        <v>330.64674018688521</v>
      </c>
      <c r="W160" s="1">
        <f t="shared" si="19"/>
        <v>225.75968930738185</v>
      </c>
      <c r="X160" s="1">
        <f t="shared" si="19"/>
        <v>464.29149854897616</v>
      </c>
      <c r="Y160" s="1">
        <f t="shared" si="19"/>
        <v>448.35954772690258</v>
      </c>
      <c r="Z160" s="1">
        <f t="shared" si="19"/>
        <v>82.518026953077907</v>
      </c>
      <c r="AA160" s="1">
        <f t="shared" si="19"/>
        <v>324.72883545157691</v>
      </c>
      <c r="AB160" s="1">
        <f t="shared" si="19"/>
        <v>493.69109607150557</v>
      </c>
      <c r="AC160" s="1">
        <f t="shared" si="19"/>
        <v>80.529610511574333</v>
      </c>
      <c r="AD160" s="1">
        <f t="shared" si="19"/>
        <v>335.89937217365878</v>
      </c>
      <c r="AE160" s="1">
        <f t="shared" si="19"/>
        <v>204.55976274179119</v>
      </c>
      <c r="AF160" s="1">
        <f t="shared" si="19"/>
        <v>78.325475383001191</v>
      </c>
      <c r="AG160" s="1">
        <f t="shared" si="19"/>
        <v>356.27238143444515</v>
      </c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 x14ac:dyDescent="0.45">
      <c r="A161">
        <v>516.60930724462185</v>
      </c>
      <c r="Q161">
        <v>516.60930724462185</v>
      </c>
      <c r="R161" s="1">
        <f t="shared" si="15"/>
        <v>240.13110488765818</v>
      </c>
      <c r="S161" s="1">
        <f t="shared" si="16"/>
        <v>422.49552308820171</v>
      </c>
      <c r="T161" s="1">
        <f t="shared" si="19"/>
        <v>64.449753103583717</v>
      </c>
      <c r="U161" s="1">
        <f t="shared" si="19"/>
        <v>330.64674018688521</v>
      </c>
      <c r="V161" s="1">
        <f t="shared" si="19"/>
        <v>225.75968930738185</v>
      </c>
      <c r="W161" s="1">
        <f t="shared" si="19"/>
        <v>464.29149854897616</v>
      </c>
      <c r="X161" s="1">
        <f t="shared" si="19"/>
        <v>448.35954772690258</v>
      </c>
      <c r="Y161" s="1">
        <f t="shared" si="19"/>
        <v>82.518026953077907</v>
      </c>
      <c r="Z161" s="1">
        <f t="shared" si="19"/>
        <v>324.72883545157691</v>
      </c>
      <c r="AA161" s="1">
        <f t="shared" si="19"/>
        <v>493.69109607150557</v>
      </c>
      <c r="AB161" s="1">
        <f t="shared" si="19"/>
        <v>80.529610511574333</v>
      </c>
      <c r="AC161" s="1">
        <f t="shared" si="19"/>
        <v>335.89937217365878</v>
      </c>
      <c r="AD161" s="1">
        <f t="shared" si="19"/>
        <v>204.55976274179119</v>
      </c>
      <c r="AE161" s="1">
        <f t="shared" si="19"/>
        <v>78.325475383001191</v>
      </c>
      <c r="AF161" s="1">
        <f t="shared" si="19"/>
        <v>356.27238143444515</v>
      </c>
      <c r="AG161" s="1">
        <f t="shared" si="19"/>
        <v>395.48589754866902</v>
      </c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 x14ac:dyDescent="0.45">
      <c r="A162">
        <v>422.49552308820171</v>
      </c>
      <c r="Q162">
        <v>422.49552308820171</v>
      </c>
      <c r="R162" s="1">
        <f t="shared" si="15"/>
        <v>146.01732073123804</v>
      </c>
      <c r="S162" s="1">
        <f t="shared" si="16"/>
        <v>64.449753103583717</v>
      </c>
      <c r="T162" s="1">
        <f t="shared" si="19"/>
        <v>330.64674018688521</v>
      </c>
      <c r="U162" s="1">
        <f t="shared" si="19"/>
        <v>225.75968930738185</v>
      </c>
      <c r="V162" s="1">
        <f t="shared" si="19"/>
        <v>464.29149854897616</v>
      </c>
      <c r="W162" s="1">
        <f t="shared" si="19"/>
        <v>448.35954772690258</v>
      </c>
      <c r="X162" s="1">
        <f t="shared" si="19"/>
        <v>82.518026953077907</v>
      </c>
      <c r="Y162" s="1">
        <f t="shared" si="19"/>
        <v>324.72883545157691</v>
      </c>
      <c r="Z162" s="1">
        <f t="shared" si="19"/>
        <v>493.69109607150557</v>
      </c>
      <c r="AA162" s="1">
        <f t="shared" si="19"/>
        <v>80.529610511574333</v>
      </c>
      <c r="AB162" s="1">
        <f t="shared" si="19"/>
        <v>335.89937217365878</v>
      </c>
      <c r="AC162" s="1">
        <f t="shared" si="19"/>
        <v>204.55976274179119</v>
      </c>
      <c r="AD162" s="1">
        <f t="shared" si="19"/>
        <v>78.325475383001191</v>
      </c>
      <c r="AE162" s="1">
        <f t="shared" si="19"/>
        <v>356.27238143444515</v>
      </c>
      <c r="AF162" s="1">
        <f t="shared" si="19"/>
        <v>395.48589754866902</v>
      </c>
      <c r="AG162" s="1">
        <f t="shared" si="19"/>
        <v>294.97635750957465</v>
      </c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 x14ac:dyDescent="0.45">
      <c r="A163">
        <v>64.449753103583717</v>
      </c>
      <c r="Q163">
        <v>64.449753103583717</v>
      </c>
      <c r="R163" s="1">
        <f t="shared" si="15"/>
        <v>-212.02844925337996</v>
      </c>
      <c r="S163" s="1">
        <f t="shared" si="16"/>
        <v>330.64674018688521</v>
      </c>
      <c r="T163" s="1">
        <f t="shared" si="19"/>
        <v>225.75968930738185</v>
      </c>
      <c r="U163" s="1">
        <f t="shared" si="19"/>
        <v>464.29149854897616</v>
      </c>
      <c r="V163" s="1">
        <f t="shared" si="19"/>
        <v>448.35954772690258</v>
      </c>
      <c r="W163" s="1">
        <f t="shared" si="19"/>
        <v>82.518026953077907</v>
      </c>
      <c r="X163" s="1">
        <f t="shared" si="19"/>
        <v>324.72883545157691</v>
      </c>
      <c r="Y163" s="1">
        <f t="shared" si="19"/>
        <v>493.69109607150557</v>
      </c>
      <c r="Z163" s="1">
        <f t="shared" si="19"/>
        <v>80.529610511574333</v>
      </c>
      <c r="AA163" s="1">
        <f t="shared" si="19"/>
        <v>335.89937217365878</v>
      </c>
      <c r="AB163" s="1">
        <f t="shared" si="19"/>
        <v>204.55976274179119</v>
      </c>
      <c r="AC163" s="1">
        <f t="shared" si="19"/>
        <v>78.325475383001191</v>
      </c>
      <c r="AD163" s="1">
        <f t="shared" si="19"/>
        <v>356.27238143444515</v>
      </c>
      <c r="AE163" s="1">
        <f t="shared" si="19"/>
        <v>395.48589754866902</v>
      </c>
      <c r="AF163" s="1">
        <f t="shared" si="19"/>
        <v>294.97635750957465</v>
      </c>
      <c r="AG163" s="1">
        <f t="shared" si="19"/>
        <v>231.62224838345102</v>
      </c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 x14ac:dyDescent="0.45">
      <c r="A164">
        <v>330.64674018688521</v>
      </c>
      <c r="Q164">
        <v>330.64674018688521</v>
      </c>
      <c r="R164" s="1">
        <f t="shared" si="15"/>
        <v>54.168537829921547</v>
      </c>
      <c r="S164" s="1">
        <f t="shared" si="16"/>
        <v>225.75968930738185</v>
      </c>
      <c r="T164" s="1">
        <f t="shared" si="19"/>
        <v>464.29149854897616</v>
      </c>
      <c r="U164" s="1">
        <f t="shared" si="19"/>
        <v>448.35954772690258</v>
      </c>
      <c r="V164" s="1">
        <f t="shared" si="19"/>
        <v>82.518026953077907</v>
      </c>
      <c r="W164" s="1">
        <f t="shared" si="19"/>
        <v>324.72883545157691</v>
      </c>
      <c r="X164" s="1">
        <f t="shared" si="19"/>
        <v>493.69109607150557</v>
      </c>
      <c r="Y164" s="1">
        <f t="shared" si="19"/>
        <v>80.529610511574333</v>
      </c>
      <c r="Z164" s="1">
        <f t="shared" si="19"/>
        <v>335.89937217365878</v>
      </c>
      <c r="AA164" s="1">
        <f t="shared" si="19"/>
        <v>204.55976274179119</v>
      </c>
      <c r="AB164" s="1">
        <f t="shared" si="19"/>
        <v>78.325475383001191</v>
      </c>
      <c r="AC164" s="1">
        <f t="shared" si="19"/>
        <v>356.27238143444515</v>
      </c>
      <c r="AD164" s="1">
        <f t="shared" si="19"/>
        <v>395.48589754866902</v>
      </c>
      <c r="AE164" s="1">
        <f t="shared" si="19"/>
        <v>294.97635750957465</v>
      </c>
      <c r="AF164" s="1">
        <f t="shared" si="19"/>
        <v>231.62224838345102</v>
      </c>
      <c r="AG164" s="1">
        <f t="shared" si="19"/>
        <v>103.57061510226495</v>
      </c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 x14ac:dyDescent="0.45">
      <c r="A165">
        <v>225.75968930738185</v>
      </c>
      <c r="Q165">
        <v>225.75968930738185</v>
      </c>
      <c r="R165" s="1">
        <f t="shared" si="15"/>
        <v>-50.718513049581816</v>
      </c>
      <c r="S165" s="1">
        <f t="shared" si="16"/>
        <v>464.29149854897616</v>
      </c>
      <c r="T165" s="1">
        <f t="shared" si="19"/>
        <v>448.35954772690258</v>
      </c>
      <c r="U165" s="1">
        <f t="shared" si="19"/>
        <v>82.518026953077907</v>
      </c>
      <c r="V165" s="1">
        <f t="shared" si="19"/>
        <v>324.72883545157691</v>
      </c>
      <c r="W165" s="1">
        <f t="shared" si="19"/>
        <v>493.69109607150557</v>
      </c>
      <c r="X165" s="1">
        <f t="shared" si="19"/>
        <v>80.529610511574333</v>
      </c>
      <c r="Y165" s="1">
        <f t="shared" si="19"/>
        <v>335.89937217365878</v>
      </c>
      <c r="Z165" s="1">
        <f t="shared" si="19"/>
        <v>204.55976274179119</v>
      </c>
      <c r="AA165" s="1">
        <f t="shared" si="19"/>
        <v>78.325475383001191</v>
      </c>
      <c r="AB165" s="1">
        <f t="shared" si="19"/>
        <v>356.27238143444515</v>
      </c>
      <c r="AC165" s="1">
        <f t="shared" si="19"/>
        <v>395.48589754866902</v>
      </c>
      <c r="AD165" s="1">
        <f t="shared" si="19"/>
        <v>294.97635750957465</v>
      </c>
      <c r="AE165" s="1">
        <f t="shared" si="19"/>
        <v>231.62224838345102</v>
      </c>
      <c r="AF165" s="1">
        <f t="shared" si="19"/>
        <v>103.57061510226495</v>
      </c>
      <c r="AG165" s="1">
        <f t="shared" si="19"/>
        <v>184.14259733673293</v>
      </c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 x14ac:dyDescent="0.45">
      <c r="A166">
        <v>464.29149854897616</v>
      </c>
      <c r="Q166">
        <v>464.29149854897616</v>
      </c>
      <c r="R166" s="1">
        <f t="shared" si="15"/>
        <v>187.8132961920125</v>
      </c>
      <c r="S166" s="1">
        <f t="shared" si="16"/>
        <v>448.35954772690258</v>
      </c>
      <c r="T166" s="1">
        <f t="shared" si="19"/>
        <v>82.518026953077907</v>
      </c>
      <c r="U166" s="1">
        <f t="shared" si="19"/>
        <v>324.72883545157691</v>
      </c>
      <c r="V166" s="1">
        <f t="shared" si="19"/>
        <v>493.69109607150557</v>
      </c>
      <c r="W166" s="1">
        <f t="shared" si="19"/>
        <v>80.529610511574333</v>
      </c>
      <c r="X166" s="1">
        <f t="shared" si="19"/>
        <v>335.89937217365878</v>
      </c>
      <c r="Y166" s="1">
        <f t="shared" si="19"/>
        <v>204.55976274179119</v>
      </c>
      <c r="Z166" s="1">
        <f t="shared" si="19"/>
        <v>78.325475383001191</v>
      </c>
      <c r="AA166" s="1">
        <f t="shared" si="19"/>
        <v>356.27238143444515</v>
      </c>
      <c r="AB166" s="1">
        <f t="shared" si="19"/>
        <v>395.48589754866902</v>
      </c>
      <c r="AC166" s="1">
        <f t="shared" si="19"/>
        <v>294.97635750957465</v>
      </c>
      <c r="AD166" s="1">
        <f t="shared" si="19"/>
        <v>231.62224838345102</v>
      </c>
      <c r="AE166" s="1">
        <f t="shared" si="19"/>
        <v>103.57061510226495</v>
      </c>
      <c r="AF166" s="1">
        <f t="shared" si="19"/>
        <v>184.14259733673293</v>
      </c>
      <c r="AG166" s="1">
        <f t="shared" si="19"/>
        <v>507.88319238193316</v>
      </c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 x14ac:dyDescent="0.45">
      <c r="A167">
        <v>448.35954772690258</v>
      </c>
      <c r="Q167">
        <v>448.35954772690258</v>
      </c>
      <c r="R167" s="1">
        <f t="shared" si="15"/>
        <v>171.88134536993891</v>
      </c>
      <c r="S167" s="1">
        <f t="shared" si="16"/>
        <v>82.518026953077907</v>
      </c>
      <c r="T167" s="1">
        <f t="shared" si="19"/>
        <v>324.72883545157691</v>
      </c>
      <c r="U167" s="1">
        <f t="shared" si="19"/>
        <v>493.69109607150557</v>
      </c>
      <c r="V167" s="1">
        <f t="shared" si="19"/>
        <v>80.529610511574333</v>
      </c>
      <c r="W167" s="1">
        <f t="shared" si="19"/>
        <v>335.89937217365878</v>
      </c>
      <c r="X167" s="1">
        <f t="shared" si="19"/>
        <v>204.55976274179119</v>
      </c>
      <c r="Y167" s="1">
        <f t="shared" si="19"/>
        <v>78.325475383001191</v>
      </c>
      <c r="Z167" s="1">
        <f t="shared" si="19"/>
        <v>356.27238143444515</v>
      </c>
      <c r="AA167" s="1">
        <f t="shared" si="19"/>
        <v>395.48589754866902</v>
      </c>
      <c r="AB167" s="1">
        <f t="shared" si="19"/>
        <v>294.97635750957465</v>
      </c>
      <c r="AC167" s="1">
        <f t="shared" si="19"/>
        <v>231.62224838345102</v>
      </c>
      <c r="AD167" s="1">
        <f t="shared" si="19"/>
        <v>103.57061510226495</v>
      </c>
      <c r="AE167" s="1">
        <f t="shared" si="19"/>
        <v>184.14259733673293</v>
      </c>
      <c r="AF167" s="1">
        <f t="shared" si="19"/>
        <v>507.88319238193316</v>
      </c>
      <c r="AG167" s="1">
        <f t="shared" si="19"/>
        <v>279.1971619750118</v>
      </c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 x14ac:dyDescent="0.45">
      <c r="A168">
        <v>82.518026953077907</v>
      </c>
      <c r="Q168">
        <v>82.518026953077907</v>
      </c>
      <c r="R168" s="1">
        <f t="shared" si="15"/>
        <v>-193.96017540388576</v>
      </c>
      <c r="S168" s="1">
        <f t="shared" si="16"/>
        <v>324.72883545157691</v>
      </c>
      <c r="T168" s="1">
        <f t="shared" si="19"/>
        <v>493.69109607150557</v>
      </c>
      <c r="U168" s="1">
        <f t="shared" si="19"/>
        <v>80.529610511574333</v>
      </c>
      <c r="V168" s="1">
        <f t="shared" si="19"/>
        <v>335.89937217365878</v>
      </c>
      <c r="W168" s="1">
        <f t="shared" si="19"/>
        <v>204.55976274179119</v>
      </c>
      <c r="X168" s="1">
        <f t="shared" si="19"/>
        <v>78.325475383001191</v>
      </c>
      <c r="Y168" s="1">
        <f t="shared" si="19"/>
        <v>356.27238143444515</v>
      </c>
      <c r="Z168" s="1">
        <f t="shared" si="19"/>
        <v>395.48589754866902</v>
      </c>
      <c r="AA168" s="1">
        <f t="shared" si="19"/>
        <v>294.97635750957465</v>
      </c>
      <c r="AB168" s="1">
        <f t="shared" si="19"/>
        <v>231.62224838345102</v>
      </c>
      <c r="AC168" s="1">
        <f t="shared" si="19"/>
        <v>103.57061510226495</v>
      </c>
      <c r="AD168" s="1">
        <f t="shared" si="19"/>
        <v>184.14259733673293</v>
      </c>
      <c r="AE168" s="1">
        <f t="shared" si="19"/>
        <v>507.88319238193316</v>
      </c>
      <c r="AF168" s="1">
        <f t="shared" si="19"/>
        <v>279.1971619750118</v>
      </c>
      <c r="AG168" s="1">
        <f t="shared" si="19"/>
        <v>576.58009754434784</v>
      </c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 x14ac:dyDescent="0.45">
      <c r="A169">
        <v>324.72883545157691</v>
      </c>
      <c r="Q169">
        <v>324.72883545157691</v>
      </c>
      <c r="R169" s="1">
        <f t="shared" si="15"/>
        <v>48.250633094613249</v>
      </c>
      <c r="S169" s="1">
        <f t="shared" si="16"/>
        <v>493.69109607150557</v>
      </c>
      <c r="T169" s="1">
        <f t="shared" si="19"/>
        <v>80.529610511574333</v>
      </c>
      <c r="U169" s="1">
        <f t="shared" si="19"/>
        <v>335.89937217365878</v>
      </c>
      <c r="V169" s="1">
        <f t="shared" si="19"/>
        <v>204.55976274179119</v>
      </c>
      <c r="W169" s="1">
        <f t="shared" si="19"/>
        <v>78.325475383001191</v>
      </c>
      <c r="X169" s="1">
        <f t="shared" si="19"/>
        <v>356.27238143444515</v>
      </c>
      <c r="Y169" s="1">
        <f t="shared" si="19"/>
        <v>395.48589754866902</v>
      </c>
      <c r="Z169" s="1">
        <f t="shared" si="19"/>
        <v>294.97635750957465</v>
      </c>
      <c r="AA169" s="1">
        <f t="shared" si="19"/>
        <v>231.62224838345102</v>
      </c>
      <c r="AB169" s="1">
        <f t="shared" si="19"/>
        <v>103.57061510226495</v>
      </c>
      <c r="AC169" s="1">
        <f t="shared" si="19"/>
        <v>184.14259733673293</v>
      </c>
      <c r="AD169" s="1">
        <f t="shared" si="19"/>
        <v>507.88319238193316</v>
      </c>
      <c r="AE169" s="1">
        <f t="shared" si="19"/>
        <v>279.1971619750118</v>
      </c>
      <c r="AF169" s="1">
        <f t="shared" si="19"/>
        <v>576.58009754434784</v>
      </c>
      <c r="AG169" s="1">
        <f t="shared" si="19"/>
        <v>365.02436945535311</v>
      </c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 x14ac:dyDescent="0.45">
      <c r="A170">
        <v>493.69109607150557</v>
      </c>
      <c r="Q170">
        <v>493.69109607150557</v>
      </c>
      <c r="R170" s="1">
        <f t="shared" si="15"/>
        <v>217.21289371454191</v>
      </c>
      <c r="S170" s="1">
        <f t="shared" si="16"/>
        <v>80.529610511574333</v>
      </c>
      <c r="T170" s="1">
        <f t="shared" si="19"/>
        <v>335.89937217365878</v>
      </c>
      <c r="U170" s="1">
        <f t="shared" si="19"/>
        <v>204.55976274179119</v>
      </c>
      <c r="V170" s="1">
        <f t="shared" si="19"/>
        <v>78.325475383001191</v>
      </c>
      <c r="W170" s="1">
        <f t="shared" si="19"/>
        <v>356.27238143444515</v>
      </c>
      <c r="X170" s="1">
        <f t="shared" si="19"/>
        <v>395.48589754866902</v>
      </c>
      <c r="Y170" s="1">
        <f t="shared" si="19"/>
        <v>294.97635750957465</v>
      </c>
      <c r="Z170" s="1">
        <f t="shared" si="19"/>
        <v>231.62224838345102</v>
      </c>
      <c r="AA170" s="1">
        <f t="shared" si="19"/>
        <v>103.57061510226495</v>
      </c>
      <c r="AB170" s="1">
        <f t="shared" si="19"/>
        <v>184.14259733673293</v>
      </c>
      <c r="AC170" s="1">
        <f t="shared" si="19"/>
        <v>507.88319238193316</v>
      </c>
      <c r="AD170" s="1">
        <f t="shared" si="19"/>
        <v>279.1971619750118</v>
      </c>
      <c r="AE170" s="1">
        <f t="shared" si="19"/>
        <v>576.58009754434784</v>
      </c>
      <c r="AF170" s="1">
        <f t="shared" si="19"/>
        <v>365.02436945535311</v>
      </c>
      <c r="AG170" s="1">
        <f t="shared" si="19"/>
        <v>219.75800015658763</v>
      </c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 x14ac:dyDescent="0.45">
      <c r="A171">
        <v>80.529610511574333</v>
      </c>
      <c r="Q171">
        <v>80.529610511574333</v>
      </c>
      <c r="R171" s="1">
        <f t="shared" si="15"/>
        <v>-195.94859184538933</v>
      </c>
      <c r="S171" s="1">
        <f t="shared" si="16"/>
        <v>335.89937217365878</v>
      </c>
      <c r="T171" s="1">
        <f t="shared" si="19"/>
        <v>204.55976274179119</v>
      </c>
      <c r="U171" s="1">
        <f t="shared" si="19"/>
        <v>78.325475383001191</v>
      </c>
      <c r="V171" s="1">
        <f t="shared" si="19"/>
        <v>356.27238143444515</v>
      </c>
      <c r="W171" s="1">
        <f t="shared" si="19"/>
        <v>395.48589754866902</v>
      </c>
      <c r="X171" s="1">
        <f t="shared" si="19"/>
        <v>294.97635750957465</v>
      </c>
      <c r="Y171" s="1">
        <f t="shared" si="19"/>
        <v>231.62224838345102</v>
      </c>
      <c r="Z171" s="1">
        <f t="shared" si="19"/>
        <v>103.57061510226495</v>
      </c>
      <c r="AA171" s="1">
        <f t="shared" si="19"/>
        <v>184.14259733673293</v>
      </c>
      <c r="AB171" s="1">
        <f t="shared" si="19"/>
        <v>507.88319238193316</v>
      </c>
      <c r="AC171" s="1">
        <f t="shared" si="19"/>
        <v>279.1971619750118</v>
      </c>
      <c r="AD171" s="1">
        <f t="shared" si="19"/>
        <v>576.58009754434784</v>
      </c>
      <c r="AE171" s="1">
        <f t="shared" si="19"/>
        <v>365.02436945535311</v>
      </c>
      <c r="AF171" s="1">
        <f t="shared" si="19"/>
        <v>219.75800015658763</v>
      </c>
      <c r="AG171" s="1">
        <f t="shared" si="19"/>
        <v>59.440039871478987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 x14ac:dyDescent="0.45">
      <c r="A172">
        <v>335.89937217365878</v>
      </c>
      <c r="Q172">
        <v>335.89937217365878</v>
      </c>
      <c r="R172" s="1">
        <f t="shared" si="15"/>
        <v>59.421169816695112</v>
      </c>
      <c r="S172" s="1">
        <f t="shared" si="16"/>
        <v>204.55976274179119</v>
      </c>
      <c r="T172" s="1">
        <f t="shared" si="19"/>
        <v>78.325475383001191</v>
      </c>
      <c r="U172" s="1">
        <f t="shared" si="19"/>
        <v>356.27238143444515</v>
      </c>
      <c r="V172" s="1">
        <f t="shared" si="19"/>
        <v>395.48589754866902</v>
      </c>
      <c r="W172" s="1">
        <f t="shared" si="19"/>
        <v>294.97635750957465</v>
      </c>
      <c r="X172" s="1">
        <f t="shared" si="19"/>
        <v>231.62224838345102</v>
      </c>
      <c r="Y172" s="1">
        <f t="shared" si="19"/>
        <v>103.57061510226495</v>
      </c>
      <c r="Z172" s="1">
        <f t="shared" si="19"/>
        <v>184.14259733673293</v>
      </c>
      <c r="AA172" s="1">
        <f t="shared" si="19"/>
        <v>507.88319238193316</v>
      </c>
      <c r="AB172" s="1">
        <f t="shared" si="19"/>
        <v>279.1971619750118</v>
      </c>
      <c r="AC172" s="1">
        <f t="shared" si="19"/>
        <v>576.58009754434784</v>
      </c>
      <c r="AD172" s="1">
        <f t="shared" si="19"/>
        <v>365.02436945535311</v>
      </c>
      <c r="AE172" s="1">
        <f t="shared" si="19"/>
        <v>219.75800015658763</v>
      </c>
      <c r="AF172" s="1">
        <f t="shared" si="19"/>
        <v>59.440039871478987</v>
      </c>
      <c r="AG172" s="1">
        <f t="shared" si="19"/>
        <v>237.5606331091339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 x14ac:dyDescent="0.45">
      <c r="A173">
        <v>204.55976274179119</v>
      </c>
      <c r="Q173">
        <v>204.55976274179119</v>
      </c>
      <c r="R173" s="1">
        <f t="shared" si="15"/>
        <v>-71.918439615172474</v>
      </c>
      <c r="S173" s="1">
        <f t="shared" si="16"/>
        <v>78.325475383001191</v>
      </c>
      <c r="T173" s="1">
        <f t="shared" si="19"/>
        <v>356.27238143444515</v>
      </c>
      <c r="U173" s="1">
        <f t="shared" si="19"/>
        <v>395.48589754866902</v>
      </c>
      <c r="V173" s="1">
        <f t="shared" si="19"/>
        <v>294.97635750957465</v>
      </c>
      <c r="W173" s="1">
        <f t="shared" si="19"/>
        <v>231.62224838345102</v>
      </c>
      <c r="X173" s="1">
        <f t="shared" si="19"/>
        <v>103.57061510226495</v>
      </c>
      <c r="Y173" s="1">
        <f t="shared" si="19"/>
        <v>184.14259733673293</v>
      </c>
      <c r="Z173" s="1">
        <f t="shared" si="19"/>
        <v>507.88319238193316</v>
      </c>
      <c r="AA173" s="1">
        <f t="shared" si="19"/>
        <v>279.1971619750118</v>
      </c>
      <c r="AB173" s="1">
        <f t="shared" si="19"/>
        <v>576.58009754434784</v>
      </c>
      <c r="AC173" s="1">
        <f t="shared" si="19"/>
        <v>365.02436945535311</v>
      </c>
      <c r="AD173" s="1">
        <f t="shared" si="19"/>
        <v>219.75800015658763</v>
      </c>
      <c r="AE173" s="1">
        <f t="shared" si="19"/>
        <v>59.440039871478987</v>
      </c>
      <c r="AF173" s="1">
        <f t="shared" si="19"/>
        <v>237.5606331091339</v>
      </c>
      <c r="AG173" s="1">
        <f t="shared" si="19"/>
        <v>270.07299172374866</v>
      </c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 x14ac:dyDescent="0.45">
      <c r="A174">
        <v>78.325475383001191</v>
      </c>
      <c r="Q174">
        <v>78.325475383001191</v>
      </c>
      <c r="R174" s="1">
        <f t="shared" si="15"/>
        <v>-198.15272697396247</v>
      </c>
      <c r="S174" s="1">
        <f t="shared" si="16"/>
        <v>356.27238143444515</v>
      </c>
      <c r="T174" s="1">
        <f t="shared" si="19"/>
        <v>395.48589754866902</v>
      </c>
      <c r="U174" s="1">
        <f t="shared" si="19"/>
        <v>294.97635750957465</v>
      </c>
      <c r="V174" s="1">
        <f t="shared" si="19"/>
        <v>231.62224838345102</v>
      </c>
      <c r="W174" s="1">
        <f t="shared" si="19"/>
        <v>103.57061510226495</v>
      </c>
      <c r="X174" s="1">
        <f t="shared" si="19"/>
        <v>184.14259733673293</v>
      </c>
      <c r="Y174" s="1">
        <f t="shared" si="19"/>
        <v>507.88319238193316</v>
      </c>
      <c r="Z174" s="1">
        <f t="shared" si="19"/>
        <v>279.1971619750118</v>
      </c>
      <c r="AA174" s="1">
        <f t="shared" si="19"/>
        <v>576.58009754434784</v>
      </c>
      <c r="AB174" s="1">
        <f t="shared" si="19"/>
        <v>365.02436945535311</v>
      </c>
      <c r="AC174" s="1">
        <f t="shared" si="19"/>
        <v>219.75800015658763</v>
      </c>
      <c r="AD174" s="1">
        <f t="shared" si="19"/>
        <v>59.440039871478987</v>
      </c>
      <c r="AE174" s="1">
        <f t="shared" si="19"/>
        <v>237.5606331091339</v>
      </c>
      <c r="AF174" s="1">
        <f t="shared" si="19"/>
        <v>270.07299172374866</v>
      </c>
      <c r="AG174" s="1">
        <f t="shared" si="19"/>
        <v>143.14884956100119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 x14ac:dyDescent="0.45">
      <c r="A175">
        <v>356.27238143444515</v>
      </c>
      <c r="Q175">
        <v>356.27238143444515</v>
      </c>
      <c r="R175" s="1">
        <f t="shared" si="15"/>
        <v>79.794179077481488</v>
      </c>
      <c r="S175" s="1">
        <f t="shared" si="16"/>
        <v>395.48589754866902</v>
      </c>
      <c r="T175" s="1">
        <f t="shared" si="19"/>
        <v>294.97635750957465</v>
      </c>
      <c r="U175" s="1">
        <f t="shared" si="19"/>
        <v>231.62224838345102</v>
      </c>
      <c r="V175" s="1">
        <f t="shared" si="19"/>
        <v>103.57061510226495</v>
      </c>
      <c r="W175" s="1">
        <f t="shared" ref="U175:AG190" si="20">V176</f>
        <v>184.14259733673293</v>
      </c>
      <c r="X175" s="1">
        <f t="shared" si="20"/>
        <v>507.88319238193316</v>
      </c>
      <c r="Y175" s="1">
        <f t="shared" si="20"/>
        <v>279.1971619750118</v>
      </c>
      <c r="Z175" s="1">
        <f t="shared" si="20"/>
        <v>576.58009754434784</v>
      </c>
      <c r="AA175" s="1">
        <f t="shared" si="20"/>
        <v>365.02436945535311</v>
      </c>
      <c r="AB175" s="1">
        <f t="shared" si="20"/>
        <v>219.75800015658763</v>
      </c>
      <c r="AC175" s="1">
        <f t="shared" si="20"/>
        <v>59.440039871478987</v>
      </c>
      <c r="AD175" s="1">
        <f t="shared" si="20"/>
        <v>237.5606331091339</v>
      </c>
      <c r="AE175" s="1">
        <f t="shared" si="20"/>
        <v>270.07299172374866</v>
      </c>
      <c r="AF175" s="1">
        <f t="shared" si="20"/>
        <v>143.14884956100119</v>
      </c>
      <c r="AG175" s="1">
        <f t="shared" si="20"/>
        <v>206.76645885639016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 x14ac:dyDescent="0.45">
      <c r="A176">
        <v>395.48589754866902</v>
      </c>
      <c r="Q176">
        <v>395.48589754866902</v>
      </c>
      <c r="R176" s="1">
        <f t="shared" si="15"/>
        <v>119.00769519170535</v>
      </c>
      <c r="S176" s="1">
        <f t="shared" si="16"/>
        <v>294.97635750957465</v>
      </c>
      <c r="T176" s="1">
        <f t="shared" ref="T176:AG208" si="21">S177</f>
        <v>231.62224838345102</v>
      </c>
      <c r="U176" s="1">
        <f t="shared" si="20"/>
        <v>103.57061510226495</v>
      </c>
      <c r="V176" s="1">
        <f t="shared" si="20"/>
        <v>184.14259733673293</v>
      </c>
      <c r="W176" s="1">
        <f t="shared" si="20"/>
        <v>507.88319238193316</v>
      </c>
      <c r="X176" s="1">
        <f t="shared" si="20"/>
        <v>279.1971619750118</v>
      </c>
      <c r="Y176" s="1">
        <f t="shared" si="20"/>
        <v>576.58009754434784</v>
      </c>
      <c r="Z176" s="1">
        <f t="shared" si="20"/>
        <v>365.02436945535311</v>
      </c>
      <c r="AA176" s="1">
        <f t="shared" si="20"/>
        <v>219.75800015658763</v>
      </c>
      <c r="AB176" s="1">
        <f t="shared" si="20"/>
        <v>59.440039871478987</v>
      </c>
      <c r="AC176" s="1">
        <f t="shared" si="20"/>
        <v>237.5606331091339</v>
      </c>
      <c r="AD176" s="1">
        <f t="shared" si="20"/>
        <v>270.07299172374866</v>
      </c>
      <c r="AE176" s="1">
        <f t="shared" si="20"/>
        <v>143.14884956100119</v>
      </c>
      <c r="AF176" s="1">
        <f t="shared" si="20"/>
        <v>206.76645885639016</v>
      </c>
      <c r="AG176" s="1">
        <f t="shared" si="20"/>
        <v>386.94903008010562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 x14ac:dyDescent="0.45">
      <c r="A177">
        <v>294.97635750957465</v>
      </c>
      <c r="Q177">
        <v>294.97635750957465</v>
      </c>
      <c r="R177" s="1">
        <f t="shared" si="15"/>
        <v>18.498155152610991</v>
      </c>
      <c r="S177" s="1">
        <f t="shared" si="16"/>
        <v>231.62224838345102</v>
      </c>
      <c r="T177" s="1">
        <f t="shared" si="21"/>
        <v>103.57061510226495</v>
      </c>
      <c r="U177" s="1">
        <f t="shared" si="20"/>
        <v>184.14259733673293</v>
      </c>
      <c r="V177" s="1">
        <f t="shared" si="20"/>
        <v>507.88319238193316</v>
      </c>
      <c r="W177" s="1">
        <f t="shared" si="20"/>
        <v>279.1971619750118</v>
      </c>
      <c r="X177" s="1">
        <f t="shared" si="20"/>
        <v>576.58009754434784</v>
      </c>
      <c r="Y177" s="1">
        <f t="shared" si="20"/>
        <v>365.02436945535311</v>
      </c>
      <c r="Z177" s="1">
        <f t="shared" si="20"/>
        <v>219.75800015658763</v>
      </c>
      <c r="AA177" s="1">
        <f t="shared" si="20"/>
        <v>59.440039871478987</v>
      </c>
      <c r="AB177" s="1">
        <f t="shared" si="20"/>
        <v>237.5606331091339</v>
      </c>
      <c r="AC177" s="1">
        <f t="shared" si="20"/>
        <v>270.07299172374866</v>
      </c>
      <c r="AD177" s="1">
        <f t="shared" si="20"/>
        <v>143.14884956100119</v>
      </c>
      <c r="AE177" s="1">
        <f t="shared" si="20"/>
        <v>206.76645885639016</v>
      </c>
      <c r="AF177" s="1">
        <f t="shared" si="20"/>
        <v>386.94903008010562</v>
      </c>
      <c r="AG177" s="1">
        <f t="shared" si="20"/>
        <v>357.61336637106939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 x14ac:dyDescent="0.45">
      <c r="A178">
        <v>231.62224838345102</v>
      </c>
      <c r="Q178">
        <v>231.62224838345102</v>
      </c>
      <c r="R178" s="1">
        <f t="shared" si="15"/>
        <v>-44.855953973512641</v>
      </c>
      <c r="S178" s="1">
        <f t="shared" si="16"/>
        <v>103.57061510226495</v>
      </c>
      <c r="T178" s="1">
        <f t="shared" si="21"/>
        <v>184.14259733673293</v>
      </c>
      <c r="U178" s="1">
        <f t="shared" si="20"/>
        <v>507.88319238193316</v>
      </c>
      <c r="V178" s="1">
        <f t="shared" si="20"/>
        <v>279.1971619750118</v>
      </c>
      <c r="W178" s="1">
        <f t="shared" si="20"/>
        <v>576.58009754434784</v>
      </c>
      <c r="X178" s="1">
        <f t="shared" si="20"/>
        <v>365.02436945535311</v>
      </c>
      <c r="Y178" s="1">
        <f t="shared" si="20"/>
        <v>219.75800015658763</v>
      </c>
      <c r="Z178" s="1">
        <f t="shared" si="20"/>
        <v>59.440039871478987</v>
      </c>
      <c r="AA178" s="1">
        <f t="shared" si="20"/>
        <v>237.5606331091339</v>
      </c>
      <c r="AB178" s="1">
        <f t="shared" si="20"/>
        <v>270.07299172374866</v>
      </c>
      <c r="AC178" s="1">
        <f t="shared" si="20"/>
        <v>143.14884956100119</v>
      </c>
      <c r="AD178" s="1">
        <f t="shared" si="20"/>
        <v>206.76645885639016</v>
      </c>
      <c r="AE178" s="1">
        <f t="shared" si="20"/>
        <v>386.94903008010562</v>
      </c>
      <c r="AF178" s="1">
        <f t="shared" si="20"/>
        <v>357.61336637106939</v>
      </c>
      <c r="AG178" s="1">
        <f t="shared" si="20"/>
        <v>171.95968111762033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 x14ac:dyDescent="0.45">
      <c r="A179">
        <v>103.57061510226495</v>
      </c>
      <c r="Q179">
        <v>103.57061510226495</v>
      </c>
      <c r="R179" s="1">
        <f t="shared" si="15"/>
        <v>-172.90758725469871</v>
      </c>
      <c r="S179" s="1">
        <f t="shared" si="16"/>
        <v>184.14259733673293</v>
      </c>
      <c r="T179" s="1">
        <f t="shared" si="21"/>
        <v>507.88319238193316</v>
      </c>
      <c r="U179" s="1">
        <f t="shared" si="20"/>
        <v>279.1971619750118</v>
      </c>
      <c r="V179" s="1">
        <f t="shared" si="20"/>
        <v>576.58009754434784</v>
      </c>
      <c r="W179" s="1">
        <f t="shared" si="20"/>
        <v>365.02436945535311</v>
      </c>
      <c r="X179" s="1">
        <f t="shared" si="20"/>
        <v>219.75800015658763</v>
      </c>
      <c r="Y179" s="1">
        <f t="shared" si="20"/>
        <v>59.440039871478987</v>
      </c>
      <c r="Z179" s="1">
        <f t="shared" si="20"/>
        <v>237.5606331091339</v>
      </c>
      <c r="AA179" s="1">
        <f t="shared" si="20"/>
        <v>270.07299172374866</v>
      </c>
      <c r="AB179" s="1">
        <f t="shared" si="20"/>
        <v>143.14884956100119</v>
      </c>
      <c r="AC179" s="1">
        <f t="shared" si="20"/>
        <v>206.76645885639016</v>
      </c>
      <c r="AD179" s="1">
        <f t="shared" si="20"/>
        <v>386.94903008010562</v>
      </c>
      <c r="AE179" s="1">
        <f t="shared" si="20"/>
        <v>357.61336637106939</v>
      </c>
      <c r="AF179" s="1">
        <f t="shared" si="20"/>
        <v>171.95968111762033</v>
      </c>
      <c r="AG179" s="1">
        <f t="shared" si="20"/>
        <v>430.30290295743788</v>
      </c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 x14ac:dyDescent="0.45">
      <c r="A180">
        <v>184.14259733673293</v>
      </c>
      <c r="Q180">
        <v>184.14259733673293</v>
      </c>
      <c r="R180" s="1">
        <f t="shared" si="15"/>
        <v>-92.33560502023073</v>
      </c>
      <c r="S180" s="1">
        <f t="shared" si="16"/>
        <v>507.88319238193316</v>
      </c>
      <c r="T180" s="1">
        <f t="shared" si="21"/>
        <v>279.1971619750118</v>
      </c>
      <c r="U180" s="1">
        <f t="shared" si="20"/>
        <v>576.58009754434784</v>
      </c>
      <c r="V180" s="1">
        <f t="shared" si="20"/>
        <v>365.02436945535311</v>
      </c>
      <c r="W180" s="1">
        <f t="shared" si="20"/>
        <v>219.75800015658763</v>
      </c>
      <c r="X180" s="1">
        <f t="shared" si="20"/>
        <v>59.440039871478987</v>
      </c>
      <c r="Y180" s="1">
        <f t="shared" si="20"/>
        <v>237.5606331091339</v>
      </c>
      <c r="Z180" s="1">
        <f t="shared" si="20"/>
        <v>270.07299172374866</v>
      </c>
      <c r="AA180" s="1">
        <f t="shared" si="20"/>
        <v>143.14884956100119</v>
      </c>
      <c r="AB180" s="1">
        <f t="shared" si="20"/>
        <v>206.76645885639016</v>
      </c>
      <c r="AC180" s="1">
        <f t="shared" si="20"/>
        <v>386.94903008010562</v>
      </c>
      <c r="AD180" s="1">
        <f t="shared" si="20"/>
        <v>357.61336637106939</v>
      </c>
      <c r="AE180" s="1">
        <f t="shared" si="20"/>
        <v>171.95968111762033</v>
      </c>
      <c r="AF180" s="1">
        <f t="shared" si="20"/>
        <v>430.30290295743788</v>
      </c>
      <c r="AG180" s="1">
        <f t="shared" si="20"/>
        <v>71.478945642640696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 x14ac:dyDescent="0.45">
      <c r="A181">
        <v>507.88319238193316</v>
      </c>
      <c r="Q181">
        <v>507.88319238193316</v>
      </c>
      <c r="R181" s="1">
        <f t="shared" si="15"/>
        <v>231.40499002496949</v>
      </c>
      <c r="S181" s="1">
        <f t="shared" si="16"/>
        <v>279.1971619750118</v>
      </c>
      <c r="T181" s="1">
        <f t="shared" si="21"/>
        <v>576.58009754434784</v>
      </c>
      <c r="U181" s="1">
        <f t="shared" si="20"/>
        <v>365.02436945535311</v>
      </c>
      <c r="V181" s="1">
        <f t="shared" si="20"/>
        <v>219.75800015658763</v>
      </c>
      <c r="W181" s="1">
        <f t="shared" si="20"/>
        <v>59.440039871478987</v>
      </c>
      <c r="X181" s="1">
        <f t="shared" si="20"/>
        <v>237.5606331091339</v>
      </c>
      <c r="Y181" s="1">
        <f t="shared" si="20"/>
        <v>270.07299172374866</v>
      </c>
      <c r="Z181" s="1">
        <f t="shared" si="20"/>
        <v>143.14884956100119</v>
      </c>
      <c r="AA181" s="1">
        <f t="shared" si="20"/>
        <v>206.76645885639016</v>
      </c>
      <c r="AB181" s="1">
        <f t="shared" si="20"/>
        <v>386.94903008010562</v>
      </c>
      <c r="AC181" s="1">
        <f t="shared" si="20"/>
        <v>357.61336637106939</v>
      </c>
      <c r="AD181" s="1">
        <f t="shared" si="20"/>
        <v>171.95968111762033</v>
      </c>
      <c r="AE181" s="1">
        <f t="shared" si="20"/>
        <v>430.30290295743788</v>
      </c>
      <c r="AF181" s="1">
        <f t="shared" si="20"/>
        <v>71.478945642640696</v>
      </c>
      <c r="AG181" s="1">
        <f t="shared" si="20"/>
        <v>440.99713593209384</v>
      </c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 x14ac:dyDescent="0.45">
      <c r="A182">
        <v>279.1971619750118</v>
      </c>
      <c r="Q182">
        <v>279.1971619750118</v>
      </c>
      <c r="R182" s="1">
        <f t="shared" si="15"/>
        <v>2.7189596180481317</v>
      </c>
      <c r="S182" s="1">
        <f t="shared" si="16"/>
        <v>576.58009754434784</v>
      </c>
      <c r="T182" s="1">
        <f t="shared" si="21"/>
        <v>365.02436945535311</v>
      </c>
      <c r="U182" s="1">
        <f t="shared" si="20"/>
        <v>219.75800015658763</v>
      </c>
      <c r="V182" s="1">
        <f t="shared" si="20"/>
        <v>59.440039871478987</v>
      </c>
      <c r="W182" s="1">
        <f t="shared" si="20"/>
        <v>237.5606331091339</v>
      </c>
      <c r="X182" s="1">
        <f t="shared" si="20"/>
        <v>270.07299172374866</v>
      </c>
      <c r="Y182" s="1">
        <f t="shared" si="20"/>
        <v>143.14884956100119</v>
      </c>
      <c r="Z182" s="1">
        <f t="shared" si="20"/>
        <v>206.76645885639016</v>
      </c>
      <c r="AA182" s="1">
        <f t="shared" si="20"/>
        <v>386.94903008010562</v>
      </c>
      <c r="AB182" s="1">
        <f t="shared" si="20"/>
        <v>357.61336637106939</v>
      </c>
      <c r="AC182" s="1">
        <f t="shared" si="20"/>
        <v>171.95968111762033</v>
      </c>
      <c r="AD182" s="1">
        <f t="shared" si="20"/>
        <v>430.30290295743788</v>
      </c>
      <c r="AE182" s="1">
        <f t="shared" si="20"/>
        <v>71.478945642640696</v>
      </c>
      <c r="AF182" s="1">
        <f t="shared" si="20"/>
        <v>440.99713593209384</v>
      </c>
      <c r="AG182" s="1">
        <f t="shared" si="20"/>
        <v>122.41692606926023</v>
      </c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 x14ac:dyDescent="0.45">
      <c r="A183">
        <v>576.58009754434784</v>
      </c>
      <c r="Q183">
        <v>576.58009754434784</v>
      </c>
      <c r="R183" s="1">
        <f t="shared" si="15"/>
        <v>300.10189518738417</v>
      </c>
      <c r="S183" s="1">
        <f t="shared" si="16"/>
        <v>365.02436945535311</v>
      </c>
      <c r="T183" s="1">
        <f t="shared" si="21"/>
        <v>219.75800015658763</v>
      </c>
      <c r="U183" s="1">
        <f t="shared" si="20"/>
        <v>59.440039871478987</v>
      </c>
      <c r="V183" s="1">
        <f t="shared" si="20"/>
        <v>237.5606331091339</v>
      </c>
      <c r="W183" s="1">
        <f t="shared" si="20"/>
        <v>270.07299172374866</v>
      </c>
      <c r="X183" s="1">
        <f t="shared" si="20"/>
        <v>143.14884956100119</v>
      </c>
      <c r="Y183" s="1">
        <f t="shared" si="20"/>
        <v>206.76645885639016</v>
      </c>
      <c r="Z183" s="1">
        <f t="shared" si="20"/>
        <v>386.94903008010562</v>
      </c>
      <c r="AA183" s="1">
        <f t="shared" si="20"/>
        <v>357.61336637106939</v>
      </c>
      <c r="AB183" s="1">
        <f t="shared" si="20"/>
        <v>171.95968111762033</v>
      </c>
      <c r="AC183" s="1">
        <f t="shared" si="20"/>
        <v>430.30290295743788</v>
      </c>
      <c r="AD183" s="1">
        <f t="shared" si="20"/>
        <v>71.478945642640696</v>
      </c>
      <c r="AE183" s="1">
        <f t="shared" si="20"/>
        <v>440.99713593209384</v>
      </c>
      <c r="AF183" s="1">
        <f t="shared" si="20"/>
        <v>122.41692606926023</v>
      </c>
      <c r="AG183" s="1">
        <f t="shared" si="20"/>
        <v>374.76849837459224</v>
      </c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 x14ac:dyDescent="0.45">
      <c r="A184">
        <v>365.02436945535311</v>
      </c>
      <c r="Q184">
        <v>365.02436945535311</v>
      </c>
      <c r="R184" s="1">
        <f t="shared" si="15"/>
        <v>88.546167098389446</v>
      </c>
      <c r="S184" s="1">
        <f t="shared" si="16"/>
        <v>219.75800015658763</v>
      </c>
      <c r="T184" s="1">
        <f t="shared" si="21"/>
        <v>59.440039871478987</v>
      </c>
      <c r="U184" s="1">
        <f t="shared" si="20"/>
        <v>237.5606331091339</v>
      </c>
      <c r="V184" s="1">
        <f t="shared" si="20"/>
        <v>270.07299172374866</v>
      </c>
      <c r="W184" s="1">
        <f t="shared" si="20"/>
        <v>143.14884956100119</v>
      </c>
      <c r="X184" s="1">
        <f t="shared" si="20"/>
        <v>206.76645885639016</v>
      </c>
      <c r="Y184" s="1">
        <f t="shared" si="20"/>
        <v>386.94903008010562</v>
      </c>
      <c r="Z184" s="1">
        <f t="shared" si="20"/>
        <v>357.61336637106939</v>
      </c>
      <c r="AA184" s="1">
        <f t="shared" si="20"/>
        <v>171.95968111762033</v>
      </c>
      <c r="AB184" s="1">
        <f t="shared" si="20"/>
        <v>430.30290295743788</v>
      </c>
      <c r="AC184" s="1">
        <f t="shared" si="20"/>
        <v>71.478945642640696</v>
      </c>
      <c r="AD184" s="1">
        <f t="shared" si="20"/>
        <v>440.99713593209384</v>
      </c>
      <c r="AE184" s="1">
        <f t="shared" si="20"/>
        <v>122.41692606926023</v>
      </c>
      <c r="AF184" s="1">
        <f t="shared" si="20"/>
        <v>374.76849837459224</v>
      </c>
      <c r="AG184" s="1">
        <f t="shared" si="20"/>
        <v>496.32009415987784</v>
      </c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 x14ac:dyDescent="0.45">
      <c r="A185">
        <v>219.75800015658763</v>
      </c>
      <c r="Q185">
        <v>219.75800015658763</v>
      </c>
      <c r="R185" s="1">
        <f t="shared" si="15"/>
        <v>-56.720202200376036</v>
      </c>
      <c r="S185" s="1">
        <f t="shared" si="16"/>
        <v>59.440039871478987</v>
      </c>
      <c r="T185" s="1">
        <f t="shared" si="21"/>
        <v>237.5606331091339</v>
      </c>
      <c r="U185" s="1">
        <f t="shared" si="20"/>
        <v>270.07299172374866</v>
      </c>
      <c r="V185" s="1">
        <f t="shared" si="20"/>
        <v>143.14884956100119</v>
      </c>
      <c r="W185" s="1">
        <f t="shared" si="20"/>
        <v>206.76645885639016</v>
      </c>
      <c r="X185" s="1">
        <f t="shared" si="20"/>
        <v>386.94903008010562</v>
      </c>
      <c r="Y185" s="1">
        <f t="shared" si="20"/>
        <v>357.61336637106939</v>
      </c>
      <c r="Z185" s="1">
        <f t="shared" si="20"/>
        <v>171.95968111762033</v>
      </c>
      <c r="AA185" s="1">
        <f t="shared" si="20"/>
        <v>430.30290295743788</v>
      </c>
      <c r="AB185" s="1">
        <f t="shared" si="20"/>
        <v>71.478945642640696</v>
      </c>
      <c r="AC185" s="1">
        <f t="shared" si="20"/>
        <v>440.99713593209384</v>
      </c>
      <c r="AD185" s="1">
        <f t="shared" si="20"/>
        <v>122.41692606926023</v>
      </c>
      <c r="AE185" s="1">
        <f t="shared" si="20"/>
        <v>374.76849837459224</v>
      </c>
      <c r="AF185" s="1">
        <f t="shared" si="20"/>
        <v>496.32009415987784</v>
      </c>
      <c r="AG185" s="1">
        <f t="shared" si="20"/>
        <v>419.42535315511856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 x14ac:dyDescent="0.45">
      <c r="A186">
        <v>59.440039871478987</v>
      </c>
      <c r="Q186">
        <v>59.440039871478987</v>
      </c>
      <c r="R186" s="1">
        <f t="shared" si="15"/>
        <v>-217.03816248548469</v>
      </c>
      <c r="S186" s="1">
        <f t="shared" si="16"/>
        <v>237.5606331091339</v>
      </c>
      <c r="T186" s="1">
        <f t="shared" si="21"/>
        <v>270.07299172374866</v>
      </c>
      <c r="U186" s="1">
        <f t="shared" si="20"/>
        <v>143.14884956100119</v>
      </c>
      <c r="V186" s="1">
        <f t="shared" si="20"/>
        <v>206.76645885639016</v>
      </c>
      <c r="W186" s="1">
        <f t="shared" si="20"/>
        <v>386.94903008010562</v>
      </c>
      <c r="X186" s="1">
        <f t="shared" si="20"/>
        <v>357.61336637106939</v>
      </c>
      <c r="Y186" s="1">
        <f t="shared" si="20"/>
        <v>171.95968111762033</v>
      </c>
      <c r="Z186" s="1">
        <f t="shared" si="20"/>
        <v>430.30290295743788</v>
      </c>
      <c r="AA186" s="1">
        <f t="shared" si="20"/>
        <v>71.478945642640696</v>
      </c>
      <c r="AB186" s="1">
        <f t="shared" si="20"/>
        <v>440.99713593209384</v>
      </c>
      <c r="AC186" s="1">
        <f t="shared" si="20"/>
        <v>122.41692606926023</v>
      </c>
      <c r="AD186" s="1">
        <f t="shared" si="20"/>
        <v>374.76849837459224</v>
      </c>
      <c r="AE186" s="1">
        <f t="shared" si="20"/>
        <v>496.32009415987784</v>
      </c>
      <c r="AF186" s="1">
        <f t="shared" si="20"/>
        <v>419.42535315511856</v>
      </c>
      <c r="AG186" s="1">
        <f t="shared" si="20"/>
        <v>426.42870198813068</v>
      </c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 x14ac:dyDescent="0.45">
      <c r="A187">
        <v>237.5606331091339</v>
      </c>
      <c r="Q187">
        <v>237.5606331091339</v>
      </c>
      <c r="R187" s="1">
        <f t="shared" si="15"/>
        <v>-38.917569247829761</v>
      </c>
      <c r="S187" s="1">
        <f t="shared" si="16"/>
        <v>270.07299172374866</v>
      </c>
      <c r="T187" s="1">
        <f t="shared" si="21"/>
        <v>143.14884956100119</v>
      </c>
      <c r="U187" s="1">
        <f t="shared" si="20"/>
        <v>206.76645885639016</v>
      </c>
      <c r="V187" s="1">
        <f t="shared" si="20"/>
        <v>386.94903008010562</v>
      </c>
      <c r="W187" s="1">
        <f t="shared" si="20"/>
        <v>357.61336637106939</v>
      </c>
      <c r="X187" s="1">
        <f t="shared" si="20"/>
        <v>171.95968111762033</v>
      </c>
      <c r="Y187" s="1">
        <f t="shared" si="20"/>
        <v>430.30290295743788</v>
      </c>
      <c r="Z187" s="1">
        <f t="shared" si="20"/>
        <v>71.478945642640696</v>
      </c>
      <c r="AA187" s="1">
        <f t="shared" si="20"/>
        <v>440.99713593209384</v>
      </c>
      <c r="AB187" s="1">
        <f t="shared" si="20"/>
        <v>122.41692606926023</v>
      </c>
      <c r="AC187" s="1">
        <f t="shared" si="20"/>
        <v>374.76849837459224</v>
      </c>
      <c r="AD187" s="1">
        <f t="shared" si="20"/>
        <v>496.32009415987784</v>
      </c>
      <c r="AE187" s="1">
        <f t="shared" si="20"/>
        <v>419.42535315511856</v>
      </c>
      <c r="AF187" s="1">
        <f t="shared" si="20"/>
        <v>426.42870198813068</v>
      </c>
      <c r="AG187" s="1">
        <f t="shared" si="20"/>
        <v>692.93494021757647</v>
      </c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 x14ac:dyDescent="0.45">
      <c r="A188">
        <v>270.07299172374866</v>
      </c>
      <c r="Q188">
        <v>270.07299172374866</v>
      </c>
      <c r="R188" s="1">
        <f t="shared" si="15"/>
        <v>-6.4052106332150061</v>
      </c>
      <c r="S188" s="1">
        <f t="shared" si="16"/>
        <v>143.14884956100119</v>
      </c>
      <c r="T188" s="1">
        <f t="shared" si="21"/>
        <v>206.76645885639016</v>
      </c>
      <c r="U188" s="1">
        <f t="shared" si="20"/>
        <v>386.94903008010562</v>
      </c>
      <c r="V188" s="1">
        <f t="shared" si="20"/>
        <v>357.61336637106939</v>
      </c>
      <c r="W188" s="1">
        <f t="shared" si="20"/>
        <v>171.95968111762033</v>
      </c>
      <c r="X188" s="1">
        <f t="shared" si="20"/>
        <v>430.30290295743788</v>
      </c>
      <c r="Y188" s="1">
        <f t="shared" si="20"/>
        <v>71.478945642640696</v>
      </c>
      <c r="Z188" s="1">
        <f t="shared" si="20"/>
        <v>440.99713593209384</v>
      </c>
      <c r="AA188" s="1">
        <f t="shared" si="20"/>
        <v>122.41692606926023</v>
      </c>
      <c r="AB188" s="1">
        <f t="shared" si="20"/>
        <v>374.76849837459224</v>
      </c>
      <c r="AC188" s="1">
        <f t="shared" si="20"/>
        <v>496.32009415987784</v>
      </c>
      <c r="AD188" s="1">
        <f t="shared" si="20"/>
        <v>419.42535315511856</v>
      </c>
      <c r="AE188" s="1">
        <f t="shared" si="20"/>
        <v>426.42870198813068</v>
      </c>
      <c r="AF188" s="1">
        <f t="shared" si="20"/>
        <v>692.93494021757647</v>
      </c>
      <c r="AG188" s="1">
        <f t="shared" si="20"/>
        <v>364.09253924617246</v>
      </c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 x14ac:dyDescent="0.45">
      <c r="A189">
        <v>143.14884956100119</v>
      </c>
      <c r="Q189">
        <v>143.14884956100119</v>
      </c>
      <c r="R189" s="1">
        <f t="shared" si="15"/>
        <v>-133.32935279596248</v>
      </c>
      <c r="S189" s="1">
        <f t="shared" si="16"/>
        <v>206.76645885639016</v>
      </c>
      <c r="T189" s="1">
        <f t="shared" si="21"/>
        <v>386.94903008010562</v>
      </c>
      <c r="U189" s="1">
        <f t="shared" si="20"/>
        <v>357.61336637106939</v>
      </c>
      <c r="V189" s="1">
        <f t="shared" si="20"/>
        <v>171.95968111762033</v>
      </c>
      <c r="W189" s="1">
        <f t="shared" si="20"/>
        <v>430.30290295743788</v>
      </c>
      <c r="X189" s="1">
        <f t="shared" si="20"/>
        <v>71.478945642640696</v>
      </c>
      <c r="Y189" s="1">
        <f t="shared" si="20"/>
        <v>440.99713593209384</v>
      </c>
      <c r="Z189" s="1">
        <f t="shared" si="20"/>
        <v>122.41692606926023</v>
      </c>
      <c r="AA189" s="1">
        <f t="shared" si="20"/>
        <v>374.76849837459224</v>
      </c>
      <c r="AB189" s="1">
        <f t="shared" si="20"/>
        <v>496.32009415987784</v>
      </c>
      <c r="AC189" s="1">
        <f t="shared" si="20"/>
        <v>419.42535315511856</v>
      </c>
      <c r="AD189" s="1">
        <f t="shared" si="20"/>
        <v>426.42870198813068</v>
      </c>
      <c r="AE189" s="1">
        <f t="shared" si="20"/>
        <v>692.93494021757647</v>
      </c>
      <c r="AF189" s="1">
        <f t="shared" si="20"/>
        <v>364.09253924617246</v>
      </c>
      <c r="AG189" s="1">
        <f t="shared" si="20"/>
        <v>69.373345714430258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 x14ac:dyDescent="0.45">
      <c r="A190">
        <v>206.76645885639016</v>
      </c>
      <c r="Q190">
        <v>206.76645885639016</v>
      </c>
      <c r="R190" s="1">
        <f t="shared" si="15"/>
        <v>-69.711743500573505</v>
      </c>
      <c r="S190" s="1">
        <f t="shared" si="16"/>
        <v>386.94903008010562</v>
      </c>
      <c r="T190" s="1">
        <f t="shared" si="21"/>
        <v>357.61336637106939</v>
      </c>
      <c r="U190" s="1">
        <f t="shared" si="20"/>
        <v>171.95968111762033</v>
      </c>
      <c r="V190" s="1">
        <f t="shared" si="20"/>
        <v>430.30290295743788</v>
      </c>
      <c r="W190" s="1">
        <f t="shared" si="20"/>
        <v>71.478945642640696</v>
      </c>
      <c r="X190" s="1">
        <f t="shared" si="20"/>
        <v>440.99713593209384</v>
      </c>
      <c r="Y190" s="1">
        <f t="shared" si="20"/>
        <v>122.41692606926023</v>
      </c>
      <c r="Z190" s="1">
        <f t="shared" si="20"/>
        <v>374.76849837459224</v>
      </c>
      <c r="AA190" s="1">
        <f t="shared" si="20"/>
        <v>496.32009415987784</v>
      </c>
      <c r="AB190" s="1">
        <f t="shared" si="20"/>
        <v>419.42535315511856</v>
      </c>
      <c r="AC190" s="1">
        <f t="shared" si="20"/>
        <v>426.42870198813068</v>
      </c>
      <c r="AD190" s="1">
        <f t="shared" si="20"/>
        <v>692.93494021757647</v>
      </c>
      <c r="AE190" s="1">
        <f t="shared" si="20"/>
        <v>364.09253924617246</v>
      </c>
      <c r="AF190" s="1">
        <f t="shared" si="20"/>
        <v>69.373345714430258</v>
      </c>
      <c r="AG190" s="1">
        <f t="shared" si="20"/>
        <v>645.48627618446812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 x14ac:dyDescent="0.45">
      <c r="A191">
        <v>386.94903008010562</v>
      </c>
      <c r="Q191">
        <v>386.94903008010562</v>
      </c>
      <c r="R191" s="1">
        <f t="shared" si="15"/>
        <v>110.47082772314195</v>
      </c>
      <c r="S191" s="1">
        <f t="shared" si="16"/>
        <v>357.61336637106939</v>
      </c>
      <c r="T191" s="1">
        <f t="shared" si="21"/>
        <v>171.95968111762033</v>
      </c>
      <c r="U191" s="1">
        <f t="shared" si="21"/>
        <v>430.30290295743788</v>
      </c>
      <c r="V191" s="1">
        <f t="shared" si="21"/>
        <v>71.478945642640696</v>
      </c>
      <c r="W191" s="1">
        <f t="shared" si="21"/>
        <v>440.99713593209384</v>
      </c>
      <c r="X191" s="1">
        <f t="shared" si="21"/>
        <v>122.41692606926023</v>
      </c>
      <c r="Y191" s="1">
        <f t="shared" si="21"/>
        <v>374.76849837459224</v>
      </c>
      <c r="Z191" s="1">
        <f t="shared" si="21"/>
        <v>496.32009415987784</v>
      </c>
      <c r="AA191" s="1">
        <f t="shared" si="21"/>
        <v>419.42535315511856</v>
      </c>
      <c r="AB191" s="1">
        <f t="shared" si="21"/>
        <v>426.42870198813068</v>
      </c>
      <c r="AC191" s="1">
        <f t="shared" si="21"/>
        <v>692.93494021757647</v>
      </c>
      <c r="AD191" s="1">
        <f t="shared" si="21"/>
        <v>364.09253924617246</v>
      </c>
      <c r="AE191" s="1">
        <f t="shared" si="21"/>
        <v>69.373345714430258</v>
      </c>
      <c r="AF191" s="1">
        <f t="shared" si="21"/>
        <v>645.48627618446812</v>
      </c>
      <c r="AG191" s="1">
        <f t="shared" si="21"/>
        <v>253.37067071593762</v>
      </c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 x14ac:dyDescent="0.45">
      <c r="A192">
        <v>357.61336637106939</v>
      </c>
      <c r="Q192">
        <v>357.61336637106939</v>
      </c>
      <c r="R192" s="1">
        <f t="shared" si="15"/>
        <v>81.135164014105726</v>
      </c>
      <c r="S192" s="1">
        <f t="shared" si="16"/>
        <v>171.95968111762033</v>
      </c>
      <c r="T192" s="1">
        <f t="shared" si="21"/>
        <v>430.30290295743788</v>
      </c>
      <c r="U192" s="1">
        <f t="shared" si="21"/>
        <v>71.478945642640696</v>
      </c>
      <c r="V192" s="1">
        <f t="shared" si="21"/>
        <v>440.99713593209384</v>
      </c>
      <c r="W192" s="1">
        <f t="shared" si="21"/>
        <v>122.41692606926023</v>
      </c>
      <c r="X192" s="1">
        <f t="shared" si="21"/>
        <v>374.76849837459224</v>
      </c>
      <c r="Y192" s="1">
        <f t="shared" si="21"/>
        <v>496.32009415987784</v>
      </c>
      <c r="Z192" s="1">
        <f t="shared" si="21"/>
        <v>419.42535315511856</v>
      </c>
      <c r="AA192" s="1">
        <f t="shared" si="21"/>
        <v>426.42870198813068</v>
      </c>
      <c r="AB192" s="1">
        <f t="shared" si="21"/>
        <v>692.93494021757647</v>
      </c>
      <c r="AC192" s="1">
        <f t="shared" si="21"/>
        <v>364.09253924617246</v>
      </c>
      <c r="AD192" s="1">
        <f t="shared" si="21"/>
        <v>69.373345714430258</v>
      </c>
      <c r="AE192" s="1">
        <f t="shared" si="21"/>
        <v>645.48627618446812</v>
      </c>
      <c r="AF192" s="1">
        <f t="shared" si="21"/>
        <v>253.37067071593762</v>
      </c>
      <c r="AG192" s="1">
        <f t="shared" si="21"/>
        <v>159.83440011729931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 x14ac:dyDescent="0.45">
      <c r="A193">
        <v>171.95968111762033</v>
      </c>
      <c r="Q193">
        <v>171.95968111762033</v>
      </c>
      <c r="R193" s="1">
        <f t="shared" si="15"/>
        <v>-104.51852123934333</v>
      </c>
      <c r="S193" s="1">
        <f t="shared" si="16"/>
        <v>430.30290295743788</v>
      </c>
      <c r="T193" s="1">
        <f t="shared" si="21"/>
        <v>71.478945642640696</v>
      </c>
      <c r="U193" s="1">
        <f t="shared" si="21"/>
        <v>440.99713593209384</v>
      </c>
      <c r="V193" s="1">
        <f t="shared" si="21"/>
        <v>122.41692606926023</v>
      </c>
      <c r="W193" s="1">
        <f t="shared" si="21"/>
        <v>374.76849837459224</v>
      </c>
      <c r="X193" s="1">
        <f t="shared" si="21"/>
        <v>496.32009415987784</v>
      </c>
      <c r="Y193" s="1">
        <f t="shared" si="21"/>
        <v>419.42535315511856</v>
      </c>
      <c r="Z193" s="1">
        <f t="shared" si="21"/>
        <v>426.42870198813068</v>
      </c>
      <c r="AA193" s="1">
        <f t="shared" si="21"/>
        <v>692.93494021757647</v>
      </c>
      <c r="AB193" s="1">
        <f t="shared" si="21"/>
        <v>364.09253924617246</v>
      </c>
      <c r="AC193" s="1">
        <f t="shared" si="21"/>
        <v>69.373345714430258</v>
      </c>
      <c r="AD193" s="1">
        <f t="shared" si="21"/>
        <v>645.48627618446812</v>
      </c>
      <c r="AE193" s="1">
        <f t="shared" si="21"/>
        <v>253.37067071593762</v>
      </c>
      <c r="AF193" s="1">
        <f t="shared" si="21"/>
        <v>159.83440011729931</v>
      </c>
      <c r="AG193" s="1">
        <f t="shared" si="21"/>
        <v>209.3916405160374</v>
      </c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 x14ac:dyDescent="0.45">
      <c r="A194">
        <v>430.30290295743788</v>
      </c>
      <c r="Q194">
        <v>430.30290295743788</v>
      </c>
      <c r="R194" s="1">
        <f t="shared" si="15"/>
        <v>153.82470060047422</v>
      </c>
      <c r="S194" s="1">
        <f t="shared" si="16"/>
        <v>71.478945642640696</v>
      </c>
      <c r="T194" s="1">
        <f t="shared" si="21"/>
        <v>440.99713593209384</v>
      </c>
      <c r="U194" s="1">
        <f t="shared" si="21"/>
        <v>122.41692606926023</v>
      </c>
      <c r="V194" s="1">
        <f t="shared" si="21"/>
        <v>374.76849837459224</v>
      </c>
      <c r="W194" s="1">
        <f t="shared" si="21"/>
        <v>496.32009415987784</v>
      </c>
      <c r="X194" s="1">
        <f t="shared" si="21"/>
        <v>419.42535315511856</v>
      </c>
      <c r="Y194" s="1">
        <f t="shared" si="21"/>
        <v>426.42870198813068</v>
      </c>
      <c r="Z194" s="1">
        <f t="shared" si="21"/>
        <v>692.93494021757647</v>
      </c>
      <c r="AA194" s="1">
        <f t="shared" si="21"/>
        <v>364.09253924617246</v>
      </c>
      <c r="AB194" s="1">
        <f t="shared" si="21"/>
        <v>69.373345714430258</v>
      </c>
      <c r="AC194" s="1">
        <f t="shared" si="21"/>
        <v>645.48627618446812</v>
      </c>
      <c r="AD194" s="1">
        <f t="shared" si="21"/>
        <v>253.37067071593762</v>
      </c>
      <c r="AE194" s="1">
        <f t="shared" si="21"/>
        <v>159.83440011729931</v>
      </c>
      <c r="AF194" s="1">
        <f t="shared" si="21"/>
        <v>209.3916405160374</v>
      </c>
      <c r="AG194" s="1">
        <f t="shared" si="21"/>
        <v>143.80990872984322</v>
      </c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 x14ac:dyDescent="0.45">
      <c r="A195">
        <v>71.478945642640696</v>
      </c>
      <c r="Q195">
        <v>71.478945642640696</v>
      </c>
      <c r="R195" s="1">
        <f t="shared" si="15"/>
        <v>-204.99925671432297</v>
      </c>
      <c r="S195" s="1">
        <f t="shared" si="16"/>
        <v>440.99713593209384</v>
      </c>
      <c r="T195" s="1">
        <f t="shared" si="21"/>
        <v>122.41692606926023</v>
      </c>
      <c r="U195" s="1">
        <f t="shared" si="21"/>
        <v>374.76849837459224</v>
      </c>
      <c r="V195" s="1">
        <f t="shared" si="21"/>
        <v>496.32009415987784</v>
      </c>
      <c r="W195" s="1">
        <f t="shared" si="21"/>
        <v>419.42535315511856</v>
      </c>
      <c r="X195" s="1">
        <f t="shared" si="21"/>
        <v>426.42870198813068</v>
      </c>
      <c r="Y195" s="1">
        <f t="shared" si="21"/>
        <v>692.93494021757647</v>
      </c>
      <c r="Z195" s="1">
        <f t="shared" si="21"/>
        <v>364.09253924617246</v>
      </c>
      <c r="AA195" s="1">
        <f t="shared" si="21"/>
        <v>69.373345714430258</v>
      </c>
      <c r="AB195" s="1">
        <f t="shared" si="21"/>
        <v>645.48627618446812</v>
      </c>
      <c r="AC195" s="1">
        <f t="shared" si="21"/>
        <v>253.37067071593762</v>
      </c>
      <c r="AD195" s="1">
        <f t="shared" si="21"/>
        <v>159.83440011729931</v>
      </c>
      <c r="AE195" s="1">
        <f t="shared" si="21"/>
        <v>209.3916405160374</v>
      </c>
      <c r="AF195" s="1">
        <f t="shared" si="21"/>
        <v>143.80990872984322</v>
      </c>
      <c r="AG195" s="1">
        <f t="shared" si="21"/>
        <v>514.21173408566551</v>
      </c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 x14ac:dyDescent="0.45">
      <c r="A196">
        <v>440.99713593209384</v>
      </c>
      <c r="Q196">
        <v>440.99713593209384</v>
      </c>
      <c r="R196" s="1">
        <f t="shared" si="15"/>
        <v>164.51893357513018</v>
      </c>
      <c r="S196" s="1">
        <f t="shared" si="16"/>
        <v>122.41692606926023</v>
      </c>
      <c r="T196" s="1">
        <f t="shared" si="21"/>
        <v>374.76849837459224</v>
      </c>
      <c r="U196" s="1">
        <f t="shared" si="21"/>
        <v>496.32009415987784</v>
      </c>
      <c r="V196" s="1">
        <f t="shared" si="21"/>
        <v>419.42535315511856</v>
      </c>
      <c r="W196" s="1">
        <f t="shared" si="21"/>
        <v>426.42870198813068</v>
      </c>
      <c r="X196" s="1">
        <f t="shared" si="21"/>
        <v>692.93494021757647</v>
      </c>
      <c r="Y196" s="1">
        <f t="shared" si="21"/>
        <v>364.09253924617246</v>
      </c>
      <c r="Z196" s="1">
        <f t="shared" si="21"/>
        <v>69.373345714430258</v>
      </c>
      <c r="AA196" s="1">
        <f t="shared" si="21"/>
        <v>645.48627618446812</v>
      </c>
      <c r="AB196" s="1">
        <f t="shared" si="21"/>
        <v>253.37067071593762</v>
      </c>
      <c r="AC196" s="1">
        <f t="shared" si="21"/>
        <v>159.83440011729931</v>
      </c>
      <c r="AD196" s="1">
        <f t="shared" si="21"/>
        <v>209.3916405160374</v>
      </c>
      <c r="AE196" s="1">
        <f t="shared" si="21"/>
        <v>143.80990872984322</v>
      </c>
      <c r="AF196" s="1">
        <f t="shared" si="21"/>
        <v>514.21173408566551</v>
      </c>
      <c r="AG196" s="1">
        <f t="shared" si="21"/>
        <v>499.73708813840176</v>
      </c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 x14ac:dyDescent="0.45">
      <c r="A197">
        <v>122.41692606926023</v>
      </c>
      <c r="Q197">
        <v>122.41692606926023</v>
      </c>
      <c r="R197" s="1">
        <f t="shared" ref="R197:R260" si="22">Q197-$F$30</f>
        <v>-154.06127628770344</v>
      </c>
      <c r="S197" s="1">
        <f t="shared" si="16"/>
        <v>374.76849837459224</v>
      </c>
      <c r="T197" s="1">
        <f t="shared" si="21"/>
        <v>496.32009415987784</v>
      </c>
      <c r="U197" s="1">
        <f t="shared" si="21"/>
        <v>419.42535315511856</v>
      </c>
      <c r="V197" s="1">
        <f t="shared" si="21"/>
        <v>426.42870198813068</v>
      </c>
      <c r="W197" s="1">
        <f t="shared" si="21"/>
        <v>692.93494021757647</v>
      </c>
      <c r="X197" s="1">
        <f t="shared" si="21"/>
        <v>364.09253924617246</v>
      </c>
      <c r="Y197" s="1">
        <f t="shared" si="21"/>
        <v>69.373345714430258</v>
      </c>
      <c r="Z197" s="1">
        <f t="shared" si="21"/>
        <v>645.48627618446812</v>
      </c>
      <c r="AA197" s="1">
        <f t="shared" si="21"/>
        <v>253.37067071593762</v>
      </c>
      <c r="AB197" s="1">
        <f t="shared" si="21"/>
        <v>159.83440011729931</v>
      </c>
      <c r="AC197" s="1">
        <f t="shared" si="21"/>
        <v>209.3916405160374</v>
      </c>
      <c r="AD197" s="1">
        <f t="shared" si="21"/>
        <v>143.80990872984322</v>
      </c>
      <c r="AE197" s="1">
        <f t="shared" si="21"/>
        <v>514.21173408566551</v>
      </c>
      <c r="AF197" s="1">
        <f t="shared" si="21"/>
        <v>499.73708813840176</v>
      </c>
      <c r="AG197" s="1">
        <f t="shared" si="21"/>
        <v>159.37317907293269</v>
      </c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 x14ac:dyDescent="0.45">
      <c r="A198">
        <v>374.76849837459224</v>
      </c>
      <c r="Q198">
        <v>374.76849837459224</v>
      </c>
      <c r="R198" s="1">
        <f t="shared" si="22"/>
        <v>98.290296017628577</v>
      </c>
      <c r="S198" s="1">
        <f t="shared" ref="S198:S261" si="23">Q199</f>
        <v>496.32009415987784</v>
      </c>
      <c r="T198" s="1">
        <f t="shared" si="21"/>
        <v>419.42535315511856</v>
      </c>
      <c r="U198" s="1">
        <f t="shared" si="21"/>
        <v>426.42870198813068</v>
      </c>
      <c r="V198" s="1">
        <f t="shared" si="21"/>
        <v>692.93494021757647</v>
      </c>
      <c r="W198" s="1">
        <f t="shared" si="21"/>
        <v>364.09253924617246</v>
      </c>
      <c r="X198" s="1">
        <f t="shared" si="21"/>
        <v>69.373345714430258</v>
      </c>
      <c r="Y198" s="1">
        <f t="shared" si="21"/>
        <v>645.48627618446812</v>
      </c>
      <c r="Z198" s="1">
        <f t="shared" si="21"/>
        <v>253.37067071593762</v>
      </c>
      <c r="AA198" s="1">
        <f t="shared" si="21"/>
        <v>159.83440011729931</v>
      </c>
      <c r="AB198" s="1">
        <f t="shared" si="21"/>
        <v>209.3916405160374</v>
      </c>
      <c r="AC198" s="1">
        <f t="shared" si="21"/>
        <v>143.80990872984322</v>
      </c>
      <c r="AD198" s="1">
        <f t="shared" si="21"/>
        <v>514.21173408566551</v>
      </c>
      <c r="AE198" s="1">
        <f t="shared" si="21"/>
        <v>499.73708813840176</v>
      </c>
      <c r="AF198" s="1">
        <f t="shared" si="21"/>
        <v>159.37317907293269</v>
      </c>
      <c r="AG198" s="1">
        <f t="shared" si="21"/>
        <v>427.01641020644593</v>
      </c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 x14ac:dyDescent="0.45">
      <c r="A199">
        <v>496.32009415987784</v>
      </c>
      <c r="Q199">
        <v>496.32009415987784</v>
      </c>
      <c r="R199" s="1">
        <f t="shared" si="22"/>
        <v>219.84189180291418</v>
      </c>
      <c r="S199" s="1">
        <f t="shared" si="23"/>
        <v>419.42535315511856</v>
      </c>
      <c r="T199" s="1">
        <f t="shared" si="21"/>
        <v>426.42870198813068</v>
      </c>
      <c r="U199" s="1">
        <f t="shared" si="21"/>
        <v>692.93494021757647</v>
      </c>
      <c r="V199" s="1">
        <f t="shared" si="21"/>
        <v>364.09253924617246</v>
      </c>
      <c r="W199" s="1">
        <f t="shared" si="21"/>
        <v>69.373345714430258</v>
      </c>
      <c r="X199" s="1">
        <f t="shared" si="21"/>
        <v>645.48627618446812</v>
      </c>
      <c r="Y199" s="1">
        <f t="shared" si="21"/>
        <v>253.37067071593762</v>
      </c>
      <c r="Z199" s="1">
        <f t="shared" si="21"/>
        <v>159.83440011729931</v>
      </c>
      <c r="AA199" s="1">
        <f t="shared" si="21"/>
        <v>209.3916405160374</v>
      </c>
      <c r="AB199" s="1">
        <f t="shared" si="21"/>
        <v>143.80990872984322</v>
      </c>
      <c r="AC199" s="1">
        <f t="shared" si="21"/>
        <v>514.21173408566551</v>
      </c>
      <c r="AD199" s="1">
        <f t="shared" si="21"/>
        <v>499.73708813840176</v>
      </c>
      <c r="AE199" s="1">
        <f t="shared" si="21"/>
        <v>159.37317907293269</v>
      </c>
      <c r="AF199" s="1">
        <f t="shared" si="21"/>
        <v>427.01641020644593</v>
      </c>
      <c r="AG199" s="1">
        <f t="shared" si="21"/>
        <v>482.07155106892395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 x14ac:dyDescent="0.45">
      <c r="A200">
        <v>419.42535315511856</v>
      </c>
      <c r="Q200">
        <v>419.42535315511856</v>
      </c>
      <c r="R200" s="1">
        <f t="shared" si="22"/>
        <v>142.94715079815489</v>
      </c>
      <c r="S200" s="1">
        <f t="shared" si="23"/>
        <v>426.42870198813068</v>
      </c>
      <c r="T200" s="1">
        <f t="shared" si="21"/>
        <v>692.93494021757647</v>
      </c>
      <c r="U200" s="1">
        <f t="shared" si="21"/>
        <v>364.09253924617246</v>
      </c>
      <c r="V200" s="1">
        <f t="shared" si="21"/>
        <v>69.373345714430258</v>
      </c>
      <c r="W200" s="1">
        <f t="shared" si="21"/>
        <v>645.48627618446812</v>
      </c>
      <c r="X200" s="1">
        <f t="shared" si="21"/>
        <v>253.37067071593762</v>
      </c>
      <c r="Y200" s="1">
        <f t="shared" si="21"/>
        <v>159.83440011729931</v>
      </c>
      <c r="Z200" s="1">
        <f t="shared" si="21"/>
        <v>209.3916405160374</v>
      </c>
      <c r="AA200" s="1">
        <f t="shared" si="21"/>
        <v>143.80990872984322</v>
      </c>
      <c r="AB200" s="1">
        <f t="shared" si="21"/>
        <v>514.21173408566551</v>
      </c>
      <c r="AC200" s="1">
        <f t="shared" si="21"/>
        <v>499.73708813840176</v>
      </c>
      <c r="AD200" s="1">
        <f t="shared" si="21"/>
        <v>159.37317907293269</v>
      </c>
      <c r="AE200" s="1">
        <f t="shared" si="21"/>
        <v>427.01641020644593</v>
      </c>
      <c r="AF200" s="1">
        <f t="shared" si="21"/>
        <v>482.07155106892395</v>
      </c>
      <c r="AG200" s="1">
        <f t="shared" si="21"/>
        <v>184.32682850765244</v>
      </c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 x14ac:dyDescent="0.45">
      <c r="A201">
        <v>426.42870198813068</v>
      </c>
      <c r="Q201">
        <v>426.42870198813068</v>
      </c>
      <c r="R201" s="1">
        <f t="shared" si="22"/>
        <v>149.95049963116702</v>
      </c>
      <c r="S201" s="1">
        <f t="shared" si="23"/>
        <v>692.93494021757647</v>
      </c>
      <c r="T201" s="1">
        <f t="shared" si="21"/>
        <v>364.09253924617246</v>
      </c>
      <c r="U201" s="1">
        <f t="shared" si="21"/>
        <v>69.373345714430258</v>
      </c>
      <c r="V201" s="1">
        <f t="shared" si="21"/>
        <v>645.48627618446812</v>
      </c>
      <c r="W201" s="1">
        <f t="shared" si="21"/>
        <v>253.37067071593762</v>
      </c>
      <c r="X201" s="1">
        <f t="shared" si="21"/>
        <v>159.83440011729931</v>
      </c>
      <c r="Y201" s="1">
        <f t="shared" si="21"/>
        <v>209.3916405160374</v>
      </c>
      <c r="Z201" s="1">
        <f t="shared" si="21"/>
        <v>143.80990872984322</v>
      </c>
      <c r="AA201" s="1">
        <f t="shared" si="21"/>
        <v>514.21173408566551</v>
      </c>
      <c r="AB201" s="1">
        <f t="shared" si="21"/>
        <v>499.73708813840176</v>
      </c>
      <c r="AC201" s="1">
        <f t="shared" si="21"/>
        <v>159.37317907293269</v>
      </c>
      <c r="AD201" s="1">
        <f t="shared" si="21"/>
        <v>427.01641020644593</v>
      </c>
      <c r="AE201" s="1">
        <f t="shared" si="21"/>
        <v>482.07155106892395</v>
      </c>
      <c r="AF201" s="1">
        <f t="shared" si="21"/>
        <v>184.32682850765244</v>
      </c>
      <c r="AG201" s="1">
        <f t="shared" si="21"/>
        <v>78.411389255675999</v>
      </c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 x14ac:dyDescent="0.45">
      <c r="A202">
        <v>692.93494021757647</v>
      </c>
      <c r="Q202">
        <v>692.93494021757647</v>
      </c>
      <c r="R202" s="1">
        <f t="shared" si="22"/>
        <v>416.4567378606128</v>
      </c>
      <c r="S202" s="1">
        <f t="shared" si="23"/>
        <v>364.09253924617246</v>
      </c>
      <c r="T202" s="1">
        <f t="shared" si="21"/>
        <v>69.373345714430258</v>
      </c>
      <c r="U202" s="1">
        <f t="shared" si="21"/>
        <v>645.48627618446812</v>
      </c>
      <c r="V202" s="1">
        <f t="shared" si="21"/>
        <v>253.37067071593762</v>
      </c>
      <c r="W202" s="1">
        <f t="shared" si="21"/>
        <v>159.83440011729931</v>
      </c>
      <c r="X202" s="1">
        <f t="shared" si="21"/>
        <v>209.3916405160374</v>
      </c>
      <c r="Y202" s="1">
        <f t="shared" si="21"/>
        <v>143.80990872984322</v>
      </c>
      <c r="Z202" s="1">
        <f t="shared" si="21"/>
        <v>514.21173408566551</v>
      </c>
      <c r="AA202" s="1">
        <f t="shared" si="21"/>
        <v>499.73708813840176</v>
      </c>
      <c r="AB202" s="1">
        <f t="shared" si="21"/>
        <v>159.37317907293269</v>
      </c>
      <c r="AC202" s="1">
        <f t="shared" si="21"/>
        <v>427.01641020644593</v>
      </c>
      <c r="AD202" s="1">
        <f t="shared" si="21"/>
        <v>482.07155106892395</v>
      </c>
      <c r="AE202" s="1">
        <f t="shared" si="21"/>
        <v>184.32682850765244</v>
      </c>
      <c r="AF202" s="1">
        <f t="shared" si="21"/>
        <v>78.411389255675999</v>
      </c>
      <c r="AG202" s="1">
        <f t="shared" si="21"/>
        <v>190.06879674926037</v>
      </c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 x14ac:dyDescent="0.45">
      <c r="A203">
        <v>364.09253924617246</v>
      </c>
      <c r="Q203">
        <v>364.09253924617246</v>
      </c>
      <c r="R203" s="1">
        <f t="shared" si="22"/>
        <v>87.614336889208801</v>
      </c>
      <c r="S203" s="1">
        <f t="shared" si="23"/>
        <v>69.373345714430258</v>
      </c>
      <c r="T203" s="1">
        <f t="shared" si="21"/>
        <v>645.48627618446812</v>
      </c>
      <c r="U203" s="1">
        <f t="shared" si="21"/>
        <v>253.37067071593762</v>
      </c>
      <c r="V203" s="1">
        <f t="shared" si="21"/>
        <v>159.83440011729931</v>
      </c>
      <c r="W203" s="1">
        <f t="shared" si="21"/>
        <v>209.3916405160374</v>
      </c>
      <c r="X203" s="1">
        <f t="shared" si="21"/>
        <v>143.80990872984322</v>
      </c>
      <c r="Y203" s="1">
        <f t="shared" si="21"/>
        <v>514.21173408566551</v>
      </c>
      <c r="Z203" s="1">
        <f t="shared" si="21"/>
        <v>499.73708813840176</v>
      </c>
      <c r="AA203" s="1">
        <f t="shared" si="21"/>
        <v>159.37317907293269</v>
      </c>
      <c r="AB203" s="1">
        <f t="shared" si="21"/>
        <v>427.01641020644593</v>
      </c>
      <c r="AC203" s="1">
        <f t="shared" si="21"/>
        <v>482.07155106892395</v>
      </c>
      <c r="AD203" s="1">
        <f t="shared" si="21"/>
        <v>184.32682850765244</v>
      </c>
      <c r="AE203" s="1">
        <f t="shared" si="21"/>
        <v>78.411389255675999</v>
      </c>
      <c r="AF203" s="1">
        <f t="shared" si="21"/>
        <v>190.06879674926037</v>
      </c>
      <c r="AG203" s="1">
        <f t="shared" si="21"/>
        <v>305.8019288501377</v>
      </c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 x14ac:dyDescent="0.45">
      <c r="A204">
        <v>69.373345714430258</v>
      </c>
      <c r="Q204">
        <v>69.373345714430258</v>
      </c>
      <c r="R204" s="1">
        <f t="shared" si="22"/>
        <v>-207.10485664253341</v>
      </c>
      <c r="S204" s="1">
        <f t="shared" si="23"/>
        <v>645.48627618446812</v>
      </c>
      <c r="T204" s="1">
        <f t="shared" si="21"/>
        <v>253.37067071593762</v>
      </c>
      <c r="U204" s="1">
        <f t="shared" si="21"/>
        <v>159.83440011729931</v>
      </c>
      <c r="V204" s="1">
        <f t="shared" si="21"/>
        <v>209.3916405160374</v>
      </c>
      <c r="W204" s="1">
        <f t="shared" si="21"/>
        <v>143.80990872984322</v>
      </c>
      <c r="X204" s="1">
        <f t="shared" si="21"/>
        <v>514.21173408566551</v>
      </c>
      <c r="Y204" s="1">
        <f t="shared" si="21"/>
        <v>499.73708813840176</v>
      </c>
      <c r="Z204" s="1">
        <f t="shared" si="21"/>
        <v>159.37317907293269</v>
      </c>
      <c r="AA204" s="1">
        <f t="shared" si="21"/>
        <v>427.01641020644593</v>
      </c>
      <c r="AB204" s="1">
        <f t="shared" si="21"/>
        <v>482.07155106892395</v>
      </c>
      <c r="AC204" s="1">
        <f t="shared" si="21"/>
        <v>184.32682850765244</v>
      </c>
      <c r="AD204" s="1">
        <f t="shared" si="21"/>
        <v>78.411389255675999</v>
      </c>
      <c r="AE204" s="1">
        <f t="shared" si="21"/>
        <v>190.06879674926037</v>
      </c>
      <c r="AF204" s="1">
        <f t="shared" si="21"/>
        <v>305.8019288501377</v>
      </c>
      <c r="AG204" s="1">
        <f t="shared" si="21"/>
        <v>303.2634441342509</v>
      </c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 x14ac:dyDescent="0.45">
      <c r="A205">
        <v>645.48627618446812</v>
      </c>
      <c r="Q205">
        <v>645.48627618446812</v>
      </c>
      <c r="R205" s="1">
        <f t="shared" si="22"/>
        <v>369.00807382750446</v>
      </c>
      <c r="S205" s="1">
        <f t="shared" si="23"/>
        <v>253.37067071593762</v>
      </c>
      <c r="T205" s="1">
        <f t="shared" si="21"/>
        <v>159.83440011729931</v>
      </c>
      <c r="U205" s="1">
        <f t="shared" si="21"/>
        <v>209.3916405160374</v>
      </c>
      <c r="V205" s="1">
        <f t="shared" si="21"/>
        <v>143.80990872984322</v>
      </c>
      <c r="W205" s="1">
        <f t="shared" si="21"/>
        <v>514.21173408566551</v>
      </c>
      <c r="X205" s="1">
        <f t="shared" si="21"/>
        <v>499.73708813840176</v>
      </c>
      <c r="Y205" s="1">
        <f t="shared" si="21"/>
        <v>159.37317907293269</v>
      </c>
      <c r="Z205" s="1">
        <f t="shared" si="21"/>
        <v>427.01641020644593</v>
      </c>
      <c r="AA205" s="1">
        <f t="shared" si="21"/>
        <v>482.07155106892395</v>
      </c>
      <c r="AB205" s="1">
        <f t="shared" si="21"/>
        <v>184.32682850765244</v>
      </c>
      <c r="AC205" s="1">
        <f t="shared" si="21"/>
        <v>78.411389255675999</v>
      </c>
      <c r="AD205" s="1">
        <f t="shared" si="21"/>
        <v>190.06879674926037</v>
      </c>
      <c r="AE205" s="1">
        <f t="shared" si="21"/>
        <v>305.8019288501377</v>
      </c>
      <c r="AF205" s="1">
        <f t="shared" si="21"/>
        <v>303.2634441342509</v>
      </c>
      <c r="AG205" s="1">
        <f t="shared" si="21"/>
        <v>110.9153256499812</v>
      </c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 x14ac:dyDescent="0.45">
      <c r="A206">
        <v>253.37067071593762</v>
      </c>
      <c r="Q206">
        <v>253.37067071593762</v>
      </c>
      <c r="R206" s="1">
        <f t="shared" si="22"/>
        <v>-23.107531641026043</v>
      </c>
      <c r="S206" s="1">
        <f t="shared" si="23"/>
        <v>159.83440011729931</v>
      </c>
      <c r="T206" s="1">
        <f t="shared" si="21"/>
        <v>209.3916405160374</v>
      </c>
      <c r="U206" s="1">
        <f t="shared" si="21"/>
        <v>143.80990872984322</v>
      </c>
      <c r="V206" s="1">
        <f t="shared" si="21"/>
        <v>514.21173408566551</v>
      </c>
      <c r="W206" s="1">
        <f t="shared" si="21"/>
        <v>499.73708813840176</v>
      </c>
      <c r="X206" s="1">
        <f t="shared" si="21"/>
        <v>159.37317907293269</v>
      </c>
      <c r="Y206" s="1">
        <f t="shared" si="21"/>
        <v>427.01641020644593</v>
      </c>
      <c r="Z206" s="1">
        <f t="shared" si="21"/>
        <v>482.07155106892395</v>
      </c>
      <c r="AA206" s="1">
        <f t="shared" si="21"/>
        <v>184.32682850765244</v>
      </c>
      <c r="AB206" s="1">
        <f t="shared" si="21"/>
        <v>78.411389255675999</v>
      </c>
      <c r="AC206" s="1">
        <f t="shared" si="21"/>
        <v>190.06879674926037</v>
      </c>
      <c r="AD206" s="1">
        <f t="shared" si="21"/>
        <v>305.8019288501377</v>
      </c>
      <c r="AE206" s="1">
        <f t="shared" si="21"/>
        <v>303.2634441342509</v>
      </c>
      <c r="AF206" s="1">
        <f t="shared" si="21"/>
        <v>110.9153256499812</v>
      </c>
      <c r="AG206" s="1">
        <f t="shared" si="21"/>
        <v>202.89789919264857</v>
      </c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 x14ac:dyDescent="0.45">
      <c r="A207">
        <v>159.83440011729931</v>
      </c>
      <c r="Q207">
        <v>159.83440011729931</v>
      </c>
      <c r="R207" s="1">
        <f t="shared" si="22"/>
        <v>-116.64380223966435</v>
      </c>
      <c r="S207" s="1">
        <f t="shared" si="23"/>
        <v>209.3916405160374</v>
      </c>
      <c r="T207" s="1">
        <f t="shared" si="21"/>
        <v>143.80990872984322</v>
      </c>
      <c r="U207" s="1">
        <f t="shared" si="21"/>
        <v>514.21173408566551</v>
      </c>
      <c r="V207" s="1">
        <f t="shared" si="21"/>
        <v>499.73708813840176</v>
      </c>
      <c r="W207" s="1">
        <f t="shared" si="21"/>
        <v>159.37317907293269</v>
      </c>
      <c r="X207" s="1">
        <f t="shared" si="21"/>
        <v>427.01641020644593</v>
      </c>
      <c r="Y207" s="1">
        <f t="shared" si="21"/>
        <v>482.07155106892395</v>
      </c>
      <c r="Z207" s="1">
        <f t="shared" si="21"/>
        <v>184.32682850765244</v>
      </c>
      <c r="AA207" s="1">
        <f t="shared" si="21"/>
        <v>78.411389255675999</v>
      </c>
      <c r="AB207" s="1">
        <f t="shared" si="21"/>
        <v>190.06879674926037</v>
      </c>
      <c r="AC207" s="1">
        <f t="shared" si="21"/>
        <v>305.8019288501377</v>
      </c>
      <c r="AD207" s="1">
        <f t="shared" si="21"/>
        <v>303.2634441342509</v>
      </c>
      <c r="AE207" s="1">
        <f t="shared" si="21"/>
        <v>110.9153256499812</v>
      </c>
      <c r="AF207" s="1">
        <f t="shared" si="21"/>
        <v>202.89789919264857</v>
      </c>
      <c r="AG207" s="1">
        <f t="shared" si="21"/>
        <v>620.96824470108152</v>
      </c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 x14ac:dyDescent="0.45">
      <c r="A208">
        <v>209.3916405160374</v>
      </c>
      <c r="Q208">
        <v>209.3916405160374</v>
      </c>
      <c r="R208" s="1">
        <f t="shared" si="22"/>
        <v>-67.086561840926265</v>
      </c>
      <c r="S208" s="1">
        <f t="shared" si="23"/>
        <v>143.80990872984322</v>
      </c>
      <c r="T208" s="1">
        <f t="shared" si="21"/>
        <v>514.21173408566551</v>
      </c>
      <c r="U208" s="1">
        <f t="shared" si="21"/>
        <v>499.73708813840176</v>
      </c>
      <c r="V208" s="1">
        <f t="shared" ref="T208:AG226" si="24">U209</f>
        <v>159.37317907293269</v>
      </c>
      <c r="W208" s="1">
        <f t="shared" si="24"/>
        <v>427.01641020644593</v>
      </c>
      <c r="X208" s="1">
        <f t="shared" si="24"/>
        <v>482.07155106892395</v>
      </c>
      <c r="Y208" s="1">
        <f t="shared" si="24"/>
        <v>184.32682850765244</v>
      </c>
      <c r="Z208" s="1">
        <f t="shared" si="24"/>
        <v>78.411389255675999</v>
      </c>
      <c r="AA208" s="1">
        <f t="shared" si="24"/>
        <v>190.06879674926037</v>
      </c>
      <c r="AB208" s="1">
        <f t="shared" si="24"/>
        <v>305.8019288501377</v>
      </c>
      <c r="AC208" s="1">
        <f t="shared" si="24"/>
        <v>303.2634441342509</v>
      </c>
      <c r="AD208" s="1">
        <f t="shared" si="24"/>
        <v>110.9153256499812</v>
      </c>
      <c r="AE208" s="1">
        <f t="shared" si="24"/>
        <v>202.89789919264857</v>
      </c>
      <c r="AF208" s="1">
        <f t="shared" si="24"/>
        <v>620.96824470108152</v>
      </c>
      <c r="AG208" s="1">
        <f t="shared" si="24"/>
        <v>306.65779932290599</v>
      </c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1:48" x14ac:dyDescent="0.45">
      <c r="A209">
        <v>143.80990872984322</v>
      </c>
      <c r="Q209">
        <v>143.80990872984322</v>
      </c>
      <c r="R209" s="1">
        <f t="shared" si="22"/>
        <v>-132.66829362712045</v>
      </c>
      <c r="S209" s="1">
        <f t="shared" si="23"/>
        <v>514.21173408566551</v>
      </c>
      <c r="T209" s="1">
        <f t="shared" si="24"/>
        <v>499.73708813840176</v>
      </c>
      <c r="U209" s="1">
        <f t="shared" si="24"/>
        <v>159.37317907293269</v>
      </c>
      <c r="V209" s="1">
        <f t="shared" si="24"/>
        <v>427.01641020644593</v>
      </c>
      <c r="W209" s="1">
        <f t="shared" si="24"/>
        <v>482.07155106892395</v>
      </c>
      <c r="X209" s="1">
        <f t="shared" si="24"/>
        <v>184.32682850765244</v>
      </c>
      <c r="Y209" s="1">
        <f t="shared" si="24"/>
        <v>78.411389255675999</v>
      </c>
      <c r="Z209" s="1">
        <f t="shared" si="24"/>
        <v>190.06879674926037</v>
      </c>
      <c r="AA209" s="1">
        <f t="shared" si="24"/>
        <v>305.8019288501377</v>
      </c>
      <c r="AB209" s="1">
        <f t="shared" si="24"/>
        <v>303.2634441342509</v>
      </c>
      <c r="AC209" s="1">
        <f t="shared" si="24"/>
        <v>110.9153256499812</v>
      </c>
      <c r="AD209" s="1">
        <f t="shared" si="24"/>
        <v>202.89789919264857</v>
      </c>
      <c r="AE209" s="1">
        <f t="shared" si="24"/>
        <v>620.96824470108152</v>
      </c>
      <c r="AF209" s="1">
        <f t="shared" si="24"/>
        <v>306.65779932290599</v>
      </c>
      <c r="AG209" s="1">
        <f t="shared" si="24"/>
        <v>191.72359186815848</v>
      </c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1:48" x14ac:dyDescent="0.45">
      <c r="A210">
        <v>514.21173408566551</v>
      </c>
      <c r="Q210">
        <v>514.21173408566551</v>
      </c>
      <c r="R210" s="1">
        <f t="shared" si="22"/>
        <v>237.73353172870185</v>
      </c>
      <c r="S210" s="1">
        <f t="shared" si="23"/>
        <v>499.73708813840176</v>
      </c>
      <c r="T210" s="1">
        <f t="shared" si="24"/>
        <v>159.37317907293269</v>
      </c>
      <c r="U210" s="1">
        <f t="shared" si="24"/>
        <v>427.01641020644593</v>
      </c>
      <c r="V210" s="1">
        <f t="shared" si="24"/>
        <v>482.07155106892395</v>
      </c>
      <c r="W210" s="1">
        <f t="shared" si="24"/>
        <v>184.32682850765244</v>
      </c>
      <c r="X210" s="1">
        <f t="shared" si="24"/>
        <v>78.411389255675999</v>
      </c>
      <c r="Y210" s="1">
        <f t="shared" si="24"/>
        <v>190.06879674926037</v>
      </c>
      <c r="Z210" s="1">
        <f t="shared" si="24"/>
        <v>305.8019288501377</v>
      </c>
      <c r="AA210" s="1">
        <f t="shared" si="24"/>
        <v>303.2634441342509</v>
      </c>
      <c r="AB210" s="1">
        <f t="shared" si="24"/>
        <v>110.9153256499812</v>
      </c>
      <c r="AC210" s="1">
        <f t="shared" si="24"/>
        <v>202.89789919264857</v>
      </c>
      <c r="AD210" s="1">
        <f t="shared" si="24"/>
        <v>620.96824470108152</v>
      </c>
      <c r="AE210" s="1">
        <f t="shared" si="24"/>
        <v>306.65779932290599</v>
      </c>
      <c r="AF210" s="1">
        <f t="shared" si="24"/>
        <v>191.72359186815848</v>
      </c>
      <c r="AG210" s="1">
        <f t="shared" si="24"/>
        <v>167.52719961827262</v>
      </c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 x14ac:dyDescent="0.45">
      <c r="A211">
        <v>499.73708813840176</v>
      </c>
      <c r="Q211">
        <v>499.73708813840176</v>
      </c>
      <c r="R211" s="1">
        <f t="shared" si="22"/>
        <v>223.2588857814381</v>
      </c>
      <c r="S211" s="1">
        <f t="shared" si="23"/>
        <v>159.37317907293269</v>
      </c>
      <c r="T211" s="1">
        <f t="shared" si="24"/>
        <v>427.01641020644593</v>
      </c>
      <c r="U211" s="1">
        <f t="shared" si="24"/>
        <v>482.07155106892395</v>
      </c>
      <c r="V211" s="1">
        <f t="shared" si="24"/>
        <v>184.32682850765244</v>
      </c>
      <c r="W211" s="1">
        <f t="shared" si="24"/>
        <v>78.411389255675999</v>
      </c>
      <c r="X211" s="1">
        <f t="shared" si="24"/>
        <v>190.06879674926037</v>
      </c>
      <c r="Y211" s="1">
        <f t="shared" si="24"/>
        <v>305.8019288501377</v>
      </c>
      <c r="Z211" s="1">
        <f t="shared" si="24"/>
        <v>303.2634441342509</v>
      </c>
      <c r="AA211" s="1">
        <f t="shared" si="24"/>
        <v>110.9153256499812</v>
      </c>
      <c r="AB211" s="1">
        <f t="shared" si="24"/>
        <v>202.89789919264857</v>
      </c>
      <c r="AC211" s="1">
        <f t="shared" si="24"/>
        <v>620.96824470108152</v>
      </c>
      <c r="AD211" s="1">
        <f t="shared" si="24"/>
        <v>306.65779932290599</v>
      </c>
      <c r="AE211" s="1">
        <f t="shared" si="24"/>
        <v>191.72359186815848</v>
      </c>
      <c r="AF211" s="1">
        <f t="shared" si="24"/>
        <v>167.52719961827262</v>
      </c>
      <c r="AG211" s="1">
        <f t="shared" si="24"/>
        <v>245.56619742881239</v>
      </c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 x14ac:dyDescent="0.45">
      <c r="A212">
        <v>159.37317907293269</v>
      </c>
      <c r="Q212">
        <v>159.37317907293269</v>
      </c>
      <c r="R212" s="1">
        <f t="shared" si="22"/>
        <v>-117.10502328403098</v>
      </c>
      <c r="S212" s="1">
        <f t="shared" si="23"/>
        <v>427.01641020644593</v>
      </c>
      <c r="T212" s="1">
        <f t="shared" si="24"/>
        <v>482.07155106892395</v>
      </c>
      <c r="U212" s="1">
        <f t="shared" si="24"/>
        <v>184.32682850765244</v>
      </c>
      <c r="V212" s="1">
        <f t="shared" si="24"/>
        <v>78.411389255675999</v>
      </c>
      <c r="W212" s="1">
        <f t="shared" si="24"/>
        <v>190.06879674926037</v>
      </c>
      <c r="X212" s="1">
        <f t="shared" si="24"/>
        <v>305.8019288501377</v>
      </c>
      <c r="Y212" s="1">
        <f t="shared" si="24"/>
        <v>303.2634441342509</v>
      </c>
      <c r="Z212" s="1">
        <f t="shared" si="24"/>
        <v>110.9153256499812</v>
      </c>
      <c r="AA212" s="1">
        <f t="shared" si="24"/>
        <v>202.89789919264857</v>
      </c>
      <c r="AB212" s="1">
        <f t="shared" si="24"/>
        <v>620.96824470108152</v>
      </c>
      <c r="AC212" s="1">
        <f t="shared" si="24"/>
        <v>306.65779932290599</v>
      </c>
      <c r="AD212" s="1">
        <f t="shared" si="24"/>
        <v>191.72359186815848</v>
      </c>
      <c r="AE212" s="1">
        <f t="shared" si="24"/>
        <v>167.52719961827262</v>
      </c>
      <c r="AF212" s="1">
        <f t="shared" si="24"/>
        <v>245.56619742881239</v>
      </c>
      <c r="AG212" s="1">
        <f t="shared" si="24"/>
        <v>572.0367146050678</v>
      </c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 x14ac:dyDescent="0.45">
      <c r="A213">
        <v>427.01641020644593</v>
      </c>
      <c r="Q213">
        <v>427.01641020644593</v>
      </c>
      <c r="R213" s="1">
        <f t="shared" si="22"/>
        <v>150.53820784948226</v>
      </c>
      <c r="S213" s="1">
        <f t="shared" si="23"/>
        <v>482.07155106892395</v>
      </c>
      <c r="T213" s="1">
        <f t="shared" si="24"/>
        <v>184.32682850765244</v>
      </c>
      <c r="U213" s="1">
        <f t="shared" si="24"/>
        <v>78.411389255675999</v>
      </c>
      <c r="V213" s="1">
        <f t="shared" si="24"/>
        <v>190.06879674926037</v>
      </c>
      <c r="W213" s="1">
        <f t="shared" si="24"/>
        <v>305.8019288501377</v>
      </c>
      <c r="X213" s="1">
        <f t="shared" si="24"/>
        <v>303.2634441342509</v>
      </c>
      <c r="Y213" s="1">
        <f t="shared" si="24"/>
        <v>110.9153256499812</v>
      </c>
      <c r="Z213" s="1">
        <f t="shared" si="24"/>
        <v>202.89789919264857</v>
      </c>
      <c r="AA213" s="1">
        <f t="shared" si="24"/>
        <v>620.96824470108152</v>
      </c>
      <c r="AB213" s="1">
        <f t="shared" si="24"/>
        <v>306.65779932290599</v>
      </c>
      <c r="AC213" s="1">
        <f t="shared" si="24"/>
        <v>191.72359186815848</v>
      </c>
      <c r="AD213" s="1">
        <f t="shared" si="24"/>
        <v>167.52719961827262</v>
      </c>
      <c r="AE213" s="1">
        <f t="shared" si="24"/>
        <v>245.56619742881239</v>
      </c>
      <c r="AF213" s="1">
        <f t="shared" si="24"/>
        <v>572.0367146050678</v>
      </c>
      <c r="AG213" s="1">
        <f t="shared" si="24"/>
        <v>316.15556591700806</v>
      </c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1:48" x14ac:dyDescent="0.45">
      <c r="A214">
        <v>482.07155106892395</v>
      </c>
      <c r="Q214">
        <v>482.07155106892395</v>
      </c>
      <c r="R214" s="1">
        <f t="shared" si="22"/>
        <v>205.59334871196029</v>
      </c>
      <c r="S214" s="1">
        <f t="shared" si="23"/>
        <v>184.32682850765244</v>
      </c>
      <c r="T214" s="1">
        <f t="shared" si="24"/>
        <v>78.411389255675999</v>
      </c>
      <c r="U214" s="1">
        <f t="shared" si="24"/>
        <v>190.06879674926037</v>
      </c>
      <c r="V214" s="1">
        <f t="shared" si="24"/>
        <v>305.8019288501377</v>
      </c>
      <c r="W214" s="1">
        <f t="shared" si="24"/>
        <v>303.2634441342509</v>
      </c>
      <c r="X214" s="1">
        <f t="shared" si="24"/>
        <v>110.9153256499812</v>
      </c>
      <c r="Y214" s="1">
        <f t="shared" si="24"/>
        <v>202.89789919264857</v>
      </c>
      <c r="Z214" s="1">
        <f t="shared" si="24"/>
        <v>620.96824470108152</v>
      </c>
      <c r="AA214" s="1">
        <f t="shared" si="24"/>
        <v>306.65779932290599</v>
      </c>
      <c r="AB214" s="1">
        <f t="shared" si="24"/>
        <v>191.72359186815848</v>
      </c>
      <c r="AC214" s="1">
        <f t="shared" si="24"/>
        <v>167.52719961827262</v>
      </c>
      <c r="AD214" s="1">
        <f t="shared" si="24"/>
        <v>245.56619742881239</v>
      </c>
      <c r="AE214" s="1">
        <f t="shared" si="24"/>
        <v>572.0367146050678</v>
      </c>
      <c r="AF214" s="1">
        <f t="shared" si="24"/>
        <v>316.15556591700806</v>
      </c>
      <c r="AG214" s="1">
        <f t="shared" si="24"/>
        <v>475.40602629370846</v>
      </c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1:48" x14ac:dyDescent="0.45">
      <c r="A215">
        <v>184.32682850765244</v>
      </c>
      <c r="Q215">
        <v>184.32682850765244</v>
      </c>
      <c r="R215" s="1">
        <f t="shared" si="22"/>
        <v>-92.151373849311227</v>
      </c>
      <c r="S215" s="1">
        <f t="shared" si="23"/>
        <v>78.411389255675999</v>
      </c>
      <c r="T215" s="1">
        <f t="shared" si="24"/>
        <v>190.06879674926037</v>
      </c>
      <c r="U215" s="1">
        <f t="shared" si="24"/>
        <v>305.8019288501377</v>
      </c>
      <c r="V215" s="1">
        <f t="shared" si="24"/>
        <v>303.2634441342509</v>
      </c>
      <c r="W215" s="1">
        <f t="shared" si="24"/>
        <v>110.9153256499812</v>
      </c>
      <c r="X215" s="1">
        <f t="shared" si="24"/>
        <v>202.89789919264857</v>
      </c>
      <c r="Y215" s="1">
        <f t="shared" si="24"/>
        <v>620.96824470108152</v>
      </c>
      <c r="Z215" s="1">
        <f t="shared" si="24"/>
        <v>306.65779932290599</v>
      </c>
      <c r="AA215" s="1">
        <f t="shared" si="24"/>
        <v>191.72359186815848</v>
      </c>
      <c r="AB215" s="1">
        <f t="shared" si="24"/>
        <v>167.52719961827262</v>
      </c>
      <c r="AC215" s="1">
        <f t="shared" si="24"/>
        <v>245.56619742881239</v>
      </c>
      <c r="AD215" s="1">
        <f t="shared" si="24"/>
        <v>572.0367146050678</v>
      </c>
      <c r="AE215" s="1">
        <f t="shared" si="24"/>
        <v>316.15556591700806</v>
      </c>
      <c r="AF215" s="1">
        <f t="shared" si="24"/>
        <v>475.40602629370846</v>
      </c>
      <c r="AG215" s="1">
        <f t="shared" si="24"/>
        <v>119.29373756874675</v>
      </c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 x14ac:dyDescent="0.45">
      <c r="A216">
        <v>78.411389255675999</v>
      </c>
      <c r="Q216">
        <v>78.411389255675999</v>
      </c>
      <c r="R216" s="1">
        <f t="shared" si="22"/>
        <v>-198.06681310128766</v>
      </c>
      <c r="S216" s="1">
        <f t="shared" si="23"/>
        <v>190.06879674926037</v>
      </c>
      <c r="T216" s="1">
        <f t="shared" si="24"/>
        <v>305.8019288501377</v>
      </c>
      <c r="U216" s="1">
        <f t="shared" si="24"/>
        <v>303.2634441342509</v>
      </c>
      <c r="V216" s="1">
        <f t="shared" si="24"/>
        <v>110.9153256499812</v>
      </c>
      <c r="W216" s="1">
        <f t="shared" si="24"/>
        <v>202.89789919264857</v>
      </c>
      <c r="X216" s="1">
        <f t="shared" si="24"/>
        <v>620.96824470108152</v>
      </c>
      <c r="Y216" s="1">
        <f t="shared" si="24"/>
        <v>306.65779932290599</v>
      </c>
      <c r="Z216" s="1">
        <f t="shared" si="24"/>
        <v>191.72359186815848</v>
      </c>
      <c r="AA216" s="1">
        <f t="shared" si="24"/>
        <v>167.52719961827262</v>
      </c>
      <c r="AB216" s="1">
        <f t="shared" si="24"/>
        <v>245.56619742881239</v>
      </c>
      <c r="AC216" s="1">
        <f t="shared" si="24"/>
        <v>572.0367146050678</v>
      </c>
      <c r="AD216" s="1">
        <f t="shared" si="24"/>
        <v>316.15556591700806</v>
      </c>
      <c r="AE216" s="1">
        <f t="shared" si="24"/>
        <v>475.40602629370846</v>
      </c>
      <c r="AF216" s="1">
        <f t="shared" si="24"/>
        <v>119.29373756874675</v>
      </c>
      <c r="AG216" s="1">
        <f t="shared" si="24"/>
        <v>144.67944435296454</v>
      </c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1:48" x14ac:dyDescent="0.45">
      <c r="A217">
        <v>190.06879674926037</v>
      </c>
      <c r="Q217">
        <v>190.06879674926037</v>
      </c>
      <c r="R217" s="1">
        <f t="shared" si="22"/>
        <v>-86.409405607703292</v>
      </c>
      <c r="S217" s="1">
        <f t="shared" si="23"/>
        <v>305.8019288501377</v>
      </c>
      <c r="T217" s="1">
        <f t="shared" si="24"/>
        <v>303.2634441342509</v>
      </c>
      <c r="U217" s="1">
        <f t="shared" si="24"/>
        <v>110.9153256499812</v>
      </c>
      <c r="V217" s="1">
        <f t="shared" si="24"/>
        <v>202.89789919264857</v>
      </c>
      <c r="W217" s="1">
        <f t="shared" si="24"/>
        <v>620.96824470108152</v>
      </c>
      <c r="X217" s="1">
        <f t="shared" si="24"/>
        <v>306.65779932290599</v>
      </c>
      <c r="Y217" s="1">
        <f t="shared" si="24"/>
        <v>191.72359186815848</v>
      </c>
      <c r="Z217" s="1">
        <f t="shared" si="24"/>
        <v>167.52719961827262</v>
      </c>
      <c r="AA217" s="1">
        <f t="shared" si="24"/>
        <v>245.56619742881239</v>
      </c>
      <c r="AB217" s="1">
        <f t="shared" si="24"/>
        <v>572.0367146050678</v>
      </c>
      <c r="AC217" s="1">
        <f t="shared" si="24"/>
        <v>316.15556591700806</v>
      </c>
      <c r="AD217" s="1">
        <f t="shared" si="24"/>
        <v>475.40602629370846</v>
      </c>
      <c r="AE217" s="1">
        <f t="shared" si="24"/>
        <v>119.29373756874675</v>
      </c>
      <c r="AF217" s="1">
        <f t="shared" si="24"/>
        <v>144.67944435296454</v>
      </c>
      <c r="AG217" s="1">
        <f t="shared" si="24"/>
        <v>142.87305766255395</v>
      </c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1:48" x14ac:dyDescent="0.45">
      <c r="A218">
        <v>305.8019288501377</v>
      </c>
      <c r="Q218">
        <v>305.8019288501377</v>
      </c>
      <c r="R218" s="1">
        <f t="shared" si="22"/>
        <v>29.323726493174036</v>
      </c>
      <c r="S218" s="1">
        <f t="shared" si="23"/>
        <v>303.2634441342509</v>
      </c>
      <c r="T218" s="1">
        <f t="shared" si="24"/>
        <v>110.9153256499812</v>
      </c>
      <c r="U218" s="1">
        <f t="shared" si="24"/>
        <v>202.89789919264857</v>
      </c>
      <c r="V218" s="1">
        <f t="shared" si="24"/>
        <v>620.96824470108152</v>
      </c>
      <c r="W218" s="1">
        <f t="shared" si="24"/>
        <v>306.65779932290599</v>
      </c>
      <c r="X218" s="1">
        <f t="shared" si="24"/>
        <v>191.72359186815848</v>
      </c>
      <c r="Y218" s="1">
        <f t="shared" si="24"/>
        <v>167.52719961827262</v>
      </c>
      <c r="Z218" s="1">
        <f t="shared" si="24"/>
        <v>245.56619742881239</v>
      </c>
      <c r="AA218" s="1">
        <f t="shared" si="24"/>
        <v>572.0367146050678</v>
      </c>
      <c r="AB218" s="1">
        <f t="shared" si="24"/>
        <v>316.15556591700806</v>
      </c>
      <c r="AC218" s="1">
        <f t="shared" si="24"/>
        <v>475.40602629370846</v>
      </c>
      <c r="AD218" s="1">
        <f t="shared" si="24"/>
        <v>119.29373756874675</v>
      </c>
      <c r="AE218" s="1">
        <f t="shared" si="24"/>
        <v>144.67944435296454</v>
      </c>
      <c r="AF218" s="1">
        <f t="shared" si="24"/>
        <v>142.87305766255395</v>
      </c>
      <c r="AG218" s="1">
        <f t="shared" si="24"/>
        <v>91.724468530486163</v>
      </c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1:48" x14ac:dyDescent="0.45">
      <c r="A219">
        <v>303.2634441342509</v>
      </c>
      <c r="Q219">
        <v>303.2634441342509</v>
      </c>
      <c r="R219" s="1">
        <f t="shared" si="22"/>
        <v>26.78524177728724</v>
      </c>
      <c r="S219" s="1">
        <f t="shared" si="23"/>
        <v>110.9153256499812</v>
      </c>
      <c r="T219" s="1">
        <f t="shared" si="24"/>
        <v>202.89789919264857</v>
      </c>
      <c r="U219" s="1">
        <f t="shared" si="24"/>
        <v>620.96824470108152</v>
      </c>
      <c r="V219" s="1">
        <f t="shared" si="24"/>
        <v>306.65779932290599</v>
      </c>
      <c r="W219" s="1">
        <f t="shared" si="24"/>
        <v>191.72359186815848</v>
      </c>
      <c r="X219" s="1">
        <f t="shared" si="24"/>
        <v>167.52719961827262</v>
      </c>
      <c r="Y219" s="1">
        <f t="shared" si="24"/>
        <v>245.56619742881239</v>
      </c>
      <c r="Z219" s="1">
        <f t="shared" si="24"/>
        <v>572.0367146050678</v>
      </c>
      <c r="AA219" s="1">
        <f t="shared" si="24"/>
        <v>316.15556591700806</v>
      </c>
      <c r="AB219" s="1">
        <f t="shared" si="24"/>
        <v>475.40602629370846</v>
      </c>
      <c r="AC219" s="1">
        <f t="shared" si="24"/>
        <v>119.29373756874675</v>
      </c>
      <c r="AD219" s="1">
        <f t="shared" si="24"/>
        <v>144.67944435296454</v>
      </c>
      <c r="AE219" s="1">
        <f t="shared" si="24"/>
        <v>142.87305766255395</v>
      </c>
      <c r="AF219" s="1">
        <f t="shared" si="24"/>
        <v>91.724468530486163</v>
      </c>
      <c r="AG219" s="1">
        <f t="shared" si="24"/>
        <v>449.79696444579281</v>
      </c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1:48" x14ac:dyDescent="0.45">
      <c r="A220">
        <v>110.9153256499812</v>
      </c>
      <c r="Q220">
        <v>110.9153256499812</v>
      </c>
      <c r="R220" s="1">
        <f t="shared" si="22"/>
        <v>-165.56287670698248</v>
      </c>
      <c r="S220" s="1">
        <f t="shared" si="23"/>
        <v>202.89789919264857</v>
      </c>
      <c r="T220" s="1">
        <f t="shared" si="24"/>
        <v>620.96824470108152</v>
      </c>
      <c r="U220" s="1">
        <f t="shared" si="24"/>
        <v>306.65779932290599</v>
      </c>
      <c r="V220" s="1">
        <f t="shared" si="24"/>
        <v>191.72359186815848</v>
      </c>
      <c r="W220" s="1">
        <f t="shared" si="24"/>
        <v>167.52719961827262</v>
      </c>
      <c r="X220" s="1">
        <f t="shared" si="24"/>
        <v>245.56619742881239</v>
      </c>
      <c r="Y220" s="1">
        <f t="shared" si="24"/>
        <v>572.0367146050678</v>
      </c>
      <c r="Z220" s="1">
        <f t="shared" si="24"/>
        <v>316.15556591700806</v>
      </c>
      <c r="AA220" s="1">
        <f t="shared" si="24"/>
        <v>475.40602629370846</v>
      </c>
      <c r="AB220" s="1">
        <f t="shared" si="24"/>
        <v>119.29373756874675</v>
      </c>
      <c r="AC220" s="1">
        <f t="shared" si="24"/>
        <v>144.67944435296454</v>
      </c>
      <c r="AD220" s="1">
        <f t="shared" si="24"/>
        <v>142.87305766255395</v>
      </c>
      <c r="AE220" s="1">
        <f t="shared" si="24"/>
        <v>91.724468530486163</v>
      </c>
      <c r="AF220" s="1">
        <f t="shared" si="24"/>
        <v>449.79696444579281</v>
      </c>
      <c r="AG220" s="1">
        <f t="shared" si="24"/>
        <v>539.14640171921076</v>
      </c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1:48" x14ac:dyDescent="0.45">
      <c r="A221">
        <v>202.89789919264857</v>
      </c>
      <c r="Q221">
        <v>202.89789919264857</v>
      </c>
      <c r="R221" s="1">
        <f t="shared" si="22"/>
        <v>-73.580303164315097</v>
      </c>
      <c r="S221" s="1">
        <f t="shared" si="23"/>
        <v>620.96824470108152</v>
      </c>
      <c r="T221" s="1">
        <f t="shared" si="24"/>
        <v>306.65779932290599</v>
      </c>
      <c r="U221" s="1">
        <f t="shared" si="24"/>
        <v>191.72359186815848</v>
      </c>
      <c r="V221" s="1">
        <f t="shared" si="24"/>
        <v>167.52719961827262</v>
      </c>
      <c r="W221" s="1">
        <f t="shared" si="24"/>
        <v>245.56619742881239</v>
      </c>
      <c r="X221" s="1">
        <f t="shared" si="24"/>
        <v>572.0367146050678</v>
      </c>
      <c r="Y221" s="1">
        <f t="shared" si="24"/>
        <v>316.15556591700806</v>
      </c>
      <c r="Z221" s="1">
        <f t="shared" si="24"/>
        <v>475.40602629370846</v>
      </c>
      <c r="AA221" s="1">
        <f t="shared" si="24"/>
        <v>119.29373756874675</v>
      </c>
      <c r="AB221" s="1">
        <f t="shared" si="24"/>
        <v>144.67944435296454</v>
      </c>
      <c r="AC221" s="1">
        <f t="shared" si="24"/>
        <v>142.87305766255395</v>
      </c>
      <c r="AD221" s="1">
        <f t="shared" si="24"/>
        <v>91.724468530486163</v>
      </c>
      <c r="AE221" s="1">
        <f t="shared" si="24"/>
        <v>449.79696444579281</v>
      </c>
      <c r="AF221" s="1">
        <f t="shared" si="24"/>
        <v>539.14640171921076</v>
      </c>
      <c r="AG221" s="1">
        <f t="shared" si="24"/>
        <v>707.12846428479315</v>
      </c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 x14ac:dyDescent="0.45">
      <c r="A222">
        <v>620.96824470108152</v>
      </c>
      <c r="Q222">
        <v>620.96824470108152</v>
      </c>
      <c r="R222" s="1">
        <f t="shared" si="22"/>
        <v>344.49004234411785</v>
      </c>
      <c r="S222" s="1">
        <f t="shared" si="23"/>
        <v>306.65779932290599</v>
      </c>
      <c r="T222" s="1">
        <f t="shared" si="24"/>
        <v>191.72359186815848</v>
      </c>
      <c r="U222" s="1">
        <f t="shared" si="24"/>
        <v>167.52719961827262</v>
      </c>
      <c r="V222" s="1">
        <f t="shared" si="24"/>
        <v>245.56619742881239</v>
      </c>
      <c r="W222" s="1">
        <f t="shared" si="24"/>
        <v>572.0367146050678</v>
      </c>
      <c r="X222" s="1">
        <f t="shared" si="24"/>
        <v>316.15556591700806</v>
      </c>
      <c r="Y222" s="1">
        <f t="shared" si="24"/>
        <v>475.40602629370846</v>
      </c>
      <c r="Z222" s="1">
        <f t="shared" si="24"/>
        <v>119.29373756874675</v>
      </c>
      <c r="AA222" s="1">
        <f t="shared" si="24"/>
        <v>144.67944435296454</v>
      </c>
      <c r="AB222" s="1">
        <f t="shared" si="24"/>
        <v>142.87305766255395</v>
      </c>
      <c r="AC222" s="1">
        <f t="shared" si="24"/>
        <v>91.724468530486163</v>
      </c>
      <c r="AD222" s="1">
        <f t="shared" si="24"/>
        <v>449.79696444579281</v>
      </c>
      <c r="AE222" s="1">
        <f t="shared" si="24"/>
        <v>539.14640171921076</v>
      </c>
      <c r="AF222" s="1">
        <f t="shared" si="24"/>
        <v>707.12846428479315</v>
      </c>
      <c r="AG222" s="1">
        <f t="shared" si="24"/>
        <v>297.37387056660066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1:48" x14ac:dyDescent="0.45">
      <c r="A223">
        <v>306.65779932290599</v>
      </c>
      <c r="Q223">
        <v>306.65779932290599</v>
      </c>
      <c r="R223" s="1">
        <f t="shared" si="22"/>
        <v>30.179596965942324</v>
      </c>
      <c r="S223" s="1">
        <f t="shared" si="23"/>
        <v>191.72359186815848</v>
      </c>
      <c r="T223" s="1">
        <f t="shared" si="24"/>
        <v>167.52719961827262</v>
      </c>
      <c r="U223" s="1">
        <f t="shared" si="24"/>
        <v>245.56619742881239</v>
      </c>
      <c r="V223" s="1">
        <f t="shared" si="24"/>
        <v>572.0367146050678</v>
      </c>
      <c r="W223" s="1">
        <f t="shared" si="24"/>
        <v>316.15556591700806</v>
      </c>
      <c r="X223" s="1">
        <f t="shared" si="24"/>
        <v>475.40602629370846</v>
      </c>
      <c r="Y223" s="1">
        <f t="shared" si="24"/>
        <v>119.29373756874675</v>
      </c>
      <c r="Z223" s="1">
        <f t="shared" si="24"/>
        <v>144.67944435296454</v>
      </c>
      <c r="AA223" s="1">
        <f t="shared" si="24"/>
        <v>142.87305766255395</v>
      </c>
      <c r="AB223" s="1">
        <f t="shared" si="24"/>
        <v>91.724468530486163</v>
      </c>
      <c r="AC223" s="1">
        <f t="shared" si="24"/>
        <v>449.79696444579281</v>
      </c>
      <c r="AD223" s="1">
        <f t="shared" si="24"/>
        <v>539.14640171921076</v>
      </c>
      <c r="AE223" s="1">
        <f t="shared" si="24"/>
        <v>707.12846428479315</v>
      </c>
      <c r="AF223" s="1">
        <f t="shared" si="24"/>
        <v>297.37387056660066</v>
      </c>
      <c r="AG223" s="1">
        <f t="shared" si="24"/>
        <v>411.71694019403617</v>
      </c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1:48" x14ac:dyDescent="0.45">
      <c r="A224">
        <v>191.72359186815848</v>
      </c>
      <c r="Q224">
        <v>191.72359186815848</v>
      </c>
      <c r="R224" s="1">
        <f t="shared" si="22"/>
        <v>-84.754610488805184</v>
      </c>
      <c r="S224" s="1">
        <f t="shared" si="23"/>
        <v>167.52719961827262</v>
      </c>
      <c r="T224" s="1">
        <f t="shared" si="24"/>
        <v>245.56619742881239</v>
      </c>
      <c r="U224" s="1">
        <f t="shared" si="24"/>
        <v>572.0367146050678</v>
      </c>
      <c r="V224" s="1">
        <f t="shared" si="24"/>
        <v>316.15556591700806</v>
      </c>
      <c r="W224" s="1">
        <f t="shared" si="24"/>
        <v>475.40602629370846</v>
      </c>
      <c r="X224" s="1">
        <f t="shared" si="24"/>
        <v>119.29373756874675</v>
      </c>
      <c r="Y224" s="1">
        <f t="shared" si="24"/>
        <v>144.67944435296454</v>
      </c>
      <c r="Z224" s="1">
        <f t="shared" si="24"/>
        <v>142.87305766255395</v>
      </c>
      <c r="AA224" s="1">
        <f t="shared" si="24"/>
        <v>91.724468530486163</v>
      </c>
      <c r="AB224" s="1">
        <f t="shared" si="24"/>
        <v>449.79696444579281</v>
      </c>
      <c r="AC224" s="1">
        <f t="shared" si="24"/>
        <v>539.14640171921076</v>
      </c>
      <c r="AD224" s="1">
        <f t="shared" si="24"/>
        <v>707.12846428479315</v>
      </c>
      <c r="AE224" s="1">
        <f t="shared" si="24"/>
        <v>297.37387056660066</v>
      </c>
      <c r="AF224" s="1">
        <f t="shared" si="24"/>
        <v>411.71694019403617</v>
      </c>
      <c r="AG224" s="1">
        <f t="shared" si="24"/>
        <v>269.07490206475882</v>
      </c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1:48" x14ac:dyDescent="0.45">
      <c r="A225">
        <v>167.52719961827262</v>
      </c>
      <c r="Q225">
        <v>167.52719961827262</v>
      </c>
      <c r="R225" s="1">
        <f t="shared" si="22"/>
        <v>-108.95100273869105</v>
      </c>
      <c r="S225" s="1">
        <f t="shared" si="23"/>
        <v>245.56619742881239</v>
      </c>
      <c r="T225" s="1">
        <f t="shared" si="24"/>
        <v>572.0367146050678</v>
      </c>
      <c r="U225" s="1">
        <f t="shared" si="24"/>
        <v>316.15556591700806</v>
      </c>
      <c r="V225" s="1">
        <f t="shared" si="24"/>
        <v>475.40602629370846</v>
      </c>
      <c r="W225" s="1">
        <f t="shared" si="24"/>
        <v>119.29373756874675</v>
      </c>
      <c r="X225" s="1">
        <f t="shared" si="24"/>
        <v>144.67944435296454</v>
      </c>
      <c r="Y225" s="1">
        <f t="shared" si="24"/>
        <v>142.87305766255395</v>
      </c>
      <c r="Z225" s="1">
        <f t="shared" si="24"/>
        <v>91.724468530486163</v>
      </c>
      <c r="AA225" s="1">
        <f t="shared" si="24"/>
        <v>449.79696444579281</v>
      </c>
      <c r="AB225" s="1">
        <f t="shared" si="24"/>
        <v>539.14640171921076</v>
      </c>
      <c r="AC225" s="1">
        <f t="shared" si="24"/>
        <v>707.12846428479315</v>
      </c>
      <c r="AD225" s="1">
        <f t="shared" si="24"/>
        <v>297.37387056660066</v>
      </c>
      <c r="AE225" s="1">
        <f t="shared" si="24"/>
        <v>411.71694019403617</v>
      </c>
      <c r="AF225" s="1">
        <f t="shared" si="24"/>
        <v>269.07490206475882</v>
      </c>
      <c r="AG225" s="1">
        <f t="shared" si="24"/>
        <v>310.39873282001184</v>
      </c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1:48" x14ac:dyDescent="0.45">
      <c r="A226">
        <v>245.56619742881239</v>
      </c>
      <c r="Q226">
        <v>245.56619742881239</v>
      </c>
      <c r="R226" s="1">
        <f t="shared" si="22"/>
        <v>-30.912004928151276</v>
      </c>
      <c r="S226" s="1">
        <f t="shared" si="23"/>
        <v>572.0367146050678</v>
      </c>
      <c r="T226" s="1">
        <f t="shared" si="24"/>
        <v>316.15556591700806</v>
      </c>
      <c r="U226" s="1">
        <f t="shared" si="24"/>
        <v>475.40602629370846</v>
      </c>
      <c r="V226" s="1">
        <f t="shared" si="24"/>
        <v>119.29373756874675</v>
      </c>
      <c r="W226" s="1">
        <f t="shared" si="24"/>
        <v>144.67944435296454</v>
      </c>
      <c r="X226" s="1">
        <f t="shared" si="24"/>
        <v>142.87305766255395</v>
      </c>
      <c r="Y226" s="1">
        <f t="shared" ref="Y226:AG226" si="25">X227</f>
        <v>91.724468530486163</v>
      </c>
      <c r="Z226" s="1">
        <f t="shared" si="25"/>
        <v>449.79696444579281</v>
      </c>
      <c r="AA226" s="1">
        <f t="shared" si="25"/>
        <v>539.14640171921076</v>
      </c>
      <c r="AB226" s="1">
        <f t="shared" si="25"/>
        <v>707.12846428479315</v>
      </c>
      <c r="AC226" s="1">
        <f t="shared" si="25"/>
        <v>297.37387056660066</v>
      </c>
      <c r="AD226" s="1">
        <f t="shared" si="25"/>
        <v>411.71694019403617</v>
      </c>
      <c r="AE226" s="1">
        <f t="shared" si="25"/>
        <v>269.07490206475882</v>
      </c>
      <c r="AF226" s="1">
        <f t="shared" si="25"/>
        <v>310.39873282001184</v>
      </c>
      <c r="AG226" s="1">
        <f t="shared" si="25"/>
        <v>198.33129366907403</v>
      </c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1:48" x14ac:dyDescent="0.45">
      <c r="A227">
        <v>572.0367146050678</v>
      </c>
      <c r="Q227">
        <v>572.0367146050678</v>
      </c>
      <c r="R227" s="1">
        <f t="shared" si="22"/>
        <v>295.55851224810414</v>
      </c>
      <c r="S227" s="1">
        <f t="shared" si="23"/>
        <v>316.15556591700806</v>
      </c>
      <c r="T227" s="1">
        <f t="shared" ref="T227:AG245" si="26">S228</f>
        <v>475.40602629370846</v>
      </c>
      <c r="U227" s="1">
        <f t="shared" si="26"/>
        <v>119.29373756874675</v>
      </c>
      <c r="V227" s="1">
        <f t="shared" si="26"/>
        <v>144.67944435296454</v>
      </c>
      <c r="W227" s="1">
        <f t="shared" si="26"/>
        <v>142.87305766255395</v>
      </c>
      <c r="X227" s="1">
        <f t="shared" si="26"/>
        <v>91.724468530486163</v>
      </c>
      <c r="Y227" s="1">
        <f t="shared" si="26"/>
        <v>449.79696444579281</v>
      </c>
      <c r="Z227" s="1">
        <f t="shared" si="26"/>
        <v>539.14640171921076</v>
      </c>
      <c r="AA227" s="1">
        <f t="shared" si="26"/>
        <v>707.12846428479315</v>
      </c>
      <c r="AB227" s="1">
        <f t="shared" si="26"/>
        <v>297.37387056660066</v>
      </c>
      <c r="AC227" s="1">
        <f t="shared" si="26"/>
        <v>411.71694019403617</v>
      </c>
      <c r="AD227" s="1">
        <f t="shared" si="26"/>
        <v>269.07490206475882</v>
      </c>
      <c r="AE227" s="1">
        <f t="shared" si="26"/>
        <v>310.39873282001184</v>
      </c>
      <c r="AF227" s="1">
        <f t="shared" si="26"/>
        <v>198.33129366907403</v>
      </c>
      <c r="AG227" s="1">
        <f t="shared" si="26"/>
        <v>725.68827133689899</v>
      </c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1:48" x14ac:dyDescent="0.45">
      <c r="A228">
        <v>316.15556591700806</v>
      </c>
      <c r="Q228">
        <v>316.15556591700806</v>
      </c>
      <c r="R228" s="1">
        <f t="shared" si="22"/>
        <v>39.677363560044398</v>
      </c>
      <c r="S228" s="1">
        <f t="shared" si="23"/>
        <v>475.40602629370846</v>
      </c>
      <c r="T228" s="1">
        <f t="shared" si="26"/>
        <v>119.29373756874675</v>
      </c>
      <c r="U228" s="1">
        <f t="shared" si="26"/>
        <v>144.67944435296454</v>
      </c>
      <c r="V228" s="1">
        <f t="shared" si="26"/>
        <v>142.87305766255395</v>
      </c>
      <c r="W228" s="1">
        <f t="shared" si="26"/>
        <v>91.724468530486163</v>
      </c>
      <c r="X228" s="1">
        <f t="shared" si="26"/>
        <v>449.79696444579281</v>
      </c>
      <c r="Y228" s="1">
        <f t="shared" si="26"/>
        <v>539.14640171921076</v>
      </c>
      <c r="Z228" s="1">
        <f t="shared" si="26"/>
        <v>707.12846428479315</v>
      </c>
      <c r="AA228" s="1">
        <f t="shared" si="26"/>
        <v>297.37387056660066</v>
      </c>
      <c r="AB228" s="1">
        <f t="shared" si="26"/>
        <v>411.71694019403617</v>
      </c>
      <c r="AC228" s="1">
        <f t="shared" si="26"/>
        <v>269.07490206475882</v>
      </c>
      <c r="AD228" s="1">
        <f t="shared" si="26"/>
        <v>310.39873282001184</v>
      </c>
      <c r="AE228" s="1">
        <f t="shared" si="26"/>
        <v>198.33129366907403</v>
      </c>
      <c r="AF228" s="1">
        <f t="shared" si="26"/>
        <v>725.68827133689899</v>
      </c>
      <c r="AG228" s="1">
        <f t="shared" si="26"/>
        <v>173.76739223868972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1:48" x14ac:dyDescent="0.45">
      <c r="A229">
        <v>475.40602629370846</v>
      </c>
      <c r="Q229">
        <v>475.40602629370846</v>
      </c>
      <c r="R229" s="1">
        <f t="shared" si="22"/>
        <v>198.9278239367448</v>
      </c>
      <c r="S229" s="1">
        <f t="shared" si="23"/>
        <v>119.29373756874675</v>
      </c>
      <c r="T229" s="1">
        <f t="shared" si="26"/>
        <v>144.67944435296454</v>
      </c>
      <c r="U229" s="1">
        <f t="shared" si="26"/>
        <v>142.87305766255395</v>
      </c>
      <c r="V229" s="1">
        <f t="shared" si="26"/>
        <v>91.724468530486163</v>
      </c>
      <c r="W229" s="1">
        <f t="shared" si="26"/>
        <v>449.79696444579281</v>
      </c>
      <c r="X229" s="1">
        <f t="shared" si="26"/>
        <v>539.14640171921076</v>
      </c>
      <c r="Y229" s="1">
        <f t="shared" si="26"/>
        <v>707.12846428479315</v>
      </c>
      <c r="Z229" s="1">
        <f t="shared" si="26"/>
        <v>297.37387056660066</v>
      </c>
      <c r="AA229" s="1">
        <f t="shared" si="26"/>
        <v>411.71694019403617</v>
      </c>
      <c r="AB229" s="1">
        <f t="shared" si="26"/>
        <v>269.07490206475882</v>
      </c>
      <c r="AC229" s="1">
        <f t="shared" si="26"/>
        <v>310.39873282001184</v>
      </c>
      <c r="AD229" s="1">
        <f t="shared" si="26"/>
        <v>198.33129366907403</v>
      </c>
      <c r="AE229" s="1">
        <f t="shared" si="26"/>
        <v>725.68827133689899</v>
      </c>
      <c r="AF229" s="1">
        <f t="shared" si="26"/>
        <v>173.76739223868972</v>
      </c>
      <c r="AG229" s="1">
        <f t="shared" si="26"/>
        <v>240.71763931171111</v>
      </c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 x14ac:dyDescent="0.45">
      <c r="A230">
        <v>119.29373756874675</v>
      </c>
      <c r="Q230">
        <v>119.29373756874675</v>
      </c>
      <c r="R230" s="1">
        <f t="shared" si="22"/>
        <v>-157.18446478821693</v>
      </c>
      <c r="S230" s="1">
        <f t="shared" si="23"/>
        <v>144.67944435296454</v>
      </c>
      <c r="T230" s="1">
        <f t="shared" si="26"/>
        <v>142.87305766255395</v>
      </c>
      <c r="U230" s="1">
        <f t="shared" si="26"/>
        <v>91.724468530486163</v>
      </c>
      <c r="V230" s="1">
        <f t="shared" si="26"/>
        <v>449.79696444579281</v>
      </c>
      <c r="W230" s="1">
        <f t="shared" si="26"/>
        <v>539.14640171921076</v>
      </c>
      <c r="X230" s="1">
        <f t="shared" si="26"/>
        <v>707.12846428479315</v>
      </c>
      <c r="Y230" s="1">
        <f t="shared" si="26"/>
        <v>297.37387056660066</v>
      </c>
      <c r="Z230" s="1">
        <f t="shared" si="26"/>
        <v>411.71694019403617</v>
      </c>
      <c r="AA230" s="1">
        <f t="shared" si="26"/>
        <v>269.07490206475882</v>
      </c>
      <c r="AB230" s="1">
        <f t="shared" si="26"/>
        <v>310.39873282001184</v>
      </c>
      <c r="AC230" s="1">
        <f t="shared" si="26"/>
        <v>198.33129366907403</v>
      </c>
      <c r="AD230" s="1">
        <f t="shared" si="26"/>
        <v>725.68827133689899</v>
      </c>
      <c r="AE230" s="1">
        <f t="shared" si="26"/>
        <v>173.76739223868972</v>
      </c>
      <c r="AF230" s="1">
        <f t="shared" si="26"/>
        <v>240.71763931171111</v>
      </c>
      <c r="AG230" s="1">
        <f t="shared" si="26"/>
        <v>261.17198309051582</v>
      </c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 x14ac:dyDescent="0.45">
      <c r="A231">
        <v>144.67944435296454</v>
      </c>
      <c r="Q231">
        <v>144.67944435296454</v>
      </c>
      <c r="R231" s="1">
        <f t="shared" si="22"/>
        <v>-131.79875800399913</v>
      </c>
      <c r="S231" s="1">
        <f t="shared" si="23"/>
        <v>142.87305766255395</v>
      </c>
      <c r="T231" s="1">
        <f t="shared" si="26"/>
        <v>91.724468530486163</v>
      </c>
      <c r="U231" s="1">
        <f t="shared" si="26"/>
        <v>449.79696444579281</v>
      </c>
      <c r="V231" s="1">
        <f t="shared" si="26"/>
        <v>539.14640171921076</v>
      </c>
      <c r="W231" s="1">
        <f t="shared" si="26"/>
        <v>707.12846428479315</v>
      </c>
      <c r="X231" s="1">
        <f t="shared" si="26"/>
        <v>297.37387056660066</v>
      </c>
      <c r="Y231" s="1">
        <f t="shared" si="26"/>
        <v>411.71694019403617</v>
      </c>
      <c r="Z231" s="1">
        <f t="shared" si="26"/>
        <v>269.07490206475882</v>
      </c>
      <c r="AA231" s="1">
        <f t="shared" si="26"/>
        <v>310.39873282001184</v>
      </c>
      <c r="AB231" s="1">
        <f t="shared" si="26"/>
        <v>198.33129366907403</v>
      </c>
      <c r="AC231" s="1">
        <f t="shared" si="26"/>
        <v>725.68827133689899</v>
      </c>
      <c r="AD231" s="1">
        <f t="shared" si="26"/>
        <v>173.76739223868972</v>
      </c>
      <c r="AE231" s="1">
        <f t="shared" si="26"/>
        <v>240.71763931171111</v>
      </c>
      <c r="AF231" s="1">
        <f t="shared" si="26"/>
        <v>261.17198309051582</v>
      </c>
      <c r="AG231" s="1">
        <f t="shared" si="26"/>
        <v>155.94967349642587</v>
      </c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 x14ac:dyDescent="0.45">
      <c r="A232">
        <v>142.87305766255395</v>
      </c>
      <c r="Q232">
        <v>142.87305766255395</v>
      </c>
      <c r="R232" s="1">
        <f t="shared" si="22"/>
        <v>-133.60514469440972</v>
      </c>
      <c r="S232" s="1">
        <f t="shared" si="23"/>
        <v>91.724468530486163</v>
      </c>
      <c r="T232" s="1">
        <f t="shared" si="26"/>
        <v>449.79696444579281</v>
      </c>
      <c r="U232" s="1">
        <f t="shared" si="26"/>
        <v>539.14640171921076</v>
      </c>
      <c r="V232" s="1">
        <f t="shared" si="26"/>
        <v>707.12846428479315</v>
      </c>
      <c r="W232" s="1">
        <f t="shared" si="26"/>
        <v>297.37387056660066</v>
      </c>
      <c r="X232" s="1">
        <f t="shared" si="26"/>
        <v>411.71694019403617</v>
      </c>
      <c r="Y232" s="1">
        <f t="shared" si="26"/>
        <v>269.07490206475882</v>
      </c>
      <c r="Z232" s="1">
        <f t="shared" si="26"/>
        <v>310.39873282001184</v>
      </c>
      <c r="AA232" s="1">
        <f t="shared" si="26"/>
        <v>198.33129366907403</v>
      </c>
      <c r="AB232" s="1">
        <f t="shared" si="26"/>
        <v>725.68827133689899</v>
      </c>
      <c r="AC232" s="1">
        <f t="shared" si="26"/>
        <v>173.76739223868972</v>
      </c>
      <c r="AD232" s="1">
        <f t="shared" si="26"/>
        <v>240.71763931171111</v>
      </c>
      <c r="AE232" s="1">
        <f t="shared" si="26"/>
        <v>261.17198309051582</v>
      </c>
      <c r="AF232" s="1">
        <f t="shared" si="26"/>
        <v>155.94967349642587</v>
      </c>
      <c r="AG232" s="1">
        <f t="shared" si="26"/>
        <v>204.7115820006193</v>
      </c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 x14ac:dyDescent="0.45">
      <c r="A233">
        <v>91.724468530486163</v>
      </c>
      <c r="Q233">
        <v>91.724468530486163</v>
      </c>
      <c r="R233" s="1">
        <f t="shared" si="22"/>
        <v>-184.75373382647751</v>
      </c>
      <c r="S233" s="1">
        <f t="shared" si="23"/>
        <v>449.79696444579281</v>
      </c>
      <c r="T233" s="1">
        <f t="shared" si="26"/>
        <v>539.14640171921076</v>
      </c>
      <c r="U233" s="1">
        <f t="shared" si="26"/>
        <v>707.12846428479315</v>
      </c>
      <c r="V233" s="1">
        <f t="shared" si="26"/>
        <v>297.37387056660066</v>
      </c>
      <c r="W233" s="1">
        <f t="shared" si="26"/>
        <v>411.71694019403617</v>
      </c>
      <c r="X233" s="1">
        <f t="shared" si="26"/>
        <v>269.07490206475882</v>
      </c>
      <c r="Y233" s="1">
        <f t="shared" si="26"/>
        <v>310.39873282001184</v>
      </c>
      <c r="Z233" s="1">
        <f t="shared" si="26"/>
        <v>198.33129366907403</v>
      </c>
      <c r="AA233" s="1">
        <f t="shared" si="26"/>
        <v>725.68827133689899</v>
      </c>
      <c r="AB233" s="1">
        <f t="shared" si="26"/>
        <v>173.76739223868972</v>
      </c>
      <c r="AC233" s="1">
        <f t="shared" si="26"/>
        <v>240.71763931171111</v>
      </c>
      <c r="AD233" s="1">
        <f t="shared" si="26"/>
        <v>261.17198309051582</v>
      </c>
      <c r="AE233" s="1">
        <f t="shared" si="26"/>
        <v>155.94967349642587</v>
      </c>
      <c r="AF233" s="1">
        <f t="shared" si="26"/>
        <v>204.7115820006193</v>
      </c>
      <c r="AG233" s="1">
        <f t="shared" si="26"/>
        <v>156.49224023096366</v>
      </c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1:48" x14ac:dyDescent="0.45">
      <c r="A234">
        <v>449.79696444579281</v>
      </c>
      <c r="Q234">
        <v>449.79696444579281</v>
      </c>
      <c r="R234" s="1">
        <f t="shared" si="22"/>
        <v>173.31876208882915</v>
      </c>
      <c r="S234" s="1">
        <f t="shared" si="23"/>
        <v>539.14640171921076</v>
      </c>
      <c r="T234" s="1">
        <f t="shared" si="26"/>
        <v>707.12846428479315</v>
      </c>
      <c r="U234" s="1">
        <f t="shared" si="26"/>
        <v>297.37387056660066</v>
      </c>
      <c r="V234" s="1">
        <f t="shared" si="26"/>
        <v>411.71694019403617</v>
      </c>
      <c r="W234" s="1">
        <f t="shared" si="26"/>
        <v>269.07490206475882</v>
      </c>
      <c r="X234" s="1">
        <f t="shared" si="26"/>
        <v>310.39873282001184</v>
      </c>
      <c r="Y234" s="1">
        <f t="shared" si="26"/>
        <v>198.33129366907403</v>
      </c>
      <c r="Z234" s="1">
        <f t="shared" si="26"/>
        <v>725.68827133689899</v>
      </c>
      <c r="AA234" s="1">
        <f t="shared" si="26"/>
        <v>173.76739223868972</v>
      </c>
      <c r="AB234" s="1">
        <f t="shared" si="26"/>
        <v>240.71763931171111</v>
      </c>
      <c r="AC234" s="1">
        <f t="shared" si="26"/>
        <v>261.17198309051582</v>
      </c>
      <c r="AD234" s="1">
        <f t="shared" si="26"/>
        <v>155.94967349642587</v>
      </c>
      <c r="AE234" s="1">
        <f t="shared" si="26"/>
        <v>204.7115820006193</v>
      </c>
      <c r="AF234" s="1">
        <f t="shared" si="26"/>
        <v>156.49224023096366</v>
      </c>
      <c r="AG234" s="1">
        <f t="shared" si="26"/>
        <v>187.15800581920394</v>
      </c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 x14ac:dyDescent="0.45">
      <c r="A235">
        <v>539.14640171921076</v>
      </c>
      <c r="Q235">
        <v>539.14640171921076</v>
      </c>
      <c r="R235" s="1">
        <f t="shared" si="22"/>
        <v>262.66819936224709</v>
      </c>
      <c r="S235" s="1">
        <f t="shared" si="23"/>
        <v>707.12846428479315</v>
      </c>
      <c r="T235" s="1">
        <f t="shared" si="26"/>
        <v>297.37387056660066</v>
      </c>
      <c r="U235" s="1">
        <f t="shared" si="26"/>
        <v>411.71694019403617</v>
      </c>
      <c r="V235" s="1">
        <f t="shared" si="26"/>
        <v>269.07490206475882</v>
      </c>
      <c r="W235" s="1">
        <f t="shared" si="26"/>
        <v>310.39873282001184</v>
      </c>
      <c r="X235" s="1">
        <f t="shared" si="26"/>
        <v>198.33129366907403</v>
      </c>
      <c r="Y235" s="1">
        <f t="shared" si="26"/>
        <v>725.68827133689899</v>
      </c>
      <c r="Z235" s="1">
        <f t="shared" si="26"/>
        <v>173.76739223868972</v>
      </c>
      <c r="AA235" s="1">
        <f t="shared" si="26"/>
        <v>240.71763931171111</v>
      </c>
      <c r="AB235" s="1">
        <f t="shared" si="26"/>
        <v>261.17198309051582</v>
      </c>
      <c r="AC235" s="1">
        <f t="shared" si="26"/>
        <v>155.94967349642587</v>
      </c>
      <c r="AD235" s="1">
        <f t="shared" si="26"/>
        <v>204.7115820006193</v>
      </c>
      <c r="AE235" s="1">
        <f t="shared" si="26"/>
        <v>156.49224023096366</v>
      </c>
      <c r="AF235" s="1">
        <f t="shared" si="26"/>
        <v>187.15800581920394</v>
      </c>
      <c r="AG235" s="1">
        <f t="shared" si="26"/>
        <v>207.31170883845465</v>
      </c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 x14ac:dyDescent="0.45">
      <c r="A236">
        <v>707.12846428479315</v>
      </c>
      <c r="Q236">
        <v>707.12846428479315</v>
      </c>
      <c r="R236" s="1">
        <f t="shared" si="22"/>
        <v>430.65026192782949</v>
      </c>
      <c r="S236" s="1">
        <f t="shared" si="23"/>
        <v>297.37387056660066</v>
      </c>
      <c r="T236" s="1">
        <f t="shared" si="26"/>
        <v>411.71694019403617</v>
      </c>
      <c r="U236" s="1">
        <f t="shared" si="26"/>
        <v>269.07490206475882</v>
      </c>
      <c r="V236" s="1">
        <f t="shared" si="26"/>
        <v>310.39873282001184</v>
      </c>
      <c r="W236" s="1">
        <f t="shared" si="26"/>
        <v>198.33129366907403</v>
      </c>
      <c r="X236" s="1">
        <f t="shared" si="26"/>
        <v>725.68827133689899</v>
      </c>
      <c r="Y236" s="1">
        <f t="shared" si="26"/>
        <v>173.76739223868972</v>
      </c>
      <c r="Z236" s="1">
        <f t="shared" si="26"/>
        <v>240.71763931171111</v>
      </c>
      <c r="AA236" s="1">
        <f t="shared" si="26"/>
        <v>261.17198309051582</v>
      </c>
      <c r="AB236" s="1">
        <f t="shared" si="26"/>
        <v>155.94967349642587</v>
      </c>
      <c r="AC236" s="1">
        <f t="shared" si="26"/>
        <v>204.7115820006193</v>
      </c>
      <c r="AD236" s="1">
        <f t="shared" si="26"/>
        <v>156.49224023096366</v>
      </c>
      <c r="AE236" s="1">
        <f t="shared" si="26"/>
        <v>187.15800581920394</v>
      </c>
      <c r="AF236" s="1">
        <f t="shared" si="26"/>
        <v>207.31170883845465</v>
      </c>
      <c r="AG236" s="1">
        <f t="shared" si="26"/>
        <v>178.88886386522015</v>
      </c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 x14ac:dyDescent="0.45">
      <c r="A237">
        <v>297.37387056660066</v>
      </c>
      <c r="Q237">
        <v>297.37387056660066</v>
      </c>
      <c r="R237" s="1">
        <f t="shared" si="22"/>
        <v>20.895668209636995</v>
      </c>
      <c r="S237" s="1">
        <f t="shared" si="23"/>
        <v>411.71694019403617</v>
      </c>
      <c r="T237" s="1">
        <f t="shared" si="26"/>
        <v>269.07490206475882</v>
      </c>
      <c r="U237" s="1">
        <f t="shared" si="26"/>
        <v>310.39873282001184</v>
      </c>
      <c r="V237" s="1">
        <f t="shared" si="26"/>
        <v>198.33129366907403</v>
      </c>
      <c r="W237" s="1">
        <f t="shared" si="26"/>
        <v>725.68827133689899</v>
      </c>
      <c r="X237" s="1">
        <f t="shared" si="26"/>
        <v>173.76739223868972</v>
      </c>
      <c r="Y237" s="1">
        <f t="shared" si="26"/>
        <v>240.71763931171111</v>
      </c>
      <c r="Z237" s="1">
        <f t="shared" si="26"/>
        <v>261.17198309051582</v>
      </c>
      <c r="AA237" s="1">
        <f t="shared" si="26"/>
        <v>155.94967349642587</v>
      </c>
      <c r="AB237" s="1">
        <f t="shared" si="26"/>
        <v>204.7115820006193</v>
      </c>
      <c r="AC237" s="1">
        <f t="shared" si="26"/>
        <v>156.49224023096366</v>
      </c>
      <c r="AD237" s="1">
        <f t="shared" si="26"/>
        <v>187.15800581920394</v>
      </c>
      <c r="AE237" s="1">
        <f t="shared" si="26"/>
        <v>207.31170883845465</v>
      </c>
      <c r="AF237" s="1">
        <f t="shared" si="26"/>
        <v>178.88886386522015</v>
      </c>
      <c r="AG237" s="1">
        <f t="shared" si="26"/>
        <v>197.1216955817053</v>
      </c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 x14ac:dyDescent="0.45">
      <c r="A238">
        <v>411.71694019403617</v>
      </c>
      <c r="Q238">
        <v>411.71694019403617</v>
      </c>
      <c r="R238" s="1">
        <f t="shared" si="22"/>
        <v>135.23873783707251</v>
      </c>
      <c r="S238" s="1">
        <f t="shared" si="23"/>
        <v>269.07490206475882</v>
      </c>
      <c r="T238" s="1">
        <f t="shared" si="26"/>
        <v>310.39873282001184</v>
      </c>
      <c r="U238" s="1">
        <f t="shared" si="26"/>
        <v>198.33129366907403</v>
      </c>
      <c r="V238" s="1">
        <f t="shared" si="26"/>
        <v>725.68827133689899</v>
      </c>
      <c r="W238" s="1">
        <f t="shared" si="26"/>
        <v>173.76739223868972</v>
      </c>
      <c r="X238" s="1">
        <f t="shared" si="26"/>
        <v>240.71763931171111</v>
      </c>
      <c r="Y238" s="1">
        <f t="shared" si="26"/>
        <v>261.17198309051582</v>
      </c>
      <c r="Z238" s="1">
        <f t="shared" si="26"/>
        <v>155.94967349642587</v>
      </c>
      <c r="AA238" s="1">
        <f t="shared" si="26"/>
        <v>204.7115820006193</v>
      </c>
      <c r="AB238" s="1">
        <f t="shared" si="26"/>
        <v>156.49224023096366</v>
      </c>
      <c r="AC238" s="1">
        <f t="shared" si="26"/>
        <v>187.15800581920394</v>
      </c>
      <c r="AD238" s="1">
        <f t="shared" si="26"/>
        <v>207.31170883845465</v>
      </c>
      <c r="AE238" s="1">
        <f t="shared" si="26"/>
        <v>178.88886386522015</v>
      </c>
      <c r="AF238" s="1">
        <f t="shared" si="26"/>
        <v>197.1216955817053</v>
      </c>
      <c r="AG238" s="1">
        <f t="shared" si="26"/>
        <v>176.98213273698155</v>
      </c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 x14ac:dyDescent="0.45">
      <c r="A239">
        <v>269.07490206475882</v>
      </c>
      <c r="Q239">
        <v>269.07490206475882</v>
      </c>
      <c r="R239" s="1">
        <f t="shared" si="22"/>
        <v>-7.4033002922048468</v>
      </c>
      <c r="S239" s="1">
        <f t="shared" si="23"/>
        <v>310.39873282001184</v>
      </c>
      <c r="T239" s="1">
        <f t="shared" si="26"/>
        <v>198.33129366907403</v>
      </c>
      <c r="U239" s="1">
        <f t="shared" si="26"/>
        <v>725.68827133689899</v>
      </c>
      <c r="V239" s="1">
        <f t="shared" si="26"/>
        <v>173.76739223868972</v>
      </c>
      <c r="W239" s="1">
        <f t="shared" si="26"/>
        <v>240.71763931171111</v>
      </c>
      <c r="X239" s="1">
        <f t="shared" si="26"/>
        <v>261.17198309051582</v>
      </c>
      <c r="Y239" s="1">
        <f t="shared" si="26"/>
        <v>155.94967349642587</v>
      </c>
      <c r="Z239" s="1">
        <f t="shared" si="26"/>
        <v>204.7115820006193</v>
      </c>
      <c r="AA239" s="1">
        <f t="shared" si="26"/>
        <v>156.49224023096366</v>
      </c>
      <c r="AB239" s="1">
        <f t="shared" si="26"/>
        <v>187.15800581920394</v>
      </c>
      <c r="AC239" s="1">
        <f t="shared" si="26"/>
        <v>207.31170883845465</v>
      </c>
      <c r="AD239" s="1">
        <f t="shared" si="26"/>
        <v>178.88886386522015</v>
      </c>
      <c r="AE239" s="1">
        <f t="shared" si="26"/>
        <v>197.1216955817053</v>
      </c>
      <c r="AF239" s="1">
        <f t="shared" si="26"/>
        <v>176.98213273698155</v>
      </c>
      <c r="AG239" s="1">
        <f t="shared" si="26"/>
        <v>492.39287573879756</v>
      </c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1:48" x14ac:dyDescent="0.45">
      <c r="A240">
        <v>310.39873282001184</v>
      </c>
      <c r="Q240">
        <v>310.39873282001184</v>
      </c>
      <c r="R240" s="1">
        <f t="shared" si="22"/>
        <v>33.920530463048181</v>
      </c>
      <c r="S240" s="1">
        <f t="shared" si="23"/>
        <v>198.33129366907403</v>
      </c>
      <c r="T240" s="1">
        <f t="shared" si="26"/>
        <v>725.68827133689899</v>
      </c>
      <c r="U240" s="1">
        <f t="shared" si="26"/>
        <v>173.76739223868972</v>
      </c>
      <c r="V240" s="1">
        <f t="shared" si="26"/>
        <v>240.71763931171111</v>
      </c>
      <c r="W240" s="1">
        <f t="shared" si="26"/>
        <v>261.17198309051582</v>
      </c>
      <c r="X240" s="1">
        <f t="shared" si="26"/>
        <v>155.94967349642587</v>
      </c>
      <c r="Y240" s="1">
        <f t="shared" si="26"/>
        <v>204.7115820006193</v>
      </c>
      <c r="Z240" s="1">
        <f t="shared" si="26"/>
        <v>156.49224023096366</v>
      </c>
      <c r="AA240" s="1">
        <f t="shared" si="26"/>
        <v>187.15800581920394</v>
      </c>
      <c r="AB240" s="1">
        <f t="shared" si="26"/>
        <v>207.31170883845465</v>
      </c>
      <c r="AC240" s="1">
        <f t="shared" si="26"/>
        <v>178.88886386522015</v>
      </c>
      <c r="AD240" s="1">
        <f t="shared" si="26"/>
        <v>197.1216955817053</v>
      </c>
      <c r="AE240" s="1">
        <f t="shared" si="26"/>
        <v>176.98213273698155</v>
      </c>
      <c r="AF240" s="1">
        <f t="shared" si="26"/>
        <v>492.39287573879756</v>
      </c>
      <c r="AG240" s="1">
        <f t="shared" si="26"/>
        <v>284.57793187841338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1:48" x14ac:dyDescent="0.45">
      <c r="A241">
        <v>198.33129366907403</v>
      </c>
      <c r="Q241">
        <v>198.33129366907403</v>
      </c>
      <c r="R241" s="1">
        <f t="shared" si="22"/>
        <v>-78.146908687889635</v>
      </c>
      <c r="S241" s="1">
        <f t="shared" si="23"/>
        <v>725.68827133689899</v>
      </c>
      <c r="T241" s="1">
        <f t="shared" si="26"/>
        <v>173.76739223868972</v>
      </c>
      <c r="U241" s="1">
        <f t="shared" si="26"/>
        <v>240.71763931171111</v>
      </c>
      <c r="V241" s="1">
        <f t="shared" si="26"/>
        <v>261.17198309051582</v>
      </c>
      <c r="W241" s="1">
        <f t="shared" si="26"/>
        <v>155.94967349642587</v>
      </c>
      <c r="X241" s="1">
        <f t="shared" si="26"/>
        <v>204.7115820006193</v>
      </c>
      <c r="Y241" s="1">
        <f t="shared" si="26"/>
        <v>156.49224023096366</v>
      </c>
      <c r="Z241" s="1">
        <f t="shared" si="26"/>
        <v>187.15800581920394</v>
      </c>
      <c r="AA241" s="1">
        <f t="shared" si="26"/>
        <v>207.31170883845465</v>
      </c>
      <c r="AB241" s="1">
        <f t="shared" si="26"/>
        <v>178.88886386522015</v>
      </c>
      <c r="AC241" s="1">
        <f t="shared" si="26"/>
        <v>197.1216955817053</v>
      </c>
      <c r="AD241" s="1">
        <f t="shared" si="26"/>
        <v>176.98213273698155</v>
      </c>
      <c r="AE241" s="1">
        <f t="shared" si="26"/>
        <v>492.39287573879756</v>
      </c>
      <c r="AF241" s="1">
        <f t="shared" si="26"/>
        <v>284.57793187841338</v>
      </c>
      <c r="AG241" s="1">
        <f t="shared" si="26"/>
        <v>179.9558598678565</v>
      </c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1:48" x14ac:dyDescent="0.45">
      <c r="A242">
        <v>725.68827133689899</v>
      </c>
      <c r="Q242">
        <v>725.68827133689899</v>
      </c>
      <c r="R242" s="1">
        <f t="shared" si="22"/>
        <v>449.21006897993533</v>
      </c>
      <c r="S242" s="1">
        <f t="shared" si="23"/>
        <v>173.76739223868972</v>
      </c>
      <c r="T242" s="1">
        <f t="shared" si="26"/>
        <v>240.71763931171111</v>
      </c>
      <c r="U242" s="1">
        <f t="shared" si="26"/>
        <v>261.17198309051582</v>
      </c>
      <c r="V242" s="1">
        <f t="shared" si="26"/>
        <v>155.94967349642587</v>
      </c>
      <c r="W242" s="1">
        <f t="shared" si="26"/>
        <v>204.7115820006193</v>
      </c>
      <c r="X242" s="1">
        <f t="shared" si="26"/>
        <v>156.49224023096366</v>
      </c>
      <c r="Y242" s="1">
        <f t="shared" si="26"/>
        <v>187.15800581920394</v>
      </c>
      <c r="Z242" s="1">
        <f t="shared" si="26"/>
        <v>207.31170883845465</v>
      </c>
      <c r="AA242" s="1">
        <f t="shared" si="26"/>
        <v>178.88886386522015</v>
      </c>
      <c r="AB242" s="1">
        <f t="shared" si="26"/>
        <v>197.1216955817053</v>
      </c>
      <c r="AC242" s="1">
        <f t="shared" si="26"/>
        <v>176.98213273698155</v>
      </c>
      <c r="AD242" s="1">
        <f t="shared" si="26"/>
        <v>492.39287573879756</v>
      </c>
      <c r="AE242" s="1">
        <f t="shared" si="26"/>
        <v>284.57793187841338</v>
      </c>
      <c r="AF242" s="1">
        <f t="shared" si="26"/>
        <v>179.9558598678565</v>
      </c>
      <c r="AG242" s="1">
        <f t="shared" si="26"/>
        <v>365.99269097519908</v>
      </c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1:48" x14ac:dyDescent="0.45">
      <c r="A243">
        <v>173.76739223868972</v>
      </c>
      <c r="Q243">
        <v>173.76739223868972</v>
      </c>
      <c r="R243" s="1">
        <f t="shared" si="22"/>
        <v>-102.71081011827394</v>
      </c>
      <c r="S243" s="1">
        <f t="shared" si="23"/>
        <v>240.71763931171111</v>
      </c>
      <c r="T243" s="1">
        <f t="shared" si="26"/>
        <v>261.17198309051582</v>
      </c>
      <c r="U243" s="1">
        <f t="shared" si="26"/>
        <v>155.94967349642587</v>
      </c>
      <c r="V243" s="1">
        <f t="shared" si="26"/>
        <v>204.7115820006193</v>
      </c>
      <c r="W243" s="1">
        <f t="shared" si="26"/>
        <v>156.49224023096366</v>
      </c>
      <c r="X243" s="1">
        <f t="shared" si="26"/>
        <v>187.15800581920394</v>
      </c>
      <c r="Y243" s="1">
        <f t="shared" si="26"/>
        <v>207.31170883845465</v>
      </c>
      <c r="Z243" s="1">
        <f t="shared" si="26"/>
        <v>178.88886386522015</v>
      </c>
      <c r="AA243" s="1">
        <f t="shared" si="26"/>
        <v>197.1216955817053</v>
      </c>
      <c r="AB243" s="1">
        <f t="shared" si="26"/>
        <v>176.98213273698155</v>
      </c>
      <c r="AC243" s="1">
        <f t="shared" si="26"/>
        <v>492.39287573879756</v>
      </c>
      <c r="AD243" s="1">
        <f t="shared" si="26"/>
        <v>284.57793187841338</v>
      </c>
      <c r="AE243" s="1">
        <f t="shared" si="26"/>
        <v>179.9558598678565</v>
      </c>
      <c r="AF243" s="1">
        <f t="shared" si="26"/>
        <v>365.99269097519908</v>
      </c>
      <c r="AG243" s="1">
        <f t="shared" si="26"/>
        <v>24.128920019391483</v>
      </c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1:48" x14ac:dyDescent="0.45">
      <c r="A244">
        <v>240.71763931171111</v>
      </c>
      <c r="Q244">
        <v>240.71763931171111</v>
      </c>
      <c r="R244" s="1">
        <f t="shared" si="22"/>
        <v>-35.760563045252553</v>
      </c>
      <c r="S244" s="1">
        <f t="shared" si="23"/>
        <v>261.17198309051582</v>
      </c>
      <c r="T244" s="1">
        <f t="shared" si="26"/>
        <v>155.94967349642587</v>
      </c>
      <c r="U244" s="1">
        <f t="shared" si="26"/>
        <v>204.7115820006193</v>
      </c>
      <c r="V244" s="1">
        <f t="shared" si="26"/>
        <v>156.49224023096366</v>
      </c>
      <c r="W244" s="1">
        <f t="shared" si="26"/>
        <v>187.15800581920394</v>
      </c>
      <c r="X244" s="1">
        <f t="shared" si="26"/>
        <v>207.31170883845465</v>
      </c>
      <c r="Y244" s="1">
        <f t="shared" si="26"/>
        <v>178.88886386522015</v>
      </c>
      <c r="Z244" s="1">
        <f t="shared" si="26"/>
        <v>197.1216955817053</v>
      </c>
      <c r="AA244" s="1">
        <f t="shared" si="26"/>
        <v>176.98213273698155</v>
      </c>
      <c r="AB244" s="1">
        <f t="shared" si="26"/>
        <v>492.39287573879756</v>
      </c>
      <c r="AC244" s="1">
        <f t="shared" si="26"/>
        <v>284.57793187841338</v>
      </c>
      <c r="AD244" s="1">
        <f t="shared" si="26"/>
        <v>179.9558598678565</v>
      </c>
      <c r="AE244" s="1">
        <f t="shared" si="26"/>
        <v>365.99269097519908</v>
      </c>
      <c r="AF244" s="1">
        <f t="shared" si="26"/>
        <v>24.128920019391483</v>
      </c>
      <c r="AG244" s="1">
        <f t="shared" si="26"/>
        <v>496.48634165446333</v>
      </c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 x14ac:dyDescent="0.45">
      <c r="A245">
        <v>261.17198309051582</v>
      </c>
      <c r="Q245">
        <v>261.17198309051582</v>
      </c>
      <c r="R245" s="1">
        <f t="shared" si="22"/>
        <v>-15.30621926644784</v>
      </c>
      <c r="S245" s="1">
        <f t="shared" si="23"/>
        <v>155.94967349642587</v>
      </c>
      <c r="T245" s="1">
        <f t="shared" si="26"/>
        <v>204.7115820006193</v>
      </c>
      <c r="U245" s="1">
        <f t="shared" si="26"/>
        <v>156.49224023096366</v>
      </c>
      <c r="V245" s="1">
        <f t="shared" si="26"/>
        <v>187.15800581920394</v>
      </c>
      <c r="W245" s="1">
        <f t="shared" ref="U245:AG260" si="27">V246</f>
        <v>207.31170883845465</v>
      </c>
      <c r="X245" s="1">
        <f t="shared" si="27"/>
        <v>178.88886386522015</v>
      </c>
      <c r="Y245" s="1">
        <f t="shared" si="27"/>
        <v>197.1216955817053</v>
      </c>
      <c r="Z245" s="1">
        <f t="shared" si="27"/>
        <v>176.98213273698155</v>
      </c>
      <c r="AA245" s="1">
        <f t="shared" si="27"/>
        <v>492.39287573879756</v>
      </c>
      <c r="AB245" s="1">
        <f t="shared" si="27"/>
        <v>284.57793187841338</v>
      </c>
      <c r="AC245" s="1">
        <f t="shared" si="27"/>
        <v>179.9558598678565</v>
      </c>
      <c r="AD245" s="1">
        <f t="shared" si="27"/>
        <v>365.99269097519908</v>
      </c>
      <c r="AE245" s="1">
        <f t="shared" si="27"/>
        <v>24.128920019391483</v>
      </c>
      <c r="AF245" s="1">
        <f t="shared" si="27"/>
        <v>496.48634165446333</v>
      </c>
      <c r="AG245" s="1">
        <f t="shared" si="27"/>
        <v>94.007687733024099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 x14ac:dyDescent="0.45">
      <c r="A246">
        <v>155.94967349642587</v>
      </c>
      <c r="Q246">
        <v>155.94967349642587</v>
      </c>
      <c r="R246" s="1">
        <f t="shared" si="22"/>
        <v>-120.52852886053779</v>
      </c>
      <c r="S246" s="1">
        <f t="shared" si="23"/>
        <v>204.7115820006193</v>
      </c>
      <c r="T246" s="1">
        <f t="shared" ref="T246:AG278" si="28">S247</f>
        <v>156.49224023096366</v>
      </c>
      <c r="U246" s="1">
        <f t="shared" si="27"/>
        <v>187.15800581920394</v>
      </c>
      <c r="V246" s="1">
        <f t="shared" si="27"/>
        <v>207.31170883845465</v>
      </c>
      <c r="W246" s="1">
        <f t="shared" si="27"/>
        <v>178.88886386522015</v>
      </c>
      <c r="X246" s="1">
        <f t="shared" si="27"/>
        <v>197.1216955817053</v>
      </c>
      <c r="Y246" s="1">
        <f t="shared" si="27"/>
        <v>176.98213273698155</v>
      </c>
      <c r="Z246" s="1">
        <f t="shared" si="27"/>
        <v>492.39287573879756</v>
      </c>
      <c r="AA246" s="1">
        <f t="shared" si="27"/>
        <v>284.57793187841338</v>
      </c>
      <c r="AB246" s="1">
        <f t="shared" si="27"/>
        <v>179.9558598678565</v>
      </c>
      <c r="AC246" s="1">
        <f t="shared" si="27"/>
        <v>365.99269097519908</v>
      </c>
      <c r="AD246" s="1">
        <f t="shared" si="27"/>
        <v>24.128920019391483</v>
      </c>
      <c r="AE246" s="1">
        <f t="shared" si="27"/>
        <v>496.48634165446333</v>
      </c>
      <c r="AF246" s="1">
        <f t="shared" si="27"/>
        <v>94.007687733024099</v>
      </c>
      <c r="AG246" s="1">
        <f t="shared" si="27"/>
        <v>141.06199720421375</v>
      </c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 x14ac:dyDescent="0.45">
      <c r="A247">
        <v>204.7115820006193</v>
      </c>
      <c r="Q247">
        <v>204.7115820006193</v>
      </c>
      <c r="R247" s="1">
        <f t="shared" si="22"/>
        <v>-71.766620356344362</v>
      </c>
      <c r="S247" s="1">
        <f t="shared" si="23"/>
        <v>156.49224023096366</v>
      </c>
      <c r="T247" s="1">
        <f t="shared" si="28"/>
        <v>187.15800581920394</v>
      </c>
      <c r="U247" s="1">
        <f t="shared" si="27"/>
        <v>207.31170883845465</v>
      </c>
      <c r="V247" s="1">
        <f t="shared" si="27"/>
        <v>178.88886386522015</v>
      </c>
      <c r="W247" s="1">
        <f t="shared" si="27"/>
        <v>197.1216955817053</v>
      </c>
      <c r="X247" s="1">
        <f t="shared" si="27"/>
        <v>176.98213273698155</v>
      </c>
      <c r="Y247" s="1">
        <f t="shared" si="27"/>
        <v>492.39287573879756</v>
      </c>
      <c r="Z247" s="1">
        <f t="shared" si="27"/>
        <v>284.57793187841338</v>
      </c>
      <c r="AA247" s="1">
        <f t="shared" si="27"/>
        <v>179.9558598678565</v>
      </c>
      <c r="AB247" s="1">
        <f t="shared" si="27"/>
        <v>365.99269097519908</v>
      </c>
      <c r="AC247" s="1">
        <f t="shared" si="27"/>
        <v>24.128920019391483</v>
      </c>
      <c r="AD247" s="1">
        <f t="shared" si="27"/>
        <v>496.48634165446333</v>
      </c>
      <c r="AE247" s="1">
        <f t="shared" si="27"/>
        <v>94.007687733024099</v>
      </c>
      <c r="AF247" s="1">
        <f t="shared" si="27"/>
        <v>141.06199720421375</v>
      </c>
      <c r="AG247" s="1">
        <f t="shared" si="27"/>
        <v>60.369020300939781</v>
      </c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1:48" x14ac:dyDescent="0.45">
      <c r="A248">
        <v>156.49224023096366</v>
      </c>
      <c r="Q248">
        <v>156.49224023096366</v>
      </c>
      <c r="R248" s="1">
        <f t="shared" si="22"/>
        <v>-119.985962126</v>
      </c>
      <c r="S248" s="1">
        <f t="shared" si="23"/>
        <v>187.15800581920394</v>
      </c>
      <c r="T248" s="1">
        <f t="shared" si="28"/>
        <v>207.31170883845465</v>
      </c>
      <c r="U248" s="1">
        <f t="shared" si="27"/>
        <v>178.88886386522015</v>
      </c>
      <c r="V248" s="1">
        <f t="shared" si="27"/>
        <v>197.1216955817053</v>
      </c>
      <c r="W248" s="1">
        <f t="shared" si="27"/>
        <v>176.98213273698155</v>
      </c>
      <c r="X248" s="1">
        <f t="shared" si="27"/>
        <v>492.39287573879756</v>
      </c>
      <c r="Y248" s="1">
        <f t="shared" si="27"/>
        <v>284.57793187841338</v>
      </c>
      <c r="Z248" s="1">
        <f t="shared" si="27"/>
        <v>179.9558598678565</v>
      </c>
      <c r="AA248" s="1">
        <f t="shared" si="27"/>
        <v>365.99269097519908</v>
      </c>
      <c r="AB248" s="1">
        <f t="shared" si="27"/>
        <v>24.128920019391483</v>
      </c>
      <c r="AC248" s="1">
        <f t="shared" si="27"/>
        <v>496.48634165446333</v>
      </c>
      <c r="AD248" s="1">
        <f t="shared" si="27"/>
        <v>94.007687733024099</v>
      </c>
      <c r="AE248" s="1">
        <f t="shared" si="27"/>
        <v>141.06199720421375</v>
      </c>
      <c r="AF248" s="1">
        <f t="shared" si="27"/>
        <v>60.369020300939781</v>
      </c>
      <c r="AG248" s="1">
        <f t="shared" si="27"/>
        <v>185.50770929294143</v>
      </c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1:48" x14ac:dyDescent="0.45">
      <c r="A249">
        <v>187.15800581920394</v>
      </c>
      <c r="Q249">
        <v>187.15800581920394</v>
      </c>
      <c r="R249" s="1">
        <f t="shared" si="22"/>
        <v>-89.320196537759728</v>
      </c>
      <c r="S249" s="1">
        <f t="shared" si="23"/>
        <v>207.31170883845465</v>
      </c>
      <c r="T249" s="1">
        <f t="shared" si="28"/>
        <v>178.88886386522015</v>
      </c>
      <c r="U249" s="1">
        <f t="shared" si="27"/>
        <v>197.1216955817053</v>
      </c>
      <c r="V249" s="1">
        <f t="shared" si="27"/>
        <v>176.98213273698155</v>
      </c>
      <c r="W249" s="1">
        <f t="shared" si="27"/>
        <v>492.39287573879756</v>
      </c>
      <c r="X249" s="1">
        <f t="shared" si="27"/>
        <v>284.57793187841338</v>
      </c>
      <c r="Y249" s="1">
        <f t="shared" si="27"/>
        <v>179.9558598678565</v>
      </c>
      <c r="Z249" s="1">
        <f t="shared" si="27"/>
        <v>365.99269097519908</v>
      </c>
      <c r="AA249" s="1">
        <f t="shared" si="27"/>
        <v>24.128920019391483</v>
      </c>
      <c r="AB249" s="1">
        <f t="shared" si="27"/>
        <v>496.48634165446333</v>
      </c>
      <c r="AC249" s="1">
        <f t="shared" si="27"/>
        <v>94.007687733024099</v>
      </c>
      <c r="AD249" s="1">
        <f t="shared" si="27"/>
        <v>141.06199720421375</v>
      </c>
      <c r="AE249" s="1">
        <f t="shared" si="27"/>
        <v>60.369020300939781</v>
      </c>
      <c r="AF249" s="1">
        <f t="shared" si="27"/>
        <v>185.50770929294143</v>
      </c>
      <c r="AG249" s="1">
        <f t="shared" si="27"/>
        <v>111.24077828697511</v>
      </c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 x14ac:dyDescent="0.45">
      <c r="A250">
        <v>207.31170883845465</v>
      </c>
      <c r="Q250">
        <v>207.31170883845465</v>
      </c>
      <c r="R250" s="1">
        <f t="shared" si="22"/>
        <v>-69.166493518509014</v>
      </c>
      <c r="S250" s="1">
        <f t="shared" si="23"/>
        <v>178.88886386522015</v>
      </c>
      <c r="T250" s="1">
        <f t="shared" si="28"/>
        <v>197.1216955817053</v>
      </c>
      <c r="U250" s="1">
        <f t="shared" si="27"/>
        <v>176.98213273698155</v>
      </c>
      <c r="V250" s="1">
        <f t="shared" si="27"/>
        <v>492.39287573879756</v>
      </c>
      <c r="W250" s="1">
        <f t="shared" si="27"/>
        <v>284.57793187841338</v>
      </c>
      <c r="X250" s="1">
        <f t="shared" si="27"/>
        <v>179.9558598678565</v>
      </c>
      <c r="Y250" s="1">
        <f t="shared" si="27"/>
        <v>365.99269097519908</v>
      </c>
      <c r="Z250" s="1">
        <f t="shared" si="27"/>
        <v>24.128920019391483</v>
      </c>
      <c r="AA250" s="1">
        <f t="shared" si="27"/>
        <v>496.48634165446333</v>
      </c>
      <c r="AB250" s="1">
        <f t="shared" si="27"/>
        <v>94.007687733024099</v>
      </c>
      <c r="AC250" s="1">
        <f t="shared" si="27"/>
        <v>141.06199720421375</v>
      </c>
      <c r="AD250" s="1">
        <f t="shared" si="27"/>
        <v>60.369020300939781</v>
      </c>
      <c r="AE250" s="1">
        <f t="shared" si="27"/>
        <v>185.50770929294143</v>
      </c>
      <c r="AF250" s="1">
        <f t="shared" si="27"/>
        <v>111.24077828697511</v>
      </c>
      <c r="AG250" s="1">
        <f t="shared" si="27"/>
        <v>59.091236872534438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1:48" x14ac:dyDescent="0.45">
      <c r="A251">
        <v>178.88886386522015</v>
      </c>
      <c r="Q251">
        <v>178.88886386522015</v>
      </c>
      <c r="R251" s="1">
        <f t="shared" si="22"/>
        <v>-97.589338491743518</v>
      </c>
      <c r="S251" s="1">
        <f t="shared" si="23"/>
        <v>197.1216955817053</v>
      </c>
      <c r="T251" s="1">
        <f t="shared" si="28"/>
        <v>176.98213273698155</v>
      </c>
      <c r="U251" s="1">
        <f t="shared" si="27"/>
        <v>492.39287573879756</v>
      </c>
      <c r="V251" s="1">
        <f t="shared" si="27"/>
        <v>284.57793187841338</v>
      </c>
      <c r="W251" s="1">
        <f t="shared" si="27"/>
        <v>179.9558598678565</v>
      </c>
      <c r="X251" s="1">
        <f t="shared" si="27"/>
        <v>365.99269097519908</v>
      </c>
      <c r="Y251" s="1">
        <f t="shared" si="27"/>
        <v>24.128920019391483</v>
      </c>
      <c r="Z251" s="1">
        <f t="shared" si="27"/>
        <v>496.48634165446333</v>
      </c>
      <c r="AA251" s="1">
        <f t="shared" si="27"/>
        <v>94.007687733024099</v>
      </c>
      <c r="AB251" s="1">
        <f t="shared" si="27"/>
        <v>141.06199720421375</v>
      </c>
      <c r="AC251" s="1">
        <f t="shared" si="27"/>
        <v>60.369020300939781</v>
      </c>
      <c r="AD251" s="1">
        <f t="shared" si="27"/>
        <v>185.50770929294143</v>
      </c>
      <c r="AE251" s="1">
        <f t="shared" si="27"/>
        <v>111.24077828697511</v>
      </c>
      <c r="AF251" s="1">
        <f t="shared" si="27"/>
        <v>59.091236872534438</v>
      </c>
      <c r="AG251" s="1">
        <f t="shared" si="27"/>
        <v>673.62166768614588</v>
      </c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 x14ac:dyDescent="0.45">
      <c r="A252">
        <v>197.1216955817053</v>
      </c>
      <c r="Q252">
        <v>197.1216955817053</v>
      </c>
      <c r="R252" s="1">
        <f t="shared" si="22"/>
        <v>-79.356506775258367</v>
      </c>
      <c r="S252" s="1">
        <f t="shared" si="23"/>
        <v>176.98213273698155</v>
      </c>
      <c r="T252" s="1">
        <f t="shared" si="28"/>
        <v>492.39287573879756</v>
      </c>
      <c r="U252" s="1">
        <f t="shared" si="27"/>
        <v>284.57793187841338</v>
      </c>
      <c r="V252" s="1">
        <f t="shared" si="27"/>
        <v>179.9558598678565</v>
      </c>
      <c r="W252" s="1">
        <f t="shared" si="27"/>
        <v>365.99269097519908</v>
      </c>
      <c r="X252" s="1">
        <f t="shared" si="27"/>
        <v>24.128920019391483</v>
      </c>
      <c r="Y252" s="1">
        <f t="shared" si="27"/>
        <v>496.48634165446333</v>
      </c>
      <c r="Z252" s="1">
        <f t="shared" si="27"/>
        <v>94.007687733024099</v>
      </c>
      <c r="AA252" s="1">
        <f t="shared" si="27"/>
        <v>141.06199720421375</v>
      </c>
      <c r="AB252" s="1">
        <f t="shared" si="27"/>
        <v>60.369020300939781</v>
      </c>
      <c r="AC252" s="1">
        <f t="shared" si="27"/>
        <v>185.50770929294143</v>
      </c>
      <c r="AD252" s="1">
        <f t="shared" si="27"/>
        <v>111.24077828697511</v>
      </c>
      <c r="AE252" s="1">
        <f t="shared" si="27"/>
        <v>59.091236872534438</v>
      </c>
      <c r="AF252" s="1">
        <f t="shared" si="27"/>
        <v>673.62166768614588</v>
      </c>
      <c r="AG252" s="1">
        <f t="shared" si="27"/>
        <v>350.33487331005296</v>
      </c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 x14ac:dyDescent="0.45">
      <c r="A253">
        <v>176.98213273698155</v>
      </c>
      <c r="Q253">
        <v>176.98213273698155</v>
      </c>
      <c r="R253" s="1">
        <f t="shared" si="22"/>
        <v>-99.496069619982109</v>
      </c>
      <c r="S253" s="1">
        <f t="shared" si="23"/>
        <v>492.39287573879756</v>
      </c>
      <c r="T253" s="1">
        <f t="shared" si="28"/>
        <v>284.57793187841338</v>
      </c>
      <c r="U253" s="1">
        <f t="shared" si="27"/>
        <v>179.9558598678565</v>
      </c>
      <c r="V253" s="1">
        <f t="shared" si="27"/>
        <v>365.99269097519908</v>
      </c>
      <c r="W253" s="1">
        <f t="shared" si="27"/>
        <v>24.128920019391483</v>
      </c>
      <c r="X253" s="1">
        <f t="shared" si="27"/>
        <v>496.48634165446333</v>
      </c>
      <c r="Y253" s="1">
        <f t="shared" si="27"/>
        <v>94.007687733024099</v>
      </c>
      <c r="Z253" s="1">
        <f t="shared" si="27"/>
        <v>141.06199720421375</v>
      </c>
      <c r="AA253" s="1">
        <f t="shared" si="27"/>
        <v>60.369020300939781</v>
      </c>
      <c r="AB253" s="1">
        <f t="shared" si="27"/>
        <v>185.50770929294143</v>
      </c>
      <c r="AC253" s="1">
        <f t="shared" si="27"/>
        <v>111.24077828697511</v>
      </c>
      <c r="AD253" s="1">
        <f t="shared" si="27"/>
        <v>59.091236872534438</v>
      </c>
      <c r="AE253" s="1">
        <f t="shared" si="27"/>
        <v>673.62166768614588</v>
      </c>
      <c r="AF253" s="1">
        <f t="shared" si="27"/>
        <v>350.33487331005296</v>
      </c>
      <c r="AG253" s="1">
        <f t="shared" si="27"/>
        <v>100.06273078864594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1:48" x14ac:dyDescent="0.45">
      <c r="A254">
        <v>492.39287573879756</v>
      </c>
      <c r="Q254">
        <v>492.39287573879756</v>
      </c>
      <c r="R254" s="1">
        <f t="shared" si="22"/>
        <v>215.91467338183389</v>
      </c>
      <c r="S254" s="1">
        <f t="shared" si="23"/>
        <v>284.57793187841338</v>
      </c>
      <c r="T254" s="1">
        <f t="shared" si="28"/>
        <v>179.9558598678565</v>
      </c>
      <c r="U254" s="1">
        <f t="shared" si="27"/>
        <v>365.99269097519908</v>
      </c>
      <c r="V254" s="1">
        <f t="shared" si="27"/>
        <v>24.128920019391483</v>
      </c>
      <c r="W254" s="1">
        <f t="shared" si="27"/>
        <v>496.48634165446333</v>
      </c>
      <c r="X254" s="1">
        <f t="shared" si="27"/>
        <v>94.007687733024099</v>
      </c>
      <c r="Y254" s="1">
        <f t="shared" si="27"/>
        <v>141.06199720421375</v>
      </c>
      <c r="Z254" s="1">
        <f t="shared" si="27"/>
        <v>60.369020300939781</v>
      </c>
      <c r="AA254" s="1">
        <f t="shared" si="27"/>
        <v>185.50770929294143</v>
      </c>
      <c r="AB254" s="1">
        <f t="shared" si="27"/>
        <v>111.24077828697511</v>
      </c>
      <c r="AC254" s="1">
        <f t="shared" si="27"/>
        <v>59.091236872534438</v>
      </c>
      <c r="AD254" s="1">
        <f t="shared" si="27"/>
        <v>673.62166768614588</v>
      </c>
      <c r="AE254" s="1">
        <f t="shared" si="27"/>
        <v>350.33487331005296</v>
      </c>
      <c r="AF254" s="1">
        <f t="shared" si="27"/>
        <v>100.06273078864594</v>
      </c>
      <c r="AG254" s="1">
        <f t="shared" si="27"/>
        <v>209.10527211242376</v>
      </c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1:48" x14ac:dyDescent="0.45">
      <c r="A255">
        <v>284.57793187841338</v>
      </c>
      <c r="Q255">
        <v>284.57793187841338</v>
      </c>
      <c r="R255" s="1">
        <f t="shared" si="22"/>
        <v>8.0997295214497171</v>
      </c>
      <c r="S255" s="1">
        <f t="shared" si="23"/>
        <v>179.9558598678565</v>
      </c>
      <c r="T255" s="1">
        <f t="shared" si="28"/>
        <v>365.99269097519908</v>
      </c>
      <c r="U255" s="1">
        <f t="shared" si="27"/>
        <v>24.128920019391483</v>
      </c>
      <c r="V255" s="1">
        <f t="shared" si="27"/>
        <v>496.48634165446333</v>
      </c>
      <c r="W255" s="1">
        <f t="shared" si="27"/>
        <v>94.007687733024099</v>
      </c>
      <c r="X255" s="1">
        <f t="shared" si="27"/>
        <v>141.06199720421375</v>
      </c>
      <c r="Y255" s="1">
        <f t="shared" si="27"/>
        <v>60.369020300939781</v>
      </c>
      <c r="Z255" s="1">
        <f t="shared" si="27"/>
        <v>185.50770929294143</v>
      </c>
      <c r="AA255" s="1">
        <f t="shared" si="27"/>
        <v>111.24077828697511</v>
      </c>
      <c r="AB255" s="1">
        <f t="shared" si="27"/>
        <v>59.091236872534438</v>
      </c>
      <c r="AC255" s="1">
        <f t="shared" si="27"/>
        <v>673.62166768614588</v>
      </c>
      <c r="AD255" s="1">
        <f t="shared" si="27"/>
        <v>350.33487331005296</v>
      </c>
      <c r="AE255" s="1">
        <f t="shared" si="27"/>
        <v>100.06273078864594</v>
      </c>
      <c r="AF255" s="1">
        <f t="shared" si="27"/>
        <v>209.10527211242376</v>
      </c>
      <c r="AG255" s="1">
        <f t="shared" si="27"/>
        <v>211.21951100103084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1:48" x14ac:dyDescent="0.45">
      <c r="A256">
        <v>179.9558598678565</v>
      </c>
      <c r="Q256">
        <v>179.9558598678565</v>
      </c>
      <c r="R256" s="1">
        <f t="shared" si="22"/>
        <v>-96.52234248910716</v>
      </c>
      <c r="S256" s="1">
        <f t="shared" si="23"/>
        <v>365.99269097519908</v>
      </c>
      <c r="T256" s="1">
        <f t="shared" si="28"/>
        <v>24.128920019391483</v>
      </c>
      <c r="U256" s="1">
        <f t="shared" si="27"/>
        <v>496.48634165446333</v>
      </c>
      <c r="V256" s="1">
        <f t="shared" si="27"/>
        <v>94.007687733024099</v>
      </c>
      <c r="W256" s="1">
        <f t="shared" si="27"/>
        <v>141.06199720421375</v>
      </c>
      <c r="X256" s="1">
        <f t="shared" si="27"/>
        <v>60.369020300939781</v>
      </c>
      <c r="Y256" s="1">
        <f t="shared" si="27"/>
        <v>185.50770929294143</v>
      </c>
      <c r="Z256" s="1">
        <f t="shared" si="27"/>
        <v>111.24077828697511</v>
      </c>
      <c r="AA256" s="1">
        <f t="shared" si="27"/>
        <v>59.091236872534438</v>
      </c>
      <c r="AB256" s="1">
        <f t="shared" si="27"/>
        <v>673.62166768614588</v>
      </c>
      <c r="AC256" s="1">
        <f t="shared" si="27"/>
        <v>350.33487331005296</v>
      </c>
      <c r="AD256" s="1">
        <f t="shared" si="27"/>
        <v>100.06273078864594</v>
      </c>
      <c r="AE256" s="1">
        <f t="shared" si="27"/>
        <v>209.10527211242376</v>
      </c>
      <c r="AF256" s="1">
        <f t="shared" si="27"/>
        <v>211.21951100103084</v>
      </c>
      <c r="AG256" s="1">
        <f t="shared" si="27"/>
        <v>255.49720218641446</v>
      </c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1:48" x14ac:dyDescent="0.45">
      <c r="A257">
        <v>365.99269097519908</v>
      </c>
      <c r="Q257">
        <v>365.99269097519908</v>
      </c>
      <c r="R257" s="1">
        <f t="shared" si="22"/>
        <v>89.514488618235418</v>
      </c>
      <c r="S257" s="1">
        <f t="shared" si="23"/>
        <v>24.128920019391483</v>
      </c>
      <c r="T257" s="1">
        <f t="shared" si="28"/>
        <v>496.48634165446333</v>
      </c>
      <c r="U257" s="1">
        <f t="shared" si="27"/>
        <v>94.007687733024099</v>
      </c>
      <c r="V257" s="1">
        <f t="shared" si="27"/>
        <v>141.06199720421375</v>
      </c>
      <c r="W257" s="1">
        <f t="shared" si="27"/>
        <v>60.369020300939781</v>
      </c>
      <c r="X257" s="1">
        <f t="shared" si="27"/>
        <v>185.50770929294143</v>
      </c>
      <c r="Y257" s="1">
        <f t="shared" si="27"/>
        <v>111.24077828697511</v>
      </c>
      <c r="Z257" s="1">
        <f t="shared" si="27"/>
        <v>59.091236872534438</v>
      </c>
      <c r="AA257" s="1">
        <f t="shared" si="27"/>
        <v>673.62166768614588</v>
      </c>
      <c r="AB257" s="1">
        <f t="shared" si="27"/>
        <v>350.33487331005296</v>
      </c>
      <c r="AC257" s="1">
        <f t="shared" si="27"/>
        <v>100.06273078864594</v>
      </c>
      <c r="AD257" s="1">
        <f t="shared" si="27"/>
        <v>209.10527211242376</v>
      </c>
      <c r="AE257" s="1">
        <f t="shared" si="27"/>
        <v>211.21951100103084</v>
      </c>
      <c r="AF257" s="1">
        <f t="shared" si="27"/>
        <v>255.49720218641446</v>
      </c>
      <c r="AG257" s="1">
        <f t="shared" si="27"/>
        <v>220.08923070512222</v>
      </c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1:48" x14ac:dyDescent="0.45">
      <c r="A258">
        <v>24.128920019391483</v>
      </c>
      <c r="Q258">
        <v>24.128920019391483</v>
      </c>
      <c r="R258" s="1">
        <f t="shared" si="22"/>
        <v>-252.34928233757219</v>
      </c>
      <c r="S258" s="1">
        <f t="shared" si="23"/>
        <v>496.48634165446333</v>
      </c>
      <c r="T258" s="1">
        <f t="shared" si="28"/>
        <v>94.007687733024099</v>
      </c>
      <c r="U258" s="1">
        <f t="shared" si="27"/>
        <v>141.06199720421375</v>
      </c>
      <c r="V258" s="1">
        <f t="shared" si="27"/>
        <v>60.369020300939781</v>
      </c>
      <c r="W258" s="1">
        <f t="shared" si="27"/>
        <v>185.50770929294143</v>
      </c>
      <c r="X258" s="1">
        <f t="shared" si="27"/>
        <v>111.24077828697511</v>
      </c>
      <c r="Y258" s="1">
        <f t="shared" si="27"/>
        <v>59.091236872534438</v>
      </c>
      <c r="Z258" s="1">
        <f t="shared" si="27"/>
        <v>673.62166768614588</v>
      </c>
      <c r="AA258" s="1">
        <f t="shared" si="27"/>
        <v>350.33487331005296</v>
      </c>
      <c r="AB258" s="1">
        <f t="shared" si="27"/>
        <v>100.06273078864594</v>
      </c>
      <c r="AC258" s="1">
        <f t="shared" si="27"/>
        <v>209.10527211242376</v>
      </c>
      <c r="AD258" s="1">
        <f t="shared" si="27"/>
        <v>211.21951100103084</v>
      </c>
      <c r="AE258" s="1">
        <f t="shared" si="27"/>
        <v>255.49720218641446</v>
      </c>
      <c r="AF258" s="1">
        <f t="shared" si="27"/>
        <v>220.08923070512222</v>
      </c>
      <c r="AG258" s="1">
        <f t="shared" si="27"/>
        <v>529.94518091120881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1:48" x14ac:dyDescent="0.45">
      <c r="A259">
        <v>496.48634165446333</v>
      </c>
      <c r="Q259">
        <v>496.48634165446333</v>
      </c>
      <c r="R259" s="1">
        <f t="shared" si="22"/>
        <v>220.00813929749967</v>
      </c>
      <c r="S259" s="1">
        <f t="shared" si="23"/>
        <v>94.007687733024099</v>
      </c>
      <c r="T259" s="1">
        <f t="shared" si="28"/>
        <v>141.06199720421375</v>
      </c>
      <c r="U259" s="1">
        <f t="shared" si="27"/>
        <v>60.369020300939781</v>
      </c>
      <c r="V259" s="1">
        <f t="shared" si="27"/>
        <v>185.50770929294143</v>
      </c>
      <c r="W259" s="1">
        <f t="shared" si="27"/>
        <v>111.24077828697511</v>
      </c>
      <c r="X259" s="1">
        <f t="shared" si="27"/>
        <v>59.091236872534438</v>
      </c>
      <c r="Y259" s="1">
        <f t="shared" si="27"/>
        <v>673.62166768614588</v>
      </c>
      <c r="Z259" s="1">
        <f t="shared" si="27"/>
        <v>350.33487331005296</v>
      </c>
      <c r="AA259" s="1">
        <f t="shared" si="27"/>
        <v>100.06273078864594</v>
      </c>
      <c r="AB259" s="1">
        <f t="shared" si="27"/>
        <v>209.10527211242376</v>
      </c>
      <c r="AC259" s="1">
        <f t="shared" si="27"/>
        <v>211.21951100103084</v>
      </c>
      <c r="AD259" s="1">
        <f t="shared" si="27"/>
        <v>255.49720218641446</v>
      </c>
      <c r="AE259" s="1">
        <f t="shared" si="27"/>
        <v>220.08923070512222</v>
      </c>
      <c r="AF259" s="1">
        <f t="shared" si="27"/>
        <v>529.94518091120881</v>
      </c>
      <c r="AG259" s="1">
        <f t="shared" si="27"/>
        <v>159.82178900298709</v>
      </c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1:48" x14ac:dyDescent="0.45">
      <c r="A260">
        <v>94.007687733024099</v>
      </c>
      <c r="Q260">
        <v>94.007687733024099</v>
      </c>
      <c r="R260" s="1">
        <f t="shared" si="22"/>
        <v>-182.47051462393955</v>
      </c>
      <c r="S260" s="1">
        <f t="shared" si="23"/>
        <v>141.06199720421375</v>
      </c>
      <c r="T260" s="1">
        <f t="shared" si="28"/>
        <v>60.369020300939781</v>
      </c>
      <c r="U260" s="1">
        <f t="shared" si="27"/>
        <v>185.50770929294143</v>
      </c>
      <c r="V260" s="1">
        <f t="shared" si="27"/>
        <v>111.24077828697511</v>
      </c>
      <c r="W260" s="1">
        <f t="shared" si="27"/>
        <v>59.091236872534438</v>
      </c>
      <c r="X260" s="1">
        <f t="shared" si="27"/>
        <v>673.62166768614588</v>
      </c>
      <c r="Y260" s="1">
        <f t="shared" si="27"/>
        <v>350.33487331005296</v>
      </c>
      <c r="Z260" s="1">
        <f t="shared" si="27"/>
        <v>100.06273078864594</v>
      </c>
      <c r="AA260" s="1">
        <f t="shared" si="27"/>
        <v>209.10527211242376</v>
      </c>
      <c r="AB260" s="1">
        <f t="shared" si="27"/>
        <v>211.21951100103084</v>
      </c>
      <c r="AC260" s="1">
        <f t="shared" si="27"/>
        <v>255.49720218641446</v>
      </c>
      <c r="AD260" s="1">
        <f t="shared" si="27"/>
        <v>220.08923070512222</v>
      </c>
      <c r="AE260" s="1">
        <f t="shared" si="27"/>
        <v>529.94518091120881</v>
      </c>
      <c r="AF260" s="1">
        <f t="shared" si="27"/>
        <v>159.82178900298709</v>
      </c>
      <c r="AG260" s="1">
        <f t="shared" si="27"/>
        <v>282.11514855665365</v>
      </c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1:48" x14ac:dyDescent="0.45">
      <c r="A261">
        <v>141.06199720421375</v>
      </c>
      <c r="Q261">
        <v>141.06199720421375</v>
      </c>
      <c r="R261" s="1">
        <f t="shared" ref="R261:R303" si="29">Q261-$F$30</f>
        <v>-135.41620515274991</v>
      </c>
      <c r="S261" s="1">
        <f t="shared" si="23"/>
        <v>60.369020300939781</v>
      </c>
      <c r="T261" s="1">
        <f t="shared" si="28"/>
        <v>185.50770929294143</v>
      </c>
      <c r="U261" s="1">
        <f t="shared" si="28"/>
        <v>111.24077828697511</v>
      </c>
      <c r="V261" s="1">
        <f t="shared" si="28"/>
        <v>59.091236872534438</v>
      </c>
      <c r="W261" s="1">
        <f t="shared" si="28"/>
        <v>673.62166768614588</v>
      </c>
      <c r="X261" s="1">
        <f t="shared" si="28"/>
        <v>350.33487331005296</v>
      </c>
      <c r="Y261" s="1">
        <f t="shared" si="28"/>
        <v>100.06273078864594</v>
      </c>
      <c r="Z261" s="1">
        <f t="shared" si="28"/>
        <v>209.10527211242376</v>
      </c>
      <c r="AA261" s="1">
        <f t="shared" si="28"/>
        <v>211.21951100103084</v>
      </c>
      <c r="AB261" s="1">
        <f t="shared" si="28"/>
        <v>255.49720218641446</v>
      </c>
      <c r="AC261" s="1">
        <f t="shared" si="28"/>
        <v>220.08923070512222</v>
      </c>
      <c r="AD261" s="1">
        <f t="shared" si="28"/>
        <v>529.94518091120881</v>
      </c>
      <c r="AE261" s="1">
        <f t="shared" si="28"/>
        <v>159.82178900298709</v>
      </c>
      <c r="AF261" s="1">
        <f t="shared" si="28"/>
        <v>282.11514855665365</v>
      </c>
      <c r="AG261" s="1">
        <f t="shared" si="28"/>
        <v>236.85991889522157</v>
      </c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1:48" x14ac:dyDescent="0.45">
      <c r="A262">
        <v>60.369020300939781</v>
      </c>
      <c r="Q262">
        <v>60.369020300939781</v>
      </c>
      <c r="R262" s="1">
        <f t="shared" si="29"/>
        <v>-216.10918205602388</v>
      </c>
      <c r="S262" s="1">
        <f t="shared" ref="S262:S302" si="30">Q263</f>
        <v>185.50770929294143</v>
      </c>
      <c r="T262" s="1">
        <f t="shared" si="28"/>
        <v>111.24077828697511</v>
      </c>
      <c r="U262" s="1">
        <f t="shared" si="28"/>
        <v>59.091236872534438</v>
      </c>
      <c r="V262" s="1">
        <f t="shared" si="28"/>
        <v>673.62166768614588</v>
      </c>
      <c r="W262" s="1">
        <f t="shared" si="28"/>
        <v>350.33487331005296</v>
      </c>
      <c r="X262" s="1">
        <f t="shared" si="28"/>
        <v>100.06273078864594</v>
      </c>
      <c r="Y262" s="1">
        <f t="shared" si="28"/>
        <v>209.10527211242376</v>
      </c>
      <c r="Z262" s="1">
        <f t="shared" si="28"/>
        <v>211.21951100103084</v>
      </c>
      <c r="AA262" s="1">
        <f t="shared" si="28"/>
        <v>255.49720218641446</v>
      </c>
      <c r="AB262" s="1">
        <f t="shared" si="28"/>
        <v>220.08923070512222</v>
      </c>
      <c r="AC262" s="1">
        <f t="shared" si="28"/>
        <v>529.94518091120881</v>
      </c>
      <c r="AD262" s="1">
        <f t="shared" si="28"/>
        <v>159.82178900298709</v>
      </c>
      <c r="AE262" s="1">
        <f t="shared" si="28"/>
        <v>282.11514855665365</v>
      </c>
      <c r="AF262" s="1">
        <f t="shared" si="28"/>
        <v>236.85991889522157</v>
      </c>
      <c r="AG262" s="1">
        <f t="shared" si="28"/>
        <v>92.949012362501037</v>
      </c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1:48" x14ac:dyDescent="0.45">
      <c r="A263">
        <v>185.50770929294143</v>
      </c>
      <c r="Q263">
        <v>185.50770929294143</v>
      </c>
      <c r="R263" s="1">
        <f t="shared" si="29"/>
        <v>-90.970493064022236</v>
      </c>
      <c r="S263" s="1">
        <f t="shared" si="30"/>
        <v>111.24077828697511</v>
      </c>
      <c r="T263" s="1">
        <f t="shared" si="28"/>
        <v>59.091236872534438</v>
      </c>
      <c r="U263" s="1">
        <f t="shared" si="28"/>
        <v>673.62166768614588</v>
      </c>
      <c r="V263" s="1">
        <f t="shared" si="28"/>
        <v>350.33487331005296</v>
      </c>
      <c r="W263" s="1">
        <f t="shared" si="28"/>
        <v>100.06273078864594</v>
      </c>
      <c r="X263" s="1">
        <f t="shared" si="28"/>
        <v>209.10527211242376</v>
      </c>
      <c r="Y263" s="1">
        <f t="shared" si="28"/>
        <v>211.21951100103084</v>
      </c>
      <c r="Z263" s="1">
        <f t="shared" si="28"/>
        <v>255.49720218641446</v>
      </c>
      <c r="AA263" s="1">
        <f t="shared" si="28"/>
        <v>220.08923070512222</v>
      </c>
      <c r="AB263" s="1">
        <f t="shared" si="28"/>
        <v>529.94518091120881</v>
      </c>
      <c r="AC263" s="1">
        <f t="shared" si="28"/>
        <v>159.82178900298709</v>
      </c>
      <c r="AD263" s="1">
        <f t="shared" si="28"/>
        <v>282.11514855665365</v>
      </c>
      <c r="AE263" s="1">
        <f t="shared" si="28"/>
        <v>236.85991889522157</v>
      </c>
      <c r="AF263" s="1">
        <f t="shared" si="28"/>
        <v>92.949012362501037</v>
      </c>
      <c r="AG263" s="1">
        <f t="shared" si="28"/>
        <v>252.2950653435658</v>
      </c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1:48" x14ac:dyDescent="0.45">
      <c r="A264">
        <v>111.24077828697511</v>
      </c>
      <c r="Q264">
        <v>111.24077828697511</v>
      </c>
      <c r="R264" s="1">
        <f t="shared" si="29"/>
        <v>-165.23742406998855</v>
      </c>
      <c r="S264" s="1">
        <f t="shared" si="30"/>
        <v>59.091236872534438</v>
      </c>
      <c r="T264" s="1">
        <f t="shared" si="28"/>
        <v>673.62166768614588</v>
      </c>
      <c r="U264" s="1">
        <f t="shared" si="28"/>
        <v>350.33487331005296</v>
      </c>
      <c r="V264" s="1">
        <f t="shared" si="28"/>
        <v>100.06273078864594</v>
      </c>
      <c r="W264" s="1">
        <f t="shared" si="28"/>
        <v>209.10527211242376</v>
      </c>
      <c r="X264" s="1">
        <f t="shared" si="28"/>
        <v>211.21951100103084</v>
      </c>
      <c r="Y264" s="1">
        <f t="shared" si="28"/>
        <v>255.49720218641446</v>
      </c>
      <c r="Z264" s="1">
        <f t="shared" si="28"/>
        <v>220.08923070512222</v>
      </c>
      <c r="AA264" s="1">
        <f t="shared" si="28"/>
        <v>529.94518091120881</v>
      </c>
      <c r="AB264" s="1">
        <f t="shared" si="28"/>
        <v>159.82178900298709</v>
      </c>
      <c r="AC264" s="1">
        <f t="shared" si="28"/>
        <v>282.11514855665365</v>
      </c>
      <c r="AD264" s="1">
        <f t="shared" si="28"/>
        <v>236.85991889522157</v>
      </c>
      <c r="AE264" s="1">
        <f t="shared" si="28"/>
        <v>92.949012362501037</v>
      </c>
      <c r="AF264" s="1">
        <f t="shared" si="28"/>
        <v>252.2950653435658</v>
      </c>
      <c r="AG264" s="1">
        <f t="shared" si="28"/>
        <v>1010.2267102732116</v>
      </c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1:48" x14ac:dyDescent="0.45">
      <c r="A265">
        <v>59.091236872534438</v>
      </c>
      <c r="Q265">
        <v>59.091236872534438</v>
      </c>
      <c r="R265" s="1">
        <f t="shared" si="29"/>
        <v>-217.38696548442923</v>
      </c>
      <c r="S265" s="1">
        <f t="shared" si="30"/>
        <v>673.62166768614588</v>
      </c>
      <c r="T265" s="1">
        <f t="shared" si="28"/>
        <v>350.33487331005296</v>
      </c>
      <c r="U265" s="1">
        <f t="shared" si="28"/>
        <v>100.06273078864594</v>
      </c>
      <c r="V265" s="1">
        <f t="shared" si="28"/>
        <v>209.10527211242376</v>
      </c>
      <c r="W265" s="1">
        <f t="shared" si="28"/>
        <v>211.21951100103084</v>
      </c>
      <c r="X265" s="1">
        <f t="shared" si="28"/>
        <v>255.49720218641446</v>
      </c>
      <c r="Y265" s="1">
        <f t="shared" si="28"/>
        <v>220.08923070512222</v>
      </c>
      <c r="Z265" s="1">
        <f t="shared" si="28"/>
        <v>529.94518091120881</v>
      </c>
      <c r="AA265" s="1">
        <f t="shared" si="28"/>
        <v>159.82178900298709</v>
      </c>
      <c r="AB265" s="1">
        <f t="shared" si="28"/>
        <v>282.11514855665365</v>
      </c>
      <c r="AC265" s="1">
        <f t="shared" si="28"/>
        <v>236.85991889522157</v>
      </c>
      <c r="AD265" s="1">
        <f t="shared" si="28"/>
        <v>92.949012362501037</v>
      </c>
      <c r="AE265" s="1">
        <f t="shared" si="28"/>
        <v>252.2950653435658</v>
      </c>
      <c r="AF265" s="1">
        <f t="shared" si="28"/>
        <v>1010.2267102732116</v>
      </c>
      <c r="AG265" s="1">
        <f t="shared" si="28"/>
        <v>349.6298490775269</v>
      </c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1:48" x14ac:dyDescent="0.45">
      <c r="A266">
        <v>673.62166768614588</v>
      </c>
      <c r="Q266">
        <v>673.62166768614588</v>
      </c>
      <c r="R266" s="1">
        <f t="shared" si="29"/>
        <v>397.14346532918222</v>
      </c>
      <c r="S266" s="1">
        <f t="shared" si="30"/>
        <v>350.33487331005296</v>
      </c>
      <c r="T266" s="1">
        <f t="shared" si="28"/>
        <v>100.06273078864594</v>
      </c>
      <c r="U266" s="1">
        <f t="shared" si="28"/>
        <v>209.10527211242376</v>
      </c>
      <c r="V266" s="1">
        <f t="shared" si="28"/>
        <v>211.21951100103084</v>
      </c>
      <c r="W266" s="1">
        <f t="shared" si="28"/>
        <v>255.49720218641446</v>
      </c>
      <c r="X266" s="1">
        <f t="shared" si="28"/>
        <v>220.08923070512222</v>
      </c>
      <c r="Y266" s="1">
        <f t="shared" si="28"/>
        <v>529.94518091120881</v>
      </c>
      <c r="Z266" s="1">
        <f t="shared" si="28"/>
        <v>159.82178900298709</v>
      </c>
      <c r="AA266" s="1">
        <f t="shared" si="28"/>
        <v>282.11514855665365</v>
      </c>
      <c r="AB266" s="1">
        <f t="shared" si="28"/>
        <v>236.85991889522157</v>
      </c>
      <c r="AC266" s="1">
        <f t="shared" si="28"/>
        <v>92.949012362501037</v>
      </c>
      <c r="AD266" s="1">
        <f t="shared" si="28"/>
        <v>252.2950653435658</v>
      </c>
      <c r="AE266" s="1">
        <f t="shared" si="28"/>
        <v>1010.2267102732116</v>
      </c>
      <c r="AF266" s="1">
        <f t="shared" si="28"/>
        <v>349.6298490775269</v>
      </c>
      <c r="AG266" s="1">
        <f t="shared" si="28"/>
        <v>124.75920068281673</v>
      </c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1:48" x14ac:dyDescent="0.45">
      <c r="A267">
        <v>350.33487331005296</v>
      </c>
      <c r="Q267">
        <v>350.33487331005296</v>
      </c>
      <c r="R267" s="1">
        <f t="shared" si="29"/>
        <v>73.856670953089292</v>
      </c>
      <c r="S267" s="1">
        <f t="shared" si="30"/>
        <v>100.06273078864594</v>
      </c>
      <c r="T267" s="1">
        <f t="shared" si="28"/>
        <v>209.10527211242376</v>
      </c>
      <c r="U267" s="1">
        <f t="shared" si="28"/>
        <v>211.21951100103084</v>
      </c>
      <c r="V267" s="1">
        <f t="shared" si="28"/>
        <v>255.49720218641446</v>
      </c>
      <c r="W267" s="1">
        <f t="shared" si="28"/>
        <v>220.08923070512222</v>
      </c>
      <c r="X267" s="1">
        <f t="shared" si="28"/>
        <v>529.94518091120881</v>
      </c>
      <c r="Y267" s="1">
        <f t="shared" si="28"/>
        <v>159.82178900298709</v>
      </c>
      <c r="Z267" s="1">
        <f t="shared" si="28"/>
        <v>282.11514855665365</v>
      </c>
      <c r="AA267" s="1">
        <f t="shared" si="28"/>
        <v>236.85991889522157</v>
      </c>
      <c r="AB267" s="1">
        <f t="shared" si="28"/>
        <v>92.949012362501037</v>
      </c>
      <c r="AC267" s="1">
        <f t="shared" si="28"/>
        <v>252.2950653435658</v>
      </c>
      <c r="AD267" s="1">
        <f t="shared" si="28"/>
        <v>1010.2267102732116</v>
      </c>
      <c r="AE267" s="1">
        <f t="shared" si="28"/>
        <v>349.6298490775269</v>
      </c>
      <c r="AF267" s="1">
        <f t="shared" si="28"/>
        <v>124.75920068281673</v>
      </c>
      <c r="AG267" s="1">
        <f t="shared" si="28"/>
        <v>143.95997646814763</v>
      </c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1:48" x14ac:dyDescent="0.45">
      <c r="A268">
        <v>100.06273078864594</v>
      </c>
      <c r="Q268">
        <v>100.06273078864594</v>
      </c>
      <c r="R268" s="1">
        <f t="shared" si="29"/>
        <v>-176.41547156831774</v>
      </c>
      <c r="S268" s="1">
        <f t="shared" si="30"/>
        <v>209.10527211242376</v>
      </c>
      <c r="T268" s="1">
        <f t="shared" si="28"/>
        <v>211.21951100103084</v>
      </c>
      <c r="U268" s="1">
        <f t="shared" si="28"/>
        <v>255.49720218641446</v>
      </c>
      <c r="V268" s="1">
        <f t="shared" si="28"/>
        <v>220.08923070512222</v>
      </c>
      <c r="W268" s="1">
        <f t="shared" si="28"/>
        <v>529.94518091120881</v>
      </c>
      <c r="X268" s="1">
        <f t="shared" si="28"/>
        <v>159.82178900298709</v>
      </c>
      <c r="Y268" s="1">
        <f t="shared" si="28"/>
        <v>282.11514855665365</v>
      </c>
      <c r="Z268" s="1">
        <f t="shared" si="28"/>
        <v>236.85991889522157</v>
      </c>
      <c r="AA268" s="1">
        <f t="shared" si="28"/>
        <v>92.949012362501037</v>
      </c>
      <c r="AB268" s="1">
        <f t="shared" si="28"/>
        <v>252.2950653435658</v>
      </c>
      <c r="AC268" s="1">
        <f t="shared" si="28"/>
        <v>1010.2267102732116</v>
      </c>
      <c r="AD268" s="1">
        <f t="shared" si="28"/>
        <v>349.6298490775269</v>
      </c>
      <c r="AE268" s="1">
        <f t="shared" si="28"/>
        <v>124.75920068281673</v>
      </c>
      <c r="AF268" s="1">
        <f t="shared" si="28"/>
        <v>143.95997646814763</v>
      </c>
      <c r="AG268" s="1">
        <f t="shared" si="28"/>
        <v>452.53607754057475</v>
      </c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1:48" x14ac:dyDescent="0.45">
      <c r="A269">
        <v>209.10527211242376</v>
      </c>
      <c r="Q269">
        <v>209.10527211242376</v>
      </c>
      <c r="R269" s="1">
        <f t="shared" si="29"/>
        <v>-67.372930244539901</v>
      </c>
      <c r="S269" s="1">
        <f t="shared" si="30"/>
        <v>211.21951100103084</v>
      </c>
      <c r="T269" s="1">
        <f t="shared" si="28"/>
        <v>255.49720218641446</v>
      </c>
      <c r="U269" s="1">
        <f t="shared" si="28"/>
        <v>220.08923070512222</v>
      </c>
      <c r="V269" s="1">
        <f t="shared" si="28"/>
        <v>529.94518091120881</v>
      </c>
      <c r="W269" s="1">
        <f t="shared" si="28"/>
        <v>159.82178900298709</v>
      </c>
      <c r="X269" s="1">
        <f t="shared" si="28"/>
        <v>282.11514855665365</v>
      </c>
      <c r="Y269" s="1">
        <f t="shared" si="28"/>
        <v>236.85991889522157</v>
      </c>
      <c r="Z269" s="1">
        <f t="shared" si="28"/>
        <v>92.949012362501037</v>
      </c>
      <c r="AA269" s="1">
        <f t="shared" si="28"/>
        <v>252.2950653435658</v>
      </c>
      <c r="AB269" s="1">
        <f t="shared" si="28"/>
        <v>1010.2267102732116</v>
      </c>
      <c r="AC269" s="1">
        <f t="shared" si="28"/>
        <v>349.6298490775269</v>
      </c>
      <c r="AD269" s="1">
        <f t="shared" si="28"/>
        <v>124.75920068281673</v>
      </c>
      <c r="AE269" s="1">
        <f t="shared" si="28"/>
        <v>143.95997646814763</v>
      </c>
      <c r="AF269" s="1">
        <f t="shared" si="28"/>
        <v>452.53607754057475</v>
      </c>
      <c r="AG269" s="1">
        <f t="shared" si="28"/>
        <v>187.19063384262645</v>
      </c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1:48" x14ac:dyDescent="0.45">
      <c r="A270">
        <v>211.21951100103084</v>
      </c>
      <c r="Q270">
        <v>211.21951100103084</v>
      </c>
      <c r="R270" s="1">
        <f t="shared" si="29"/>
        <v>-65.258691355932825</v>
      </c>
      <c r="S270" s="1">
        <f t="shared" si="30"/>
        <v>255.49720218641446</v>
      </c>
      <c r="T270" s="1">
        <f t="shared" si="28"/>
        <v>220.08923070512222</v>
      </c>
      <c r="U270" s="1">
        <f t="shared" si="28"/>
        <v>529.94518091120881</v>
      </c>
      <c r="V270" s="1">
        <f t="shared" si="28"/>
        <v>159.82178900298709</v>
      </c>
      <c r="W270" s="1">
        <f t="shared" si="28"/>
        <v>282.11514855665365</v>
      </c>
      <c r="X270" s="1">
        <f t="shared" si="28"/>
        <v>236.85991889522157</v>
      </c>
      <c r="Y270" s="1">
        <f t="shared" si="28"/>
        <v>92.949012362501037</v>
      </c>
      <c r="Z270" s="1">
        <f t="shared" si="28"/>
        <v>252.2950653435658</v>
      </c>
      <c r="AA270" s="1">
        <f t="shared" si="28"/>
        <v>1010.2267102732116</v>
      </c>
      <c r="AB270" s="1">
        <f t="shared" si="28"/>
        <v>349.6298490775269</v>
      </c>
      <c r="AC270" s="1">
        <f t="shared" si="28"/>
        <v>124.75920068281673</v>
      </c>
      <c r="AD270" s="1">
        <f t="shared" si="28"/>
        <v>143.95997646814763</v>
      </c>
      <c r="AE270" s="1">
        <f t="shared" si="28"/>
        <v>452.53607754057475</v>
      </c>
      <c r="AF270" s="1">
        <f t="shared" si="28"/>
        <v>187.19063384262645</v>
      </c>
      <c r="AG270" s="1">
        <f t="shared" si="28"/>
        <v>420.38860496268313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1:48" x14ac:dyDescent="0.45">
      <c r="A271">
        <v>255.49720218641446</v>
      </c>
      <c r="Q271">
        <v>255.49720218641446</v>
      </c>
      <c r="R271" s="1">
        <f t="shared" si="29"/>
        <v>-20.981000170549208</v>
      </c>
      <c r="S271" s="1">
        <f t="shared" si="30"/>
        <v>220.08923070512222</v>
      </c>
      <c r="T271" s="1">
        <f t="shared" si="28"/>
        <v>529.94518091120881</v>
      </c>
      <c r="U271" s="1">
        <f t="shared" si="28"/>
        <v>159.82178900298709</v>
      </c>
      <c r="V271" s="1">
        <f t="shared" si="28"/>
        <v>282.11514855665365</v>
      </c>
      <c r="W271" s="1">
        <f t="shared" si="28"/>
        <v>236.85991889522157</v>
      </c>
      <c r="X271" s="1">
        <f t="shared" si="28"/>
        <v>92.949012362501037</v>
      </c>
      <c r="Y271" s="1">
        <f t="shared" si="28"/>
        <v>252.2950653435658</v>
      </c>
      <c r="Z271" s="1">
        <f t="shared" si="28"/>
        <v>1010.2267102732116</v>
      </c>
      <c r="AA271" s="1">
        <f t="shared" si="28"/>
        <v>349.6298490775269</v>
      </c>
      <c r="AB271" s="1">
        <f t="shared" si="28"/>
        <v>124.75920068281673</v>
      </c>
      <c r="AC271" s="1">
        <f t="shared" si="28"/>
        <v>143.95997646814763</v>
      </c>
      <c r="AD271" s="1">
        <f t="shared" si="28"/>
        <v>452.53607754057475</v>
      </c>
      <c r="AE271" s="1">
        <f t="shared" si="28"/>
        <v>187.19063384262645</v>
      </c>
      <c r="AF271" s="1">
        <f t="shared" si="28"/>
        <v>420.38860496268313</v>
      </c>
      <c r="AG271" s="1">
        <f t="shared" si="28"/>
        <v>143.10746768482289</v>
      </c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1:48" x14ac:dyDescent="0.45">
      <c r="A272">
        <v>220.08923070512222</v>
      </c>
      <c r="Q272">
        <v>220.08923070512222</v>
      </c>
      <c r="R272" s="1">
        <f t="shared" si="29"/>
        <v>-56.388971651841445</v>
      </c>
      <c r="S272" s="1">
        <f t="shared" si="30"/>
        <v>529.94518091120881</v>
      </c>
      <c r="T272" s="1">
        <f t="shared" si="28"/>
        <v>159.82178900298709</v>
      </c>
      <c r="U272" s="1">
        <f t="shared" si="28"/>
        <v>282.11514855665365</v>
      </c>
      <c r="V272" s="1">
        <f t="shared" si="28"/>
        <v>236.85991889522157</v>
      </c>
      <c r="W272" s="1">
        <f t="shared" si="28"/>
        <v>92.949012362501037</v>
      </c>
      <c r="X272" s="1">
        <f t="shared" si="28"/>
        <v>252.2950653435658</v>
      </c>
      <c r="Y272" s="1">
        <f t="shared" si="28"/>
        <v>1010.2267102732116</v>
      </c>
      <c r="Z272" s="1">
        <f t="shared" si="28"/>
        <v>349.6298490775269</v>
      </c>
      <c r="AA272" s="1">
        <f t="shared" si="28"/>
        <v>124.75920068281673</v>
      </c>
      <c r="AB272" s="1">
        <f t="shared" si="28"/>
        <v>143.95997646814763</v>
      </c>
      <c r="AC272" s="1">
        <f t="shared" si="28"/>
        <v>452.53607754057475</v>
      </c>
      <c r="AD272" s="1">
        <f t="shared" si="28"/>
        <v>187.19063384262645</v>
      </c>
      <c r="AE272" s="1">
        <f t="shared" si="28"/>
        <v>420.38860496268313</v>
      </c>
      <c r="AF272" s="1">
        <f t="shared" si="28"/>
        <v>143.10746768482289</v>
      </c>
      <c r="AG272" s="1">
        <f t="shared" si="28"/>
        <v>220.56487627858206</v>
      </c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1:48" x14ac:dyDescent="0.45">
      <c r="A273">
        <v>529.94518091120881</v>
      </c>
      <c r="Q273">
        <v>529.94518091120881</v>
      </c>
      <c r="R273" s="1">
        <f t="shared" si="29"/>
        <v>253.46697855424515</v>
      </c>
      <c r="S273" s="1">
        <f t="shared" si="30"/>
        <v>159.82178900298709</v>
      </c>
      <c r="T273" s="1">
        <f t="shared" si="28"/>
        <v>282.11514855665365</v>
      </c>
      <c r="U273" s="1">
        <f t="shared" si="28"/>
        <v>236.85991889522157</v>
      </c>
      <c r="V273" s="1">
        <f t="shared" si="28"/>
        <v>92.949012362501037</v>
      </c>
      <c r="W273" s="1">
        <f t="shared" si="28"/>
        <v>252.2950653435658</v>
      </c>
      <c r="X273" s="1">
        <f t="shared" si="28"/>
        <v>1010.2267102732116</v>
      </c>
      <c r="Y273" s="1">
        <f t="shared" si="28"/>
        <v>349.6298490775269</v>
      </c>
      <c r="Z273" s="1">
        <f t="shared" si="28"/>
        <v>124.75920068281673</v>
      </c>
      <c r="AA273" s="1">
        <f t="shared" si="28"/>
        <v>143.95997646814763</v>
      </c>
      <c r="AB273" s="1">
        <f t="shared" si="28"/>
        <v>452.53607754057475</v>
      </c>
      <c r="AC273" s="1">
        <f t="shared" si="28"/>
        <v>187.19063384262645</v>
      </c>
      <c r="AD273" s="1">
        <f t="shared" si="28"/>
        <v>420.38860496268313</v>
      </c>
      <c r="AE273" s="1">
        <f t="shared" si="28"/>
        <v>143.10746768482289</v>
      </c>
      <c r="AF273" s="1">
        <f t="shared" si="28"/>
        <v>220.56487627858206</v>
      </c>
      <c r="AG273" s="1">
        <f t="shared" si="28"/>
        <v>43.492869574829022</v>
      </c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1:48" x14ac:dyDescent="0.45">
      <c r="A274">
        <v>159.82178900298709</v>
      </c>
      <c r="Q274">
        <v>159.82178900298709</v>
      </c>
      <c r="R274" s="1">
        <f t="shared" si="29"/>
        <v>-116.65641335397657</v>
      </c>
      <c r="S274" s="1">
        <f t="shared" si="30"/>
        <v>282.11514855665365</v>
      </c>
      <c r="T274" s="1">
        <f t="shared" si="28"/>
        <v>236.85991889522157</v>
      </c>
      <c r="U274" s="1">
        <f t="shared" si="28"/>
        <v>92.949012362501037</v>
      </c>
      <c r="V274" s="1">
        <f t="shared" si="28"/>
        <v>252.2950653435658</v>
      </c>
      <c r="W274" s="1">
        <f t="shared" si="28"/>
        <v>1010.2267102732116</v>
      </c>
      <c r="X274" s="1">
        <f t="shared" si="28"/>
        <v>349.6298490775269</v>
      </c>
      <c r="Y274" s="1">
        <f t="shared" si="28"/>
        <v>124.75920068281673</v>
      </c>
      <c r="Z274" s="1">
        <f t="shared" si="28"/>
        <v>143.95997646814763</v>
      </c>
      <c r="AA274" s="1">
        <f t="shared" si="28"/>
        <v>452.53607754057475</v>
      </c>
      <c r="AB274" s="1">
        <f t="shared" si="28"/>
        <v>187.19063384262645</v>
      </c>
      <c r="AC274" s="1">
        <f t="shared" si="28"/>
        <v>420.38860496268313</v>
      </c>
      <c r="AD274" s="1">
        <f t="shared" si="28"/>
        <v>143.10746768482289</v>
      </c>
      <c r="AE274" s="1">
        <f t="shared" si="28"/>
        <v>220.56487627858206</v>
      </c>
      <c r="AF274" s="1">
        <f t="shared" si="28"/>
        <v>43.492869574829022</v>
      </c>
      <c r="AG274" s="1">
        <f t="shared" si="28"/>
        <v>439.30856511191922</v>
      </c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1:48" x14ac:dyDescent="0.45">
      <c r="A275">
        <v>282.11514855665365</v>
      </c>
      <c r="Q275">
        <v>282.11514855665365</v>
      </c>
      <c r="R275" s="1">
        <f t="shared" si="29"/>
        <v>5.6369461996899872</v>
      </c>
      <c r="S275" s="1">
        <f t="shared" si="30"/>
        <v>236.85991889522157</v>
      </c>
      <c r="T275" s="1">
        <f t="shared" si="28"/>
        <v>92.949012362501037</v>
      </c>
      <c r="U275" s="1">
        <f t="shared" si="28"/>
        <v>252.2950653435658</v>
      </c>
      <c r="V275" s="1">
        <f t="shared" si="28"/>
        <v>1010.2267102732116</v>
      </c>
      <c r="W275" s="1">
        <f t="shared" si="28"/>
        <v>349.6298490775269</v>
      </c>
      <c r="X275" s="1">
        <f t="shared" si="28"/>
        <v>124.75920068281673</v>
      </c>
      <c r="Y275" s="1">
        <f t="shared" si="28"/>
        <v>143.95997646814763</v>
      </c>
      <c r="Z275" s="1">
        <f t="shared" si="28"/>
        <v>452.53607754057475</v>
      </c>
      <c r="AA275" s="1">
        <f t="shared" si="28"/>
        <v>187.19063384262645</v>
      </c>
      <c r="AB275" s="1">
        <f t="shared" si="28"/>
        <v>420.38860496268313</v>
      </c>
      <c r="AC275" s="1">
        <f t="shared" si="28"/>
        <v>143.10746768482289</v>
      </c>
      <c r="AD275" s="1">
        <f t="shared" si="28"/>
        <v>220.56487627858206</v>
      </c>
      <c r="AE275" s="1">
        <f t="shared" si="28"/>
        <v>43.492869574829022</v>
      </c>
      <c r="AF275" s="1">
        <f t="shared" si="28"/>
        <v>439.30856511191922</v>
      </c>
      <c r="AG275" s="1">
        <f t="shared" si="28"/>
        <v>80.412472320777923</v>
      </c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 x14ac:dyDescent="0.45">
      <c r="A276">
        <v>236.85991889522157</v>
      </c>
      <c r="Q276">
        <v>236.85991889522157</v>
      </c>
      <c r="R276" s="1">
        <f t="shared" si="29"/>
        <v>-39.618283461742095</v>
      </c>
      <c r="S276" s="1">
        <f t="shared" si="30"/>
        <v>92.949012362501037</v>
      </c>
      <c r="T276" s="1">
        <f t="shared" si="28"/>
        <v>252.2950653435658</v>
      </c>
      <c r="U276" s="1">
        <f t="shared" si="28"/>
        <v>1010.2267102732116</v>
      </c>
      <c r="V276" s="1">
        <f t="shared" si="28"/>
        <v>349.6298490775269</v>
      </c>
      <c r="W276" s="1">
        <f t="shared" si="28"/>
        <v>124.75920068281673</v>
      </c>
      <c r="X276" s="1">
        <f t="shared" si="28"/>
        <v>143.95997646814763</v>
      </c>
      <c r="Y276" s="1">
        <f t="shared" si="28"/>
        <v>452.53607754057475</v>
      </c>
      <c r="Z276" s="1">
        <f t="shared" si="28"/>
        <v>187.19063384262645</v>
      </c>
      <c r="AA276" s="1">
        <f t="shared" si="28"/>
        <v>420.38860496268313</v>
      </c>
      <c r="AB276" s="1">
        <f t="shared" si="28"/>
        <v>143.10746768482289</v>
      </c>
      <c r="AC276" s="1">
        <f t="shared" si="28"/>
        <v>220.56487627858206</v>
      </c>
      <c r="AD276" s="1">
        <f t="shared" si="28"/>
        <v>43.492869574829022</v>
      </c>
      <c r="AE276" s="1">
        <f t="shared" si="28"/>
        <v>439.30856511191922</v>
      </c>
      <c r="AF276" s="1">
        <f t="shared" si="28"/>
        <v>80.412472320777923</v>
      </c>
      <c r="AG276" s="1">
        <f t="shared" si="28"/>
        <v>145.75284822659916</v>
      </c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1:48" x14ac:dyDescent="0.45">
      <c r="A277">
        <v>92.949012362501037</v>
      </c>
      <c r="Q277">
        <v>92.949012362501037</v>
      </c>
      <c r="R277" s="1">
        <f t="shared" si="29"/>
        <v>-183.52918999446263</v>
      </c>
      <c r="S277" s="1">
        <f t="shared" si="30"/>
        <v>252.2950653435658</v>
      </c>
      <c r="T277" s="1">
        <f t="shared" si="28"/>
        <v>1010.2267102732116</v>
      </c>
      <c r="U277" s="1">
        <f t="shared" si="28"/>
        <v>349.6298490775269</v>
      </c>
      <c r="V277" s="1">
        <f t="shared" si="28"/>
        <v>124.75920068281673</v>
      </c>
      <c r="W277" s="1">
        <f t="shared" si="28"/>
        <v>143.95997646814763</v>
      </c>
      <c r="X277" s="1">
        <f t="shared" si="28"/>
        <v>452.53607754057475</v>
      </c>
      <c r="Y277" s="1">
        <f t="shared" si="28"/>
        <v>187.19063384262645</v>
      </c>
      <c r="Z277" s="1">
        <f t="shared" si="28"/>
        <v>420.38860496268313</v>
      </c>
      <c r="AA277" s="1">
        <f t="shared" si="28"/>
        <v>143.10746768482289</v>
      </c>
      <c r="AB277" s="1">
        <f t="shared" si="28"/>
        <v>220.56487627858206</v>
      </c>
      <c r="AC277" s="1">
        <f t="shared" si="28"/>
        <v>43.492869574829022</v>
      </c>
      <c r="AD277" s="1">
        <f t="shared" si="28"/>
        <v>439.30856511191922</v>
      </c>
      <c r="AE277" s="1">
        <f t="shared" si="28"/>
        <v>80.412472320777923</v>
      </c>
      <c r="AF277" s="1">
        <f t="shared" si="28"/>
        <v>145.75284822659916</v>
      </c>
      <c r="AG277" s="1">
        <f t="shared" si="28"/>
        <v>210.52065759664106</v>
      </c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1:48" x14ac:dyDescent="0.45">
      <c r="A278">
        <v>252.2950653435658</v>
      </c>
      <c r="Q278">
        <v>252.2950653435658</v>
      </c>
      <c r="R278" s="1">
        <f t="shared" si="29"/>
        <v>-24.183137013397868</v>
      </c>
      <c r="S278" s="1">
        <f t="shared" si="30"/>
        <v>1010.2267102732116</v>
      </c>
      <c r="T278" s="1">
        <f t="shared" si="28"/>
        <v>349.6298490775269</v>
      </c>
      <c r="U278" s="1">
        <f t="shared" si="28"/>
        <v>124.75920068281673</v>
      </c>
      <c r="V278" s="1">
        <f t="shared" ref="U278:AG293" si="31">U279</f>
        <v>143.95997646814763</v>
      </c>
      <c r="W278" s="1">
        <f t="shared" si="31"/>
        <v>452.53607754057475</v>
      </c>
      <c r="X278" s="1">
        <f t="shared" si="31"/>
        <v>187.19063384262645</v>
      </c>
      <c r="Y278" s="1">
        <f t="shared" si="31"/>
        <v>420.38860496268313</v>
      </c>
      <c r="Z278" s="1">
        <f t="shared" si="31"/>
        <v>143.10746768482289</v>
      </c>
      <c r="AA278" s="1">
        <f t="shared" si="31"/>
        <v>220.56487627858206</v>
      </c>
      <c r="AB278" s="1">
        <f t="shared" si="31"/>
        <v>43.492869574829022</v>
      </c>
      <c r="AC278" s="1">
        <f t="shared" si="31"/>
        <v>439.30856511191922</v>
      </c>
      <c r="AD278" s="1">
        <f t="shared" si="31"/>
        <v>80.412472320777923</v>
      </c>
      <c r="AE278" s="1">
        <f t="shared" si="31"/>
        <v>145.75284822659916</v>
      </c>
      <c r="AF278" s="1">
        <f t="shared" si="31"/>
        <v>210.52065759664106</v>
      </c>
      <c r="AG278" s="1">
        <f t="shared" si="31"/>
        <v>471.91406291221807</v>
      </c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1:48" x14ac:dyDescent="0.45">
      <c r="A279">
        <v>1010.2267102732116</v>
      </c>
      <c r="Q279">
        <v>1010.2267102732116</v>
      </c>
      <c r="R279" s="1">
        <f t="shared" si="29"/>
        <v>733.74850791624795</v>
      </c>
      <c r="S279" s="1">
        <f t="shared" si="30"/>
        <v>349.6298490775269</v>
      </c>
      <c r="T279" s="1">
        <f t="shared" ref="T279:AG302" si="32">S280</f>
        <v>124.75920068281673</v>
      </c>
      <c r="U279" s="1">
        <f t="shared" si="31"/>
        <v>143.95997646814763</v>
      </c>
      <c r="V279" s="1">
        <f t="shared" si="31"/>
        <v>452.53607754057475</v>
      </c>
      <c r="W279" s="1">
        <f t="shared" si="31"/>
        <v>187.19063384262645</v>
      </c>
      <c r="X279" s="1">
        <f t="shared" si="31"/>
        <v>420.38860496268313</v>
      </c>
      <c r="Y279" s="1">
        <f t="shared" si="31"/>
        <v>143.10746768482289</v>
      </c>
      <c r="Z279" s="1">
        <f t="shared" si="31"/>
        <v>220.56487627858206</v>
      </c>
      <c r="AA279" s="1">
        <f t="shared" si="31"/>
        <v>43.492869574829022</v>
      </c>
      <c r="AB279" s="1">
        <f t="shared" si="31"/>
        <v>439.30856511191922</v>
      </c>
      <c r="AC279" s="1">
        <f t="shared" si="31"/>
        <v>80.412472320777923</v>
      </c>
      <c r="AD279" s="1">
        <f t="shared" si="31"/>
        <v>145.75284822659916</v>
      </c>
      <c r="AE279" s="1">
        <f t="shared" si="31"/>
        <v>210.52065759664106</v>
      </c>
      <c r="AF279" s="1">
        <f t="shared" si="31"/>
        <v>471.91406291221807</v>
      </c>
      <c r="AG279" s="1">
        <f t="shared" si="31"/>
        <v>295.43024536564667</v>
      </c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1:48" x14ac:dyDescent="0.45">
      <c r="A280">
        <v>349.6298490775269</v>
      </c>
      <c r="Q280">
        <v>349.6298490775269</v>
      </c>
      <c r="R280" s="1">
        <f t="shared" si="29"/>
        <v>73.151646720563235</v>
      </c>
      <c r="S280" s="1">
        <f t="shared" si="30"/>
        <v>124.75920068281673</v>
      </c>
      <c r="T280" s="1">
        <f t="shared" si="32"/>
        <v>143.95997646814763</v>
      </c>
      <c r="U280" s="1">
        <f t="shared" si="31"/>
        <v>452.53607754057475</v>
      </c>
      <c r="V280" s="1">
        <f t="shared" si="31"/>
        <v>187.19063384262645</v>
      </c>
      <c r="W280" s="1">
        <f t="shared" si="31"/>
        <v>420.38860496268313</v>
      </c>
      <c r="X280" s="1">
        <f t="shared" si="31"/>
        <v>143.10746768482289</v>
      </c>
      <c r="Y280" s="1">
        <f t="shared" si="31"/>
        <v>220.56487627858206</v>
      </c>
      <c r="Z280" s="1">
        <f t="shared" si="31"/>
        <v>43.492869574829022</v>
      </c>
      <c r="AA280" s="1">
        <f t="shared" si="31"/>
        <v>439.30856511191922</v>
      </c>
      <c r="AB280" s="1">
        <f t="shared" si="31"/>
        <v>80.412472320777923</v>
      </c>
      <c r="AC280" s="1">
        <f t="shared" si="31"/>
        <v>145.75284822659916</v>
      </c>
      <c r="AD280" s="1">
        <f t="shared" si="31"/>
        <v>210.52065759664106</v>
      </c>
      <c r="AE280" s="1">
        <f t="shared" si="31"/>
        <v>471.91406291221807</v>
      </c>
      <c r="AF280" s="1">
        <f t="shared" si="31"/>
        <v>295.43024536564667</v>
      </c>
      <c r="AG280" s="1">
        <f t="shared" si="31"/>
        <v>119.94525731901157</v>
      </c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1:48" x14ac:dyDescent="0.45">
      <c r="A281">
        <v>124.75920068281673</v>
      </c>
      <c r="Q281">
        <v>124.75920068281673</v>
      </c>
      <c r="R281" s="1">
        <f t="shared" si="29"/>
        <v>-151.71900167414694</v>
      </c>
      <c r="S281" s="1">
        <f t="shared" si="30"/>
        <v>143.95997646814763</v>
      </c>
      <c r="T281" s="1">
        <f t="shared" si="32"/>
        <v>452.53607754057475</v>
      </c>
      <c r="U281" s="1">
        <f t="shared" si="31"/>
        <v>187.19063384262645</v>
      </c>
      <c r="V281" s="1">
        <f t="shared" si="31"/>
        <v>420.38860496268313</v>
      </c>
      <c r="W281" s="1">
        <f t="shared" si="31"/>
        <v>143.10746768482289</v>
      </c>
      <c r="X281" s="1">
        <f t="shared" si="31"/>
        <v>220.56487627858206</v>
      </c>
      <c r="Y281" s="1">
        <f t="shared" si="31"/>
        <v>43.492869574829022</v>
      </c>
      <c r="Z281" s="1">
        <f t="shared" si="31"/>
        <v>439.30856511191922</v>
      </c>
      <c r="AA281" s="1">
        <f t="shared" si="31"/>
        <v>80.412472320777923</v>
      </c>
      <c r="AB281" s="1">
        <f t="shared" si="31"/>
        <v>145.75284822659916</v>
      </c>
      <c r="AC281" s="1">
        <f t="shared" si="31"/>
        <v>210.52065759664106</v>
      </c>
      <c r="AD281" s="1">
        <f t="shared" si="31"/>
        <v>471.91406291221807</v>
      </c>
      <c r="AE281" s="1">
        <f t="shared" si="31"/>
        <v>295.43024536564667</v>
      </c>
      <c r="AF281" s="1">
        <f t="shared" si="31"/>
        <v>119.94525731901157</v>
      </c>
      <c r="AG281" s="1">
        <f t="shared" si="31"/>
        <v>166.84843737976666</v>
      </c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1:48" x14ac:dyDescent="0.45">
      <c r="A282">
        <v>143.95997646814763</v>
      </c>
      <c r="Q282">
        <v>143.95997646814763</v>
      </c>
      <c r="R282" s="1">
        <f t="shared" si="29"/>
        <v>-132.51822588881603</v>
      </c>
      <c r="S282" s="1">
        <f t="shared" si="30"/>
        <v>452.53607754057475</v>
      </c>
      <c r="T282" s="1">
        <f t="shared" si="32"/>
        <v>187.19063384262645</v>
      </c>
      <c r="U282" s="1">
        <f t="shared" si="31"/>
        <v>420.38860496268313</v>
      </c>
      <c r="V282" s="1">
        <f t="shared" si="31"/>
        <v>143.10746768482289</v>
      </c>
      <c r="W282" s="1">
        <f t="shared" si="31"/>
        <v>220.56487627858206</v>
      </c>
      <c r="X282" s="1">
        <f t="shared" si="31"/>
        <v>43.492869574829022</v>
      </c>
      <c r="Y282" s="1">
        <f t="shared" si="31"/>
        <v>439.30856511191922</v>
      </c>
      <c r="Z282" s="1">
        <f t="shared" si="31"/>
        <v>80.412472320777923</v>
      </c>
      <c r="AA282" s="1">
        <f t="shared" si="31"/>
        <v>145.75284822659916</v>
      </c>
      <c r="AB282" s="1">
        <f t="shared" si="31"/>
        <v>210.52065759664106</v>
      </c>
      <c r="AC282" s="1">
        <f t="shared" si="31"/>
        <v>471.91406291221807</v>
      </c>
      <c r="AD282" s="1">
        <f t="shared" si="31"/>
        <v>295.43024536564667</v>
      </c>
      <c r="AE282" s="1">
        <f t="shared" si="31"/>
        <v>119.94525731901157</v>
      </c>
      <c r="AF282" s="1">
        <f t="shared" si="31"/>
        <v>166.84843737976666</v>
      </c>
      <c r="AG282" s="1">
        <f t="shared" si="31"/>
        <v>776.85745898782318</v>
      </c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1:48" x14ac:dyDescent="0.45">
      <c r="A283">
        <v>452.53607754057475</v>
      </c>
      <c r="Q283">
        <v>452.53607754057475</v>
      </c>
      <c r="R283" s="1">
        <f t="shared" si="29"/>
        <v>176.05787518361109</v>
      </c>
      <c r="S283" s="1">
        <f t="shared" si="30"/>
        <v>187.19063384262645</v>
      </c>
      <c r="T283" s="1">
        <f t="shared" si="32"/>
        <v>420.38860496268313</v>
      </c>
      <c r="U283" s="1">
        <f t="shared" si="31"/>
        <v>143.10746768482289</v>
      </c>
      <c r="V283" s="1">
        <f t="shared" si="31"/>
        <v>220.56487627858206</v>
      </c>
      <c r="W283" s="1">
        <f t="shared" si="31"/>
        <v>43.492869574829022</v>
      </c>
      <c r="X283" s="1">
        <f t="shared" si="31"/>
        <v>439.30856511191922</v>
      </c>
      <c r="Y283" s="1">
        <f t="shared" si="31"/>
        <v>80.412472320777923</v>
      </c>
      <c r="Z283" s="1">
        <f t="shared" si="31"/>
        <v>145.75284822659916</v>
      </c>
      <c r="AA283" s="1">
        <f t="shared" si="31"/>
        <v>210.52065759664106</v>
      </c>
      <c r="AB283" s="1">
        <f t="shared" si="31"/>
        <v>471.91406291221807</v>
      </c>
      <c r="AC283" s="1">
        <f t="shared" si="31"/>
        <v>295.43024536564667</v>
      </c>
      <c r="AD283" s="1">
        <f t="shared" si="31"/>
        <v>119.94525731901157</v>
      </c>
      <c r="AE283" s="1">
        <f t="shared" si="31"/>
        <v>166.84843737976666</v>
      </c>
      <c r="AF283" s="1">
        <f t="shared" si="31"/>
        <v>776.85745898782318</v>
      </c>
      <c r="AG283" s="1">
        <f t="shared" si="31"/>
        <v>268.29252853274653</v>
      </c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 x14ac:dyDescent="0.45">
      <c r="A284">
        <v>187.19063384262645</v>
      </c>
      <c r="Q284">
        <v>187.19063384262645</v>
      </c>
      <c r="R284" s="1">
        <f t="shared" si="29"/>
        <v>-89.28756851433721</v>
      </c>
      <c r="S284" s="1">
        <f t="shared" si="30"/>
        <v>420.38860496268313</v>
      </c>
      <c r="T284" s="1">
        <f t="shared" si="32"/>
        <v>143.10746768482289</v>
      </c>
      <c r="U284" s="1">
        <f t="shared" si="31"/>
        <v>220.56487627858206</v>
      </c>
      <c r="V284" s="1">
        <f t="shared" si="31"/>
        <v>43.492869574829022</v>
      </c>
      <c r="W284" s="1">
        <f t="shared" si="31"/>
        <v>439.30856511191922</v>
      </c>
      <c r="X284" s="1">
        <f t="shared" si="31"/>
        <v>80.412472320777923</v>
      </c>
      <c r="Y284" s="1">
        <f t="shared" si="31"/>
        <v>145.75284822659916</v>
      </c>
      <c r="Z284" s="1">
        <f t="shared" si="31"/>
        <v>210.52065759664106</v>
      </c>
      <c r="AA284" s="1">
        <f t="shared" si="31"/>
        <v>471.91406291221807</v>
      </c>
      <c r="AB284" s="1">
        <f t="shared" si="31"/>
        <v>295.43024536564667</v>
      </c>
      <c r="AC284" s="1">
        <f t="shared" si="31"/>
        <v>119.94525731901157</v>
      </c>
      <c r="AD284" s="1">
        <f t="shared" si="31"/>
        <v>166.84843737976666</v>
      </c>
      <c r="AE284" s="1">
        <f t="shared" si="31"/>
        <v>776.85745898782318</v>
      </c>
      <c r="AF284" s="1">
        <f t="shared" si="31"/>
        <v>268.29252853274653</v>
      </c>
      <c r="AG284" s="1">
        <f t="shared" si="31"/>
        <v>100.90005371730453</v>
      </c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1:48" x14ac:dyDescent="0.45">
      <c r="A285">
        <v>420.38860496268313</v>
      </c>
      <c r="Q285">
        <v>420.38860496268313</v>
      </c>
      <c r="R285" s="1">
        <f t="shared" si="29"/>
        <v>143.91040260571947</v>
      </c>
      <c r="S285" s="1">
        <f t="shared" si="30"/>
        <v>143.10746768482289</v>
      </c>
      <c r="T285" s="1">
        <f t="shared" si="32"/>
        <v>220.56487627858206</v>
      </c>
      <c r="U285" s="1">
        <f t="shared" si="31"/>
        <v>43.492869574829022</v>
      </c>
      <c r="V285" s="1">
        <f t="shared" si="31"/>
        <v>439.30856511191922</v>
      </c>
      <c r="W285" s="1">
        <f t="shared" si="31"/>
        <v>80.412472320777923</v>
      </c>
      <c r="X285" s="1">
        <f t="shared" si="31"/>
        <v>145.75284822659916</v>
      </c>
      <c r="Y285" s="1">
        <f t="shared" si="31"/>
        <v>210.52065759664106</v>
      </c>
      <c r="Z285" s="1">
        <f t="shared" si="31"/>
        <v>471.91406291221807</v>
      </c>
      <c r="AA285" s="1">
        <f t="shared" si="31"/>
        <v>295.43024536564667</v>
      </c>
      <c r="AB285" s="1">
        <f t="shared" si="31"/>
        <v>119.94525731901157</v>
      </c>
      <c r="AC285" s="1">
        <f t="shared" si="31"/>
        <v>166.84843737976666</v>
      </c>
      <c r="AD285" s="1">
        <f t="shared" si="31"/>
        <v>776.85745898782318</v>
      </c>
      <c r="AE285" s="1">
        <f t="shared" si="31"/>
        <v>268.29252853274653</v>
      </c>
      <c r="AF285" s="1">
        <f t="shared" si="31"/>
        <v>100.90005371730453</v>
      </c>
      <c r="AG285" s="1">
        <f t="shared" si="31"/>
        <v>132.23708960717579</v>
      </c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 x14ac:dyDescent="0.45">
      <c r="A286">
        <v>143.10746768482289</v>
      </c>
      <c r="Q286">
        <v>143.10746768482289</v>
      </c>
      <c r="R286" s="1">
        <f t="shared" si="29"/>
        <v>-133.37073467214077</v>
      </c>
      <c r="S286" s="1">
        <f t="shared" si="30"/>
        <v>220.56487627858206</v>
      </c>
      <c r="T286" s="1">
        <f t="shared" si="32"/>
        <v>43.492869574829022</v>
      </c>
      <c r="U286" s="1">
        <f t="shared" si="31"/>
        <v>439.30856511191922</v>
      </c>
      <c r="V286" s="1">
        <f t="shared" si="31"/>
        <v>80.412472320777923</v>
      </c>
      <c r="W286" s="1">
        <f t="shared" si="31"/>
        <v>145.75284822659916</v>
      </c>
      <c r="X286" s="1">
        <f t="shared" si="31"/>
        <v>210.52065759664106</v>
      </c>
      <c r="Y286" s="1">
        <f t="shared" si="31"/>
        <v>471.91406291221807</v>
      </c>
      <c r="Z286" s="1">
        <f t="shared" si="31"/>
        <v>295.43024536564667</v>
      </c>
      <c r="AA286" s="1">
        <f t="shared" si="31"/>
        <v>119.94525731901157</v>
      </c>
      <c r="AB286" s="1">
        <f t="shared" si="31"/>
        <v>166.84843737976666</v>
      </c>
      <c r="AC286" s="1">
        <f t="shared" si="31"/>
        <v>776.85745898782318</v>
      </c>
      <c r="AD286" s="1">
        <f t="shared" si="31"/>
        <v>268.29252853274653</v>
      </c>
      <c r="AE286" s="1">
        <f t="shared" si="31"/>
        <v>100.90005371730453</v>
      </c>
      <c r="AF286" s="1">
        <f t="shared" si="31"/>
        <v>132.23708960717579</v>
      </c>
      <c r="AG286" s="1">
        <f t="shared" si="31"/>
        <v>355.01246274237479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1:48" x14ac:dyDescent="0.45">
      <c r="A287">
        <v>220.56487627858206</v>
      </c>
      <c r="Q287">
        <v>220.56487627858206</v>
      </c>
      <c r="R287" s="1">
        <f t="shared" si="29"/>
        <v>-55.913326078381601</v>
      </c>
      <c r="S287" s="1">
        <f t="shared" si="30"/>
        <v>43.492869574829022</v>
      </c>
      <c r="T287" s="1">
        <f t="shared" si="32"/>
        <v>439.30856511191922</v>
      </c>
      <c r="U287" s="1">
        <f t="shared" si="31"/>
        <v>80.412472320777923</v>
      </c>
      <c r="V287" s="1">
        <f t="shared" si="31"/>
        <v>145.75284822659916</v>
      </c>
      <c r="W287" s="1">
        <f t="shared" si="31"/>
        <v>210.52065759664106</v>
      </c>
      <c r="X287" s="1">
        <f t="shared" si="31"/>
        <v>471.91406291221807</v>
      </c>
      <c r="Y287" s="1">
        <f t="shared" si="31"/>
        <v>295.43024536564667</v>
      </c>
      <c r="Z287" s="1">
        <f t="shared" si="31"/>
        <v>119.94525731901157</v>
      </c>
      <c r="AA287" s="1">
        <f t="shared" si="31"/>
        <v>166.84843737976666</v>
      </c>
      <c r="AB287" s="1">
        <f t="shared" si="31"/>
        <v>776.85745898782318</v>
      </c>
      <c r="AC287" s="1">
        <f t="shared" si="31"/>
        <v>268.29252853274653</v>
      </c>
      <c r="AD287" s="1">
        <f t="shared" si="31"/>
        <v>100.90005371730453</v>
      </c>
      <c r="AE287" s="1">
        <f t="shared" si="31"/>
        <v>132.23708960717579</v>
      </c>
      <c r="AF287" s="1">
        <f t="shared" si="31"/>
        <v>355.01246274237479</v>
      </c>
      <c r="AG287" s="1">
        <f t="shared" si="31"/>
        <v>287.47470278036786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1:48" x14ac:dyDescent="0.45">
      <c r="A288">
        <v>43.492869574829022</v>
      </c>
      <c r="Q288">
        <v>43.492869574829022</v>
      </c>
      <c r="R288" s="1">
        <f t="shared" si="29"/>
        <v>-232.98533278213463</v>
      </c>
      <c r="S288" s="1">
        <f t="shared" si="30"/>
        <v>439.30856511191922</v>
      </c>
      <c r="T288" s="1">
        <f t="shared" si="32"/>
        <v>80.412472320777923</v>
      </c>
      <c r="U288" s="1">
        <f t="shared" si="31"/>
        <v>145.75284822659916</v>
      </c>
      <c r="V288" s="1">
        <f t="shared" si="31"/>
        <v>210.52065759664106</v>
      </c>
      <c r="W288" s="1">
        <f t="shared" si="31"/>
        <v>471.91406291221807</v>
      </c>
      <c r="X288" s="1">
        <f t="shared" si="31"/>
        <v>295.43024536564667</v>
      </c>
      <c r="Y288" s="1">
        <f t="shared" si="31"/>
        <v>119.94525731901157</v>
      </c>
      <c r="Z288" s="1">
        <f t="shared" si="31"/>
        <v>166.84843737976666</v>
      </c>
      <c r="AA288" s="1">
        <f t="shared" si="31"/>
        <v>776.85745898782318</v>
      </c>
      <c r="AB288" s="1">
        <f t="shared" si="31"/>
        <v>268.29252853274653</v>
      </c>
      <c r="AC288" s="1">
        <f t="shared" si="31"/>
        <v>100.90005371730453</v>
      </c>
      <c r="AD288" s="1">
        <f t="shared" si="31"/>
        <v>132.23708960717579</v>
      </c>
      <c r="AE288" s="1">
        <f t="shared" si="31"/>
        <v>355.01246274237479</v>
      </c>
      <c r="AF288" s="1">
        <f t="shared" si="31"/>
        <v>287.47470278036786</v>
      </c>
      <c r="AG288" s="1">
        <f t="shared" si="31"/>
        <v>218.61940586082983</v>
      </c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1:48" x14ac:dyDescent="0.45">
      <c r="A289">
        <v>439.30856511191922</v>
      </c>
      <c r="Q289">
        <v>439.30856511191922</v>
      </c>
      <c r="R289" s="1">
        <f t="shared" si="29"/>
        <v>162.83036275495556</v>
      </c>
      <c r="S289" s="1">
        <f t="shared" si="30"/>
        <v>80.412472320777923</v>
      </c>
      <c r="T289" s="1">
        <f t="shared" si="32"/>
        <v>145.75284822659916</v>
      </c>
      <c r="U289" s="1">
        <f t="shared" si="31"/>
        <v>210.52065759664106</v>
      </c>
      <c r="V289" s="1">
        <f t="shared" si="31"/>
        <v>471.91406291221807</v>
      </c>
      <c r="W289" s="1">
        <f t="shared" si="31"/>
        <v>295.43024536564667</v>
      </c>
      <c r="X289" s="1">
        <f t="shared" si="31"/>
        <v>119.94525731901157</v>
      </c>
      <c r="Y289" s="1">
        <f t="shared" si="31"/>
        <v>166.84843737976666</v>
      </c>
      <c r="Z289" s="1">
        <f t="shared" si="31"/>
        <v>776.85745898782318</v>
      </c>
      <c r="AA289" s="1">
        <f t="shared" si="31"/>
        <v>268.29252853274653</v>
      </c>
      <c r="AB289" s="1">
        <f t="shared" si="31"/>
        <v>100.90005371730453</v>
      </c>
      <c r="AC289" s="1">
        <f t="shared" si="31"/>
        <v>132.23708960717579</v>
      </c>
      <c r="AD289" s="1">
        <f t="shared" si="31"/>
        <v>355.01246274237479</v>
      </c>
      <c r="AE289" s="1">
        <f t="shared" si="31"/>
        <v>287.47470278036786</v>
      </c>
      <c r="AF289" s="1">
        <f t="shared" si="31"/>
        <v>218.61940586082983</v>
      </c>
      <c r="AG289" s="1">
        <f t="shared" si="31"/>
        <v>209.5288109206173</v>
      </c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1:48" x14ac:dyDescent="0.45">
      <c r="A290">
        <v>80.412472320777923</v>
      </c>
      <c r="Q290">
        <v>80.412472320777923</v>
      </c>
      <c r="R290" s="1">
        <f t="shared" si="29"/>
        <v>-196.06573003618576</v>
      </c>
      <c r="S290" s="1">
        <f t="shared" si="30"/>
        <v>145.75284822659916</v>
      </c>
      <c r="T290" s="1">
        <f t="shared" si="32"/>
        <v>210.52065759664106</v>
      </c>
      <c r="U290" s="1">
        <f t="shared" si="31"/>
        <v>471.91406291221807</v>
      </c>
      <c r="V290" s="1">
        <f t="shared" si="31"/>
        <v>295.43024536564667</v>
      </c>
      <c r="W290" s="1">
        <f t="shared" si="31"/>
        <v>119.94525731901157</v>
      </c>
      <c r="X290" s="1">
        <f t="shared" si="31"/>
        <v>166.84843737976666</v>
      </c>
      <c r="Y290" s="1">
        <f t="shared" si="31"/>
        <v>776.85745898782318</v>
      </c>
      <c r="Z290" s="1">
        <f t="shared" si="31"/>
        <v>268.29252853274653</v>
      </c>
      <c r="AA290" s="1">
        <f t="shared" si="31"/>
        <v>100.90005371730453</v>
      </c>
      <c r="AB290" s="1">
        <f t="shared" si="31"/>
        <v>132.23708960717579</v>
      </c>
      <c r="AC290" s="1">
        <f t="shared" si="31"/>
        <v>355.01246274237479</v>
      </c>
      <c r="AD290" s="1">
        <f t="shared" si="31"/>
        <v>287.47470278036786</v>
      </c>
      <c r="AE290" s="1">
        <f t="shared" si="31"/>
        <v>218.61940586082983</v>
      </c>
      <c r="AF290" s="1">
        <f t="shared" si="31"/>
        <v>209.5288109206173</v>
      </c>
      <c r="AG290" s="1">
        <f t="shared" si="31"/>
        <v>234.92815281748139</v>
      </c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1:48" x14ac:dyDescent="0.45">
      <c r="A291">
        <v>145.75284822659916</v>
      </c>
      <c r="Q291">
        <v>145.75284822659916</v>
      </c>
      <c r="R291" s="1">
        <f t="shared" si="29"/>
        <v>-130.72535413036451</v>
      </c>
      <c r="S291" s="1">
        <f t="shared" si="30"/>
        <v>210.52065759664106</v>
      </c>
      <c r="T291" s="1">
        <f t="shared" si="32"/>
        <v>471.91406291221807</v>
      </c>
      <c r="U291" s="1">
        <f t="shared" si="31"/>
        <v>295.43024536564667</v>
      </c>
      <c r="V291" s="1">
        <f t="shared" si="31"/>
        <v>119.94525731901157</v>
      </c>
      <c r="W291" s="1">
        <f t="shared" si="31"/>
        <v>166.84843737976666</v>
      </c>
      <c r="X291" s="1">
        <f t="shared" si="31"/>
        <v>776.85745898782318</v>
      </c>
      <c r="Y291" s="1">
        <f t="shared" si="31"/>
        <v>268.29252853274653</v>
      </c>
      <c r="Z291" s="1">
        <f t="shared" si="31"/>
        <v>100.90005371730453</v>
      </c>
      <c r="AA291" s="1">
        <f t="shared" si="31"/>
        <v>132.23708960717579</v>
      </c>
      <c r="AB291" s="1">
        <f t="shared" si="31"/>
        <v>355.01246274237479</v>
      </c>
      <c r="AC291" s="1">
        <f t="shared" si="31"/>
        <v>287.47470278036786</v>
      </c>
      <c r="AD291" s="1">
        <f t="shared" si="31"/>
        <v>218.61940586082983</v>
      </c>
      <c r="AE291" s="1">
        <f t="shared" si="31"/>
        <v>209.5288109206173</v>
      </c>
      <c r="AF291" s="1">
        <f t="shared" si="31"/>
        <v>234.92815281748139</v>
      </c>
      <c r="AG291" s="1">
        <f t="shared" si="31"/>
        <v>70.260555548940616</v>
      </c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1:48" x14ac:dyDescent="0.45">
      <c r="A292">
        <v>210.52065759664106</v>
      </c>
      <c r="Q292">
        <v>210.52065759664106</v>
      </c>
      <c r="R292" s="1">
        <f t="shared" si="29"/>
        <v>-65.957544760322605</v>
      </c>
      <c r="S292" s="1">
        <f t="shared" si="30"/>
        <v>471.91406291221807</v>
      </c>
      <c r="T292" s="1">
        <f t="shared" si="32"/>
        <v>295.43024536564667</v>
      </c>
      <c r="U292" s="1">
        <f t="shared" si="31"/>
        <v>119.94525731901157</v>
      </c>
      <c r="V292" s="1">
        <f t="shared" si="31"/>
        <v>166.84843737976666</v>
      </c>
      <c r="W292" s="1">
        <f t="shared" si="31"/>
        <v>776.85745898782318</v>
      </c>
      <c r="X292" s="1">
        <f t="shared" si="31"/>
        <v>268.29252853274653</v>
      </c>
      <c r="Y292" s="1">
        <f t="shared" si="31"/>
        <v>100.90005371730453</v>
      </c>
      <c r="Z292" s="1">
        <f t="shared" si="31"/>
        <v>132.23708960717579</v>
      </c>
      <c r="AA292" s="1">
        <f t="shared" si="31"/>
        <v>355.01246274237479</v>
      </c>
      <c r="AB292" s="1">
        <f t="shared" si="31"/>
        <v>287.47470278036786</v>
      </c>
      <c r="AC292" s="1">
        <f t="shared" si="31"/>
        <v>218.61940586082983</v>
      </c>
      <c r="AD292" s="1">
        <f t="shared" si="31"/>
        <v>209.5288109206173</v>
      </c>
      <c r="AE292" s="1">
        <f t="shared" si="31"/>
        <v>234.92815281748139</v>
      </c>
      <c r="AF292" s="1">
        <f t="shared" si="31"/>
        <v>70.260555548940616</v>
      </c>
      <c r="AG292" s="1">
        <f t="shared" si="31"/>
        <v>369.86281739777667</v>
      </c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1:48" x14ac:dyDescent="0.45">
      <c r="A293">
        <v>471.91406291221807</v>
      </c>
      <c r="Q293">
        <v>471.91406291221807</v>
      </c>
      <c r="R293" s="1">
        <f t="shared" si="29"/>
        <v>195.43586055525441</v>
      </c>
      <c r="S293" s="1">
        <f t="shared" si="30"/>
        <v>295.43024536564667</v>
      </c>
      <c r="T293" s="1">
        <f t="shared" si="32"/>
        <v>119.94525731901157</v>
      </c>
      <c r="U293" s="1">
        <f t="shared" si="31"/>
        <v>166.84843737976666</v>
      </c>
      <c r="V293" s="1">
        <f t="shared" si="31"/>
        <v>776.85745898782318</v>
      </c>
      <c r="W293" s="1">
        <f t="shared" si="31"/>
        <v>268.29252853274653</v>
      </c>
      <c r="X293" s="1">
        <f t="shared" si="31"/>
        <v>100.90005371730453</v>
      </c>
      <c r="Y293" s="1">
        <f t="shared" si="31"/>
        <v>132.23708960717579</v>
      </c>
      <c r="Z293" s="1">
        <f t="shared" si="31"/>
        <v>355.01246274237479</v>
      </c>
      <c r="AA293" s="1">
        <f t="shared" si="31"/>
        <v>287.47470278036786</v>
      </c>
      <c r="AB293" s="1">
        <f t="shared" si="31"/>
        <v>218.61940586082983</v>
      </c>
      <c r="AC293" s="1">
        <f t="shared" si="31"/>
        <v>209.5288109206173</v>
      </c>
      <c r="AD293" s="1">
        <f t="shared" si="31"/>
        <v>234.92815281748139</v>
      </c>
      <c r="AE293" s="1">
        <f t="shared" si="31"/>
        <v>70.260555548940616</v>
      </c>
      <c r="AF293" s="1">
        <f t="shared" si="31"/>
        <v>369.86281739777667</v>
      </c>
      <c r="AG293" s="1">
        <f t="shared" si="31"/>
        <v>332.22945392144737</v>
      </c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1:48" x14ac:dyDescent="0.45">
      <c r="A294">
        <v>295.43024536564667</v>
      </c>
      <c r="Q294">
        <v>295.43024536564667</v>
      </c>
      <c r="R294" s="1">
        <f t="shared" si="29"/>
        <v>18.952043008683006</v>
      </c>
      <c r="S294" s="1">
        <f t="shared" si="30"/>
        <v>119.94525731901157</v>
      </c>
      <c r="T294" s="1">
        <f t="shared" si="32"/>
        <v>166.84843737976666</v>
      </c>
      <c r="U294" s="1">
        <f t="shared" si="32"/>
        <v>776.85745898782318</v>
      </c>
      <c r="V294" s="1">
        <f t="shared" si="32"/>
        <v>268.29252853274653</v>
      </c>
      <c r="W294" s="1">
        <f t="shared" si="32"/>
        <v>100.90005371730453</v>
      </c>
      <c r="X294" s="1">
        <f t="shared" si="32"/>
        <v>132.23708960717579</v>
      </c>
      <c r="Y294" s="1">
        <f t="shared" si="32"/>
        <v>355.01246274237479</v>
      </c>
      <c r="Z294" s="1">
        <f t="shared" si="32"/>
        <v>287.47470278036786</v>
      </c>
      <c r="AA294" s="1">
        <f t="shared" si="32"/>
        <v>218.61940586082983</v>
      </c>
      <c r="AB294" s="1">
        <f t="shared" si="32"/>
        <v>209.5288109206173</v>
      </c>
      <c r="AC294" s="1">
        <f t="shared" si="32"/>
        <v>234.92815281748139</v>
      </c>
      <c r="AD294" s="1">
        <f t="shared" si="32"/>
        <v>70.260555548940616</v>
      </c>
      <c r="AE294" s="1">
        <f t="shared" si="32"/>
        <v>369.86281739777667</v>
      </c>
      <c r="AF294" s="1">
        <f t="shared" si="32"/>
        <v>332.22945392144737</v>
      </c>
      <c r="AG294" s="1">
        <f t="shared" si="32"/>
        <v>130.66504585089956</v>
      </c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1:48" x14ac:dyDescent="0.45">
      <c r="A295" s="1">
        <v>119.94525731901157</v>
      </c>
      <c r="Q295" s="1">
        <v>119.94525731901157</v>
      </c>
      <c r="R295" s="1">
        <f t="shared" si="29"/>
        <v>-156.53294503795209</v>
      </c>
      <c r="S295" s="1">
        <f t="shared" si="30"/>
        <v>166.84843737976666</v>
      </c>
      <c r="T295" s="1">
        <f t="shared" si="32"/>
        <v>776.85745898782318</v>
      </c>
      <c r="U295" s="1">
        <f t="shared" si="32"/>
        <v>268.29252853274653</v>
      </c>
      <c r="V295" s="1">
        <f t="shared" si="32"/>
        <v>100.90005371730453</v>
      </c>
      <c r="W295" s="1">
        <f t="shared" si="32"/>
        <v>132.23708960717579</v>
      </c>
      <c r="X295" s="1">
        <f t="shared" si="32"/>
        <v>355.01246274237479</v>
      </c>
      <c r="Y295" s="1">
        <f t="shared" si="32"/>
        <v>287.47470278036786</v>
      </c>
      <c r="Z295" s="1">
        <f t="shared" si="32"/>
        <v>218.61940586082983</v>
      </c>
      <c r="AA295" s="1">
        <f t="shared" si="32"/>
        <v>209.5288109206173</v>
      </c>
      <c r="AB295" s="1">
        <f t="shared" si="32"/>
        <v>234.92815281748139</v>
      </c>
      <c r="AC295" s="1">
        <f t="shared" si="32"/>
        <v>70.260555548940616</v>
      </c>
      <c r="AD295" s="1">
        <f t="shared" si="32"/>
        <v>369.86281739777667</v>
      </c>
      <c r="AE295" s="1">
        <f t="shared" si="32"/>
        <v>332.22945392144737</v>
      </c>
      <c r="AF295" s="1">
        <f t="shared" si="32"/>
        <v>130.66504585089956</v>
      </c>
      <c r="AG295" s="1">
        <f t="shared" si="32"/>
        <v>107.26249292252238</v>
      </c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1:48" x14ac:dyDescent="0.45">
      <c r="A296" s="1">
        <v>166.84843737976666</v>
      </c>
      <c r="Q296" s="1">
        <v>166.84843737976666</v>
      </c>
      <c r="R296" s="1">
        <f t="shared" si="29"/>
        <v>-109.629764977197</v>
      </c>
      <c r="S296" s="1">
        <f t="shared" si="30"/>
        <v>776.85745898782318</v>
      </c>
      <c r="T296" s="1">
        <f t="shared" si="32"/>
        <v>268.29252853274653</v>
      </c>
      <c r="U296" s="1">
        <f t="shared" si="32"/>
        <v>100.90005371730453</v>
      </c>
      <c r="V296" s="1">
        <f t="shared" si="32"/>
        <v>132.23708960717579</v>
      </c>
      <c r="W296" s="1">
        <f t="shared" si="32"/>
        <v>355.01246274237479</v>
      </c>
      <c r="X296" s="1">
        <f t="shared" si="32"/>
        <v>287.47470278036786</v>
      </c>
      <c r="Y296" s="1">
        <f t="shared" si="32"/>
        <v>218.61940586082983</v>
      </c>
      <c r="Z296" s="1">
        <f t="shared" si="32"/>
        <v>209.5288109206173</v>
      </c>
      <c r="AA296" s="1">
        <f t="shared" si="32"/>
        <v>234.92815281748139</v>
      </c>
      <c r="AB296" s="1">
        <f t="shared" si="32"/>
        <v>70.260555548940616</v>
      </c>
      <c r="AC296" s="1">
        <f t="shared" si="32"/>
        <v>369.86281739777667</v>
      </c>
      <c r="AD296" s="1">
        <f t="shared" si="32"/>
        <v>332.22945392144737</v>
      </c>
      <c r="AE296" s="1">
        <f t="shared" si="32"/>
        <v>130.66504585089956</v>
      </c>
      <c r="AF296" s="1">
        <f t="shared" si="32"/>
        <v>107.26249292252238</v>
      </c>
      <c r="AG296" s="1">
        <f t="shared" si="32"/>
        <v>304.89436045962498</v>
      </c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1:48" x14ac:dyDescent="0.45">
      <c r="A297" s="1">
        <v>776.85745898782318</v>
      </c>
      <c r="Q297" s="1">
        <v>776.85745898782318</v>
      </c>
      <c r="R297" s="1">
        <f t="shared" si="29"/>
        <v>500.37925663085952</v>
      </c>
      <c r="S297" s="1">
        <f t="shared" si="30"/>
        <v>268.29252853274653</v>
      </c>
      <c r="T297" s="1">
        <f t="shared" si="32"/>
        <v>100.90005371730453</v>
      </c>
      <c r="U297" s="1">
        <f t="shared" si="32"/>
        <v>132.23708960717579</v>
      </c>
      <c r="V297" s="1">
        <f t="shared" si="32"/>
        <v>355.01246274237479</v>
      </c>
      <c r="W297" s="1">
        <f t="shared" si="32"/>
        <v>287.47470278036786</v>
      </c>
      <c r="X297" s="1">
        <f t="shared" si="32"/>
        <v>218.61940586082983</v>
      </c>
      <c r="Y297" s="1">
        <f t="shared" si="32"/>
        <v>209.5288109206173</v>
      </c>
      <c r="Z297" s="1">
        <f t="shared" si="32"/>
        <v>234.92815281748139</v>
      </c>
      <c r="AA297" s="1">
        <f t="shared" si="32"/>
        <v>70.260555548940616</v>
      </c>
      <c r="AB297" s="1">
        <f t="shared" si="32"/>
        <v>369.86281739777667</v>
      </c>
      <c r="AC297" s="1">
        <f t="shared" si="32"/>
        <v>332.22945392144737</v>
      </c>
      <c r="AD297" s="1">
        <f t="shared" si="32"/>
        <v>130.66504585089956</v>
      </c>
      <c r="AE297" s="1">
        <f t="shared" si="32"/>
        <v>107.26249292252238</v>
      </c>
      <c r="AF297" s="1">
        <f t="shared" si="32"/>
        <v>304.89436045962498</v>
      </c>
      <c r="AG297" s="1">
        <f t="shared" si="32"/>
        <v>220.47323459778454</v>
      </c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1:48" x14ac:dyDescent="0.45">
      <c r="A298" s="1">
        <v>268.29252853274653</v>
      </c>
      <c r="Q298" s="1">
        <v>268.29252853274653</v>
      </c>
      <c r="R298" s="1">
        <f t="shared" si="29"/>
        <v>-8.1856738242171332</v>
      </c>
      <c r="S298" s="1">
        <f t="shared" si="30"/>
        <v>100.90005371730453</v>
      </c>
      <c r="T298" s="1">
        <f t="shared" si="32"/>
        <v>132.23708960717579</v>
      </c>
      <c r="U298" s="1">
        <f t="shared" si="32"/>
        <v>355.01246274237479</v>
      </c>
      <c r="V298" s="1">
        <f t="shared" si="32"/>
        <v>287.47470278036786</v>
      </c>
      <c r="W298" s="1">
        <f t="shared" si="32"/>
        <v>218.61940586082983</v>
      </c>
      <c r="X298" s="1">
        <f t="shared" si="32"/>
        <v>209.5288109206173</v>
      </c>
      <c r="Y298" s="1">
        <f t="shared" si="32"/>
        <v>234.92815281748139</v>
      </c>
      <c r="Z298" s="1">
        <f t="shared" si="32"/>
        <v>70.260555548940616</v>
      </c>
      <c r="AA298" s="1">
        <f t="shared" si="32"/>
        <v>369.86281739777667</v>
      </c>
      <c r="AB298" s="1">
        <f t="shared" si="32"/>
        <v>332.22945392144737</v>
      </c>
      <c r="AC298" s="1">
        <f t="shared" si="32"/>
        <v>130.66504585089956</v>
      </c>
      <c r="AD298" s="1">
        <f t="shared" si="32"/>
        <v>107.26249292252238</v>
      </c>
      <c r="AE298" s="1">
        <f t="shared" si="32"/>
        <v>304.89436045962498</v>
      </c>
      <c r="AF298" s="1">
        <f t="shared" si="32"/>
        <v>220.47323459778454</v>
      </c>
      <c r="AG298" s="1">
        <f t="shared" si="32"/>
        <v>681.11685365201038</v>
      </c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1:48" x14ac:dyDescent="0.45">
      <c r="A299" s="1">
        <v>100.90005371730453</v>
      </c>
      <c r="Q299" s="1">
        <v>100.90005371730453</v>
      </c>
      <c r="R299" s="1">
        <f t="shared" si="29"/>
        <v>-175.57814863965913</v>
      </c>
      <c r="S299" s="1">
        <f t="shared" si="30"/>
        <v>132.23708960717579</v>
      </c>
      <c r="T299" s="1">
        <f t="shared" si="32"/>
        <v>355.01246274237479</v>
      </c>
      <c r="U299" s="1">
        <f t="shared" si="32"/>
        <v>287.47470278036786</v>
      </c>
      <c r="V299" s="1">
        <f t="shared" si="32"/>
        <v>218.61940586082983</v>
      </c>
      <c r="W299" s="1">
        <f t="shared" si="32"/>
        <v>209.5288109206173</v>
      </c>
      <c r="X299" s="1">
        <f t="shared" si="32"/>
        <v>234.92815281748139</v>
      </c>
      <c r="Y299" s="1">
        <f t="shared" si="32"/>
        <v>70.260555548940616</v>
      </c>
      <c r="Z299" s="1">
        <f t="shared" si="32"/>
        <v>369.86281739777667</v>
      </c>
      <c r="AA299" s="1">
        <f t="shared" si="32"/>
        <v>332.22945392144737</v>
      </c>
      <c r="AB299" s="1">
        <f t="shared" si="32"/>
        <v>130.66504585089956</v>
      </c>
      <c r="AC299" s="1">
        <f t="shared" si="32"/>
        <v>107.26249292252238</v>
      </c>
      <c r="AD299" s="1">
        <f t="shared" si="32"/>
        <v>304.89436045962498</v>
      </c>
      <c r="AE299" s="1">
        <f t="shared" si="32"/>
        <v>220.47323459778454</v>
      </c>
      <c r="AF299" s="1">
        <f t="shared" si="32"/>
        <v>681.11685365201038</v>
      </c>
      <c r="AG299" s="1">
        <f t="shared" si="32"/>
        <v>254.72990256535178</v>
      </c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 x14ac:dyDescent="0.45">
      <c r="A300" s="1">
        <v>132.23708960717579</v>
      </c>
      <c r="Q300" s="1">
        <v>132.23708960717579</v>
      </c>
      <c r="R300" s="1">
        <f t="shared" si="29"/>
        <v>-144.24111274978787</v>
      </c>
      <c r="S300" s="1">
        <f t="shared" si="30"/>
        <v>355.01246274237479</v>
      </c>
      <c r="T300" s="1">
        <f t="shared" si="32"/>
        <v>287.47470278036786</v>
      </c>
      <c r="U300" s="1">
        <f t="shared" si="32"/>
        <v>218.61940586082983</v>
      </c>
      <c r="V300" s="1">
        <f t="shared" si="32"/>
        <v>209.5288109206173</v>
      </c>
      <c r="W300" s="1">
        <f t="shared" si="32"/>
        <v>234.92815281748139</v>
      </c>
      <c r="X300" s="1">
        <f t="shared" si="32"/>
        <v>70.260555548940616</v>
      </c>
      <c r="Y300" s="1">
        <f t="shared" si="32"/>
        <v>369.86281739777667</v>
      </c>
      <c r="Z300" s="1">
        <f t="shared" si="32"/>
        <v>332.22945392144737</v>
      </c>
      <c r="AA300" s="1">
        <f t="shared" si="32"/>
        <v>130.66504585089956</v>
      </c>
      <c r="AB300" s="1">
        <f t="shared" si="32"/>
        <v>107.26249292252238</v>
      </c>
      <c r="AC300" s="1">
        <f t="shared" si="32"/>
        <v>304.89436045962498</v>
      </c>
      <c r="AD300" s="1">
        <f t="shared" si="32"/>
        <v>220.47323459778454</v>
      </c>
      <c r="AE300" s="1">
        <f t="shared" si="32"/>
        <v>681.11685365201038</v>
      </c>
      <c r="AF300" s="1">
        <f t="shared" si="32"/>
        <v>254.72990256535178</v>
      </c>
      <c r="AG300" s="1">
        <f t="shared" si="32"/>
        <v>235.08798478663388</v>
      </c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 x14ac:dyDescent="0.45">
      <c r="A301" s="1">
        <v>355.01246274237479</v>
      </c>
      <c r="Q301" s="1">
        <v>355.01246274237479</v>
      </c>
      <c r="R301" s="1">
        <f t="shared" si="29"/>
        <v>78.53426038541113</v>
      </c>
      <c r="S301" s="1">
        <f t="shared" si="30"/>
        <v>287.47470278036786</v>
      </c>
      <c r="T301" s="1">
        <f t="shared" si="32"/>
        <v>218.61940586082983</v>
      </c>
      <c r="U301" s="1">
        <f t="shared" si="32"/>
        <v>209.5288109206173</v>
      </c>
      <c r="V301" s="1">
        <f t="shared" si="32"/>
        <v>234.92815281748139</v>
      </c>
      <c r="W301" s="1">
        <f t="shared" si="32"/>
        <v>70.260555548940616</v>
      </c>
      <c r="X301" s="1">
        <f t="shared" si="32"/>
        <v>369.86281739777667</v>
      </c>
      <c r="Y301" s="1">
        <f t="shared" si="32"/>
        <v>332.22945392144737</v>
      </c>
      <c r="Z301" s="1">
        <f t="shared" si="32"/>
        <v>130.66504585089956</v>
      </c>
      <c r="AA301" s="1">
        <f t="shared" si="32"/>
        <v>107.26249292252238</v>
      </c>
      <c r="AB301" s="1">
        <f t="shared" si="32"/>
        <v>304.89436045962498</v>
      </c>
      <c r="AC301" s="1">
        <f t="shared" si="32"/>
        <v>220.47323459778454</v>
      </c>
      <c r="AD301" s="1">
        <f t="shared" si="32"/>
        <v>681.11685365201038</v>
      </c>
      <c r="AE301" s="1">
        <f t="shared" si="32"/>
        <v>254.72990256535178</v>
      </c>
      <c r="AF301" s="1">
        <f t="shared" si="32"/>
        <v>235.08798478663388</v>
      </c>
      <c r="AG301" s="1">
        <f t="shared" si="32"/>
        <v>121.42862981203696</v>
      </c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 x14ac:dyDescent="0.45">
      <c r="A302" s="1">
        <v>287.47470278036786</v>
      </c>
      <c r="Q302" s="1">
        <v>287.47470278036786</v>
      </c>
      <c r="R302" s="1">
        <f t="shared" si="29"/>
        <v>10.9965004234042</v>
      </c>
      <c r="S302" s="1">
        <f t="shared" si="30"/>
        <v>218.61940586082983</v>
      </c>
      <c r="T302" s="1">
        <f t="shared" si="32"/>
        <v>209.5288109206173</v>
      </c>
      <c r="U302" s="1">
        <f t="shared" si="32"/>
        <v>234.92815281748139</v>
      </c>
      <c r="V302" s="1">
        <f t="shared" si="32"/>
        <v>70.260555548940616</v>
      </c>
      <c r="W302" s="1">
        <f t="shared" si="32"/>
        <v>369.86281739777667</v>
      </c>
      <c r="X302" s="1">
        <f t="shared" si="32"/>
        <v>332.22945392144737</v>
      </c>
      <c r="Y302" s="1">
        <f t="shared" si="32"/>
        <v>130.66504585089956</v>
      </c>
      <c r="Z302" s="1">
        <f t="shared" si="32"/>
        <v>107.26249292252238</v>
      </c>
      <c r="AA302" s="1">
        <f t="shared" si="32"/>
        <v>304.89436045962498</v>
      </c>
      <c r="AB302" s="1">
        <f t="shared" si="32"/>
        <v>220.47323459778454</v>
      </c>
      <c r="AC302" s="1">
        <f t="shared" si="32"/>
        <v>681.11685365201038</v>
      </c>
      <c r="AD302" s="1">
        <f t="shared" si="32"/>
        <v>254.72990256535178</v>
      </c>
      <c r="AE302" s="1">
        <f t="shared" si="32"/>
        <v>235.08798478663388</v>
      </c>
      <c r="AF302" s="1">
        <f t="shared" si="32"/>
        <v>121.42862981203696</v>
      </c>
      <c r="AG302" s="1">
        <f t="shared" si="32"/>
        <v>105.02894169849054</v>
      </c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 x14ac:dyDescent="0.45">
      <c r="A303" s="1">
        <v>218.61940586082983</v>
      </c>
      <c r="Q303" s="1">
        <v>218.61940586082983</v>
      </c>
      <c r="R303" s="1">
        <f t="shared" si="29"/>
        <v>-57.858796496133834</v>
      </c>
      <c r="S303" s="2">
        <f>Q4</f>
        <v>209.5288109206173</v>
      </c>
      <c r="T303" s="2">
        <f>S4</f>
        <v>234.92815281748139</v>
      </c>
      <c r="U303" s="2">
        <f t="shared" ref="U303:AG303" si="33">T4</f>
        <v>70.260555548940616</v>
      </c>
      <c r="V303" s="2">
        <f t="shared" si="33"/>
        <v>369.86281739777667</v>
      </c>
      <c r="W303" s="2">
        <f t="shared" si="33"/>
        <v>332.22945392144737</v>
      </c>
      <c r="X303" s="2">
        <f t="shared" si="33"/>
        <v>130.66504585089956</v>
      </c>
      <c r="Y303" s="2">
        <f t="shared" si="33"/>
        <v>107.26249292252238</v>
      </c>
      <c r="Z303" s="2">
        <f t="shared" si="33"/>
        <v>304.89436045962498</v>
      </c>
      <c r="AA303" s="2">
        <f t="shared" si="33"/>
        <v>220.47323459778454</v>
      </c>
      <c r="AB303" s="2">
        <f t="shared" si="33"/>
        <v>681.11685365201038</v>
      </c>
      <c r="AC303" s="2">
        <f t="shared" si="33"/>
        <v>254.72990256535178</v>
      </c>
      <c r="AD303" s="2">
        <f t="shared" si="33"/>
        <v>235.08798478663388</v>
      </c>
      <c r="AE303" s="2">
        <f t="shared" si="33"/>
        <v>121.42862981203696</v>
      </c>
      <c r="AF303" s="2">
        <f t="shared" si="33"/>
        <v>105.02894169849054</v>
      </c>
      <c r="AG303" s="2">
        <f t="shared" si="33"/>
        <v>443.57479891176058</v>
      </c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1048565" spans="22:33" x14ac:dyDescent="0.45">
      <c r="AG1048565"/>
    </row>
    <row r="1048566" spans="22:33" x14ac:dyDescent="0.45">
      <c r="AF1048566"/>
      <c r="AG1048566"/>
    </row>
    <row r="1048567" spans="22:33" x14ac:dyDescent="0.45">
      <c r="AE1048567"/>
      <c r="AF1048567"/>
      <c r="AG1048567"/>
    </row>
    <row r="1048568" spans="22:33" x14ac:dyDescent="0.45">
      <c r="AD1048568"/>
      <c r="AE1048568"/>
      <c r="AF1048568"/>
      <c r="AG1048568"/>
    </row>
    <row r="1048569" spans="22:33" x14ac:dyDescent="0.45">
      <c r="AC1048569"/>
      <c r="AD1048569"/>
      <c r="AE1048569"/>
      <c r="AF1048569"/>
      <c r="AG1048569"/>
    </row>
    <row r="1048570" spans="22:33" x14ac:dyDescent="0.45">
      <c r="AB1048570"/>
      <c r="AC1048570"/>
      <c r="AD1048570"/>
      <c r="AE1048570"/>
      <c r="AF1048570"/>
      <c r="AG1048570"/>
    </row>
    <row r="1048571" spans="22:33" x14ac:dyDescent="0.45">
      <c r="AA1048571"/>
      <c r="AB1048571"/>
      <c r="AC1048571"/>
      <c r="AD1048571"/>
      <c r="AE1048571"/>
      <c r="AF1048571"/>
      <c r="AG1048571"/>
    </row>
    <row r="1048572" spans="22:33" x14ac:dyDescent="0.45">
      <c r="Z1048572"/>
      <c r="AA1048572"/>
      <c r="AB1048572"/>
      <c r="AC1048572"/>
      <c r="AD1048572"/>
      <c r="AE1048572"/>
      <c r="AF1048572"/>
      <c r="AG1048572"/>
    </row>
    <row r="1048573" spans="22:33" x14ac:dyDescent="0.45">
      <c r="Y1048573"/>
      <c r="Z1048573"/>
      <c r="AA1048573"/>
      <c r="AB1048573"/>
      <c r="AC1048573"/>
      <c r="AD1048573"/>
      <c r="AE1048573"/>
      <c r="AF1048573"/>
      <c r="AG1048573"/>
    </row>
    <row r="1048574" spans="22:33" x14ac:dyDescent="0.45">
      <c r="X1048574"/>
      <c r="Y1048574"/>
      <c r="Z1048574"/>
      <c r="AA1048574"/>
      <c r="AB1048574"/>
      <c r="AC1048574"/>
      <c r="AD1048574"/>
      <c r="AE1048574"/>
      <c r="AF1048574"/>
      <c r="AG1048574"/>
    </row>
    <row r="1048575" spans="22:33" x14ac:dyDescent="0.45">
      <c r="W1048575"/>
      <c r="X1048575"/>
      <c r="Y1048575"/>
      <c r="Z1048575"/>
      <c r="AA1048575"/>
      <c r="AB1048575"/>
      <c r="AC1048575"/>
      <c r="AD1048575"/>
      <c r="AE1048575"/>
      <c r="AF1048575"/>
      <c r="AG1048575"/>
    </row>
    <row r="1048576" spans="22:33" x14ac:dyDescent="0.45">
      <c r="V1048576"/>
      <c r="W1048576"/>
      <c r="X1048576"/>
      <c r="Y1048576"/>
      <c r="Z1048576"/>
      <c r="AA1048576"/>
      <c r="AB1048576"/>
      <c r="AC1048576"/>
      <c r="AD1048576"/>
      <c r="AE1048576"/>
      <c r="AF1048576"/>
      <c r="AG1048576"/>
    </row>
  </sheetData>
  <mergeCells count="1">
    <mergeCell ref="C10:C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0AAD5-9634-4E3B-B092-C43E5CBF63DB}">
  <sheetPr codeName="Лист16"/>
  <dimension ref="A1:P301"/>
  <sheetViews>
    <sheetView workbookViewId="0">
      <selection activeCell="O5" sqref="O5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B1" s="1" t="s">
        <v>7</v>
      </c>
    </row>
    <row r="2" spans="1:16" x14ac:dyDescent="0.45">
      <c r="A2">
        <v>209.5288109206173</v>
      </c>
      <c r="B2" s="2">
        <f>(A2-$G$4)*(A2-$G$4)</f>
        <v>3202.8091757529633</v>
      </c>
      <c r="F2" t="s">
        <v>9</v>
      </c>
      <c r="G2">
        <v>10</v>
      </c>
      <c r="O2" t="s">
        <v>11</v>
      </c>
    </row>
    <row r="3" spans="1:16" x14ac:dyDescent="0.45">
      <c r="A3">
        <v>234.92815281748139</v>
      </c>
      <c r="B3" s="2">
        <f t="shared" ref="B3:B11" si="0">(A3-$G$4)*(A3-$G$4)</f>
        <v>973.06719516590522</v>
      </c>
      <c r="E3" t="s">
        <v>6</v>
      </c>
      <c r="G3">
        <f>COUNT(A2:A11)</f>
        <v>10</v>
      </c>
      <c r="O3" s="4"/>
    </row>
    <row r="4" spans="1:16" x14ac:dyDescent="0.45">
      <c r="A4">
        <v>70.260555548940616</v>
      </c>
      <c r="B4" s="2">
        <f t="shared" si="0"/>
        <v>38361.775074307145</v>
      </c>
      <c r="E4" t="s">
        <v>0</v>
      </c>
      <c r="F4" s="2"/>
      <c r="G4" s="2">
        <f>SUM(A2:A11)/G2</f>
        <v>266.12217780891052</v>
      </c>
      <c r="O4" s="5">
        <f>(P4-G4)/G4</f>
        <v>0.11361411441565558</v>
      </c>
      <c r="P4">
        <f>'10'!G4</f>
        <v>296.35741336703552</v>
      </c>
    </row>
    <row r="5" spans="1:16" x14ac:dyDescent="0.45">
      <c r="A5">
        <v>369.86281739777667</v>
      </c>
      <c r="B5" s="2">
        <f t="shared" si="0"/>
        <v>10762.120302307021</v>
      </c>
      <c r="E5" t="s">
        <v>1</v>
      </c>
      <c r="F5" s="2"/>
      <c r="G5" s="2">
        <f>SUM(B2:B11)/(G2-1)</f>
        <v>30784.740769439693</v>
      </c>
      <c r="O5" s="5">
        <f t="shared" ref="O5:O10" si="1">(P5-G5)/G5</f>
        <v>0.13181701308038835</v>
      </c>
      <c r="P5">
        <f>'10'!G5</f>
        <v>34842.69334612129</v>
      </c>
    </row>
    <row r="6" spans="1:16" x14ac:dyDescent="0.45">
      <c r="A6">
        <v>332.22945392144737</v>
      </c>
      <c r="B6" s="2">
        <f t="shared" si="0"/>
        <v>4370.1719550191856</v>
      </c>
      <c r="E6" t="s">
        <v>2</v>
      </c>
      <c r="F6" s="2"/>
      <c r="G6" s="2">
        <f>SQRT(G5)</f>
        <v>175.45580859418618</v>
      </c>
      <c r="J6" s="3"/>
      <c r="O6" s="5">
        <f t="shared" si="1"/>
        <v>6.386888904619642E-2</v>
      </c>
      <c r="P6">
        <f>'10'!G6</f>
        <v>186.66197616579893</v>
      </c>
    </row>
    <row r="7" spans="1:16" ht="14.25" customHeight="1" x14ac:dyDescent="0.45">
      <c r="A7">
        <v>130.66504585089956</v>
      </c>
      <c r="B7" s="2">
        <f t="shared" si="0"/>
        <v>18348.634598289995</v>
      </c>
      <c r="E7" t="s">
        <v>3</v>
      </c>
      <c r="F7" s="2"/>
      <c r="G7" s="2">
        <f>G6/G4</f>
        <v>0.65930547404497986</v>
      </c>
      <c r="J7" s="3"/>
      <c r="O7" s="5">
        <f t="shared" si="1"/>
        <v>-4.4670074423007633E-2</v>
      </c>
      <c r="P7">
        <f>'10'!G7</f>
        <v>0.62985424945189428</v>
      </c>
    </row>
    <row r="8" spans="1:16" x14ac:dyDescent="0.45">
      <c r="A8">
        <v>107.26249292252238</v>
      </c>
      <c r="B8" s="2">
        <f t="shared" si="0"/>
        <v>25236.399482202542</v>
      </c>
      <c r="D8" s="7" t="s">
        <v>4</v>
      </c>
      <c r="E8">
        <v>0.9</v>
      </c>
      <c r="F8" s="2">
        <v>1.6839999999999999</v>
      </c>
      <c r="G8" s="2">
        <f>$G$13*F8</f>
        <v>93.435053282726912</v>
      </c>
      <c r="I8">
        <f>K8-G8</f>
        <v>172.6871245261836</v>
      </c>
      <c r="J8" s="3" t="s">
        <v>10</v>
      </c>
      <c r="K8">
        <f>$G$4</f>
        <v>266.12217780891052</v>
      </c>
      <c r="L8" s="3" t="s">
        <v>10</v>
      </c>
      <c r="M8">
        <f>K8+G8</f>
        <v>359.55723109163745</v>
      </c>
      <c r="O8" s="5">
        <f t="shared" si="1"/>
        <v>6.3868889046196503E-2</v>
      </c>
      <c r="P8">
        <f>'10'!G8</f>
        <v>99.402646333866855</v>
      </c>
    </row>
    <row r="9" spans="1:16" x14ac:dyDescent="0.45">
      <c r="A9">
        <v>304.89436045962498</v>
      </c>
      <c r="B9" s="2">
        <f t="shared" si="0"/>
        <v>1503.282147500363</v>
      </c>
      <c r="D9" s="7"/>
      <c r="E9">
        <v>0.95</v>
      </c>
      <c r="F9" s="2">
        <v>1.96</v>
      </c>
      <c r="G9" s="2">
        <f t="shared" ref="G9:G10" si="2">$G$13*F9</f>
        <v>108.74863683737811</v>
      </c>
      <c r="I9">
        <f t="shared" ref="I9:I10" si="3">K9-G9</f>
        <v>157.37354097153241</v>
      </c>
      <c r="J9" s="3" t="s">
        <v>10</v>
      </c>
      <c r="K9">
        <f t="shared" ref="K9:K10" si="4">$G$4</f>
        <v>266.12217780891052</v>
      </c>
      <c r="L9" s="3" t="s">
        <v>10</v>
      </c>
      <c r="M9">
        <f t="shared" ref="M9:M10" si="5">K9+G9</f>
        <v>374.87081464628864</v>
      </c>
      <c r="O9" s="5">
        <f t="shared" si="1"/>
        <v>6.3868889046196461E-2</v>
      </c>
      <c r="P9">
        <f>'10'!G9</f>
        <v>115.69429145746973</v>
      </c>
    </row>
    <row r="10" spans="1:16" x14ac:dyDescent="0.45">
      <c r="A10">
        <v>220.47323459778454</v>
      </c>
      <c r="B10" s="2">
        <f t="shared" si="0"/>
        <v>2083.8260162926049</v>
      </c>
      <c r="D10" s="7"/>
      <c r="E10">
        <v>0.99</v>
      </c>
      <c r="F10" s="2">
        <v>2.5790000000000002</v>
      </c>
      <c r="G10" s="2">
        <f t="shared" si="2"/>
        <v>143.09323183857049</v>
      </c>
      <c r="I10">
        <f t="shared" si="3"/>
        <v>123.02894597034003</v>
      </c>
      <c r="J10" s="3" t="s">
        <v>10</v>
      </c>
      <c r="K10">
        <f t="shared" si="4"/>
        <v>266.12217780891052</v>
      </c>
      <c r="L10" s="3" t="s">
        <v>10</v>
      </c>
      <c r="M10">
        <f t="shared" si="5"/>
        <v>409.21540964748101</v>
      </c>
      <c r="O10" s="5">
        <f t="shared" si="1"/>
        <v>6.38688890461966E-2</v>
      </c>
      <c r="P10">
        <f>'10'!G10</f>
        <v>152.23243758612983</v>
      </c>
    </row>
    <row r="11" spans="1:16" x14ac:dyDescent="0.45">
      <c r="A11">
        <v>681.11685365201038</v>
      </c>
      <c r="B11" s="2">
        <f t="shared" si="0"/>
        <v>172220.58097811951</v>
      </c>
      <c r="E11" t="s">
        <v>5</v>
      </c>
      <c r="F11" s="2"/>
      <c r="G11" s="2"/>
      <c r="O11" s="4"/>
    </row>
    <row r="12" spans="1:16" x14ac:dyDescent="0.45">
      <c r="A12"/>
      <c r="B12" s="1"/>
      <c r="F12" s="2"/>
      <c r="G12" s="2"/>
    </row>
    <row r="13" spans="1:16" x14ac:dyDescent="0.45">
      <c r="A13"/>
      <c r="B13" s="1"/>
      <c r="E13" t="s">
        <v>8</v>
      </c>
      <c r="F13" s="2"/>
      <c r="G13" s="2">
        <f>SQRT(G5/G2)</f>
        <v>55.483998386417404</v>
      </c>
    </row>
    <row r="14" spans="1:16" x14ac:dyDescent="0.45">
      <c r="A14"/>
      <c r="B14" s="1"/>
      <c r="F14" s="2"/>
    </row>
    <row r="15" spans="1:16" x14ac:dyDescent="0.45">
      <c r="A15"/>
      <c r="B15" s="1"/>
      <c r="F15" s="2"/>
    </row>
    <row r="16" spans="1:16" x14ac:dyDescent="0.45">
      <c r="A16"/>
      <c r="B16" s="1"/>
    </row>
    <row r="17" spans="1:2" x14ac:dyDescent="0.45">
      <c r="A17"/>
      <c r="B17" s="1"/>
    </row>
    <row r="18" spans="1:2" x14ac:dyDescent="0.45">
      <c r="A18"/>
      <c r="B18" s="1"/>
    </row>
    <row r="19" spans="1:2" x14ac:dyDescent="0.45">
      <c r="A19"/>
      <c r="B19" s="1"/>
    </row>
    <row r="20" spans="1:2" x14ac:dyDescent="0.45">
      <c r="A20"/>
      <c r="B20" s="1"/>
    </row>
    <row r="21" spans="1:2" x14ac:dyDescent="0.45">
      <c r="A21"/>
      <c r="B21" s="1"/>
    </row>
    <row r="22" spans="1:2" x14ac:dyDescent="0.45">
      <c r="A22"/>
      <c r="B22" s="1"/>
    </row>
    <row r="23" spans="1:2" x14ac:dyDescent="0.45">
      <c r="A23"/>
      <c r="B23" s="1"/>
    </row>
    <row r="24" spans="1:2" x14ac:dyDescent="0.45">
      <c r="A24"/>
      <c r="B24" s="1"/>
    </row>
    <row r="25" spans="1:2" x14ac:dyDescent="0.45">
      <c r="A25"/>
      <c r="B25" s="1"/>
    </row>
    <row r="26" spans="1:2" x14ac:dyDescent="0.45">
      <c r="A26"/>
      <c r="B26" s="1"/>
    </row>
    <row r="27" spans="1:2" x14ac:dyDescent="0.45">
      <c r="A27"/>
      <c r="B27" s="1"/>
    </row>
    <row r="28" spans="1:2" x14ac:dyDescent="0.45">
      <c r="A28"/>
      <c r="B28" s="1"/>
    </row>
    <row r="29" spans="1:2" x14ac:dyDescent="0.45">
      <c r="A29"/>
      <c r="B29" s="1"/>
    </row>
    <row r="30" spans="1:2" x14ac:dyDescent="0.45">
      <c r="A30"/>
      <c r="B30" s="1"/>
    </row>
    <row r="31" spans="1:2" x14ac:dyDescent="0.45">
      <c r="A31"/>
      <c r="B31" s="1"/>
    </row>
    <row r="32" spans="1:2" x14ac:dyDescent="0.45">
      <c r="A32"/>
      <c r="B32" s="1"/>
    </row>
    <row r="33" spans="1:2" x14ac:dyDescent="0.45">
      <c r="A33"/>
      <c r="B33" s="1"/>
    </row>
    <row r="34" spans="1:2" x14ac:dyDescent="0.45">
      <c r="A34"/>
      <c r="B34" s="1"/>
    </row>
    <row r="35" spans="1:2" x14ac:dyDescent="0.45">
      <c r="A35"/>
      <c r="B35" s="1"/>
    </row>
    <row r="36" spans="1:2" x14ac:dyDescent="0.45">
      <c r="A36"/>
      <c r="B36" s="1"/>
    </row>
    <row r="37" spans="1:2" x14ac:dyDescent="0.45">
      <c r="A37"/>
      <c r="B37" s="1"/>
    </row>
    <row r="38" spans="1:2" x14ac:dyDescent="0.45">
      <c r="A38"/>
      <c r="B38" s="1"/>
    </row>
    <row r="39" spans="1:2" x14ac:dyDescent="0.45">
      <c r="A39"/>
      <c r="B39" s="1"/>
    </row>
    <row r="40" spans="1:2" x14ac:dyDescent="0.45">
      <c r="A40"/>
      <c r="B40" s="1"/>
    </row>
    <row r="41" spans="1:2" x14ac:dyDescent="0.45">
      <c r="A41"/>
      <c r="B41" s="1"/>
    </row>
    <row r="42" spans="1:2" x14ac:dyDescent="0.45">
      <c r="A42"/>
      <c r="B42" s="1"/>
    </row>
    <row r="43" spans="1:2" x14ac:dyDescent="0.45">
      <c r="A43"/>
      <c r="B43" s="1"/>
    </row>
    <row r="44" spans="1:2" x14ac:dyDescent="0.45">
      <c r="A44"/>
      <c r="B44" s="1"/>
    </row>
    <row r="45" spans="1:2" x14ac:dyDescent="0.45">
      <c r="A45"/>
      <c r="B45" s="1"/>
    </row>
    <row r="46" spans="1:2" x14ac:dyDescent="0.45">
      <c r="A46"/>
      <c r="B46" s="1"/>
    </row>
    <row r="47" spans="1:2" x14ac:dyDescent="0.45">
      <c r="A47"/>
      <c r="B47" s="1"/>
    </row>
    <row r="48" spans="1:2" x14ac:dyDescent="0.45">
      <c r="A48"/>
      <c r="B48" s="1"/>
    </row>
    <row r="49" spans="1:2" x14ac:dyDescent="0.45">
      <c r="A49"/>
      <c r="B49" s="1"/>
    </row>
    <row r="50" spans="1:2" x14ac:dyDescent="0.45">
      <c r="A50"/>
      <c r="B50" s="1"/>
    </row>
    <row r="51" spans="1:2" x14ac:dyDescent="0.45">
      <c r="A51"/>
      <c r="B51" s="1"/>
    </row>
    <row r="52" spans="1:2" x14ac:dyDescent="0.45">
      <c r="A52"/>
      <c r="B52" s="1"/>
    </row>
    <row r="53" spans="1:2" x14ac:dyDescent="0.45">
      <c r="A53"/>
      <c r="B53" s="1"/>
    </row>
    <row r="54" spans="1:2" x14ac:dyDescent="0.45">
      <c r="A54"/>
      <c r="B54" s="1"/>
    </row>
    <row r="55" spans="1:2" x14ac:dyDescent="0.45">
      <c r="A55"/>
      <c r="B55" s="1"/>
    </row>
    <row r="56" spans="1:2" x14ac:dyDescent="0.45">
      <c r="A56"/>
      <c r="B56" s="1"/>
    </row>
    <row r="57" spans="1:2" x14ac:dyDescent="0.45">
      <c r="A57"/>
      <c r="B57" s="1"/>
    </row>
    <row r="58" spans="1:2" x14ac:dyDescent="0.45">
      <c r="A58"/>
      <c r="B58" s="1"/>
    </row>
    <row r="59" spans="1:2" x14ac:dyDescent="0.45">
      <c r="A59"/>
      <c r="B59" s="1"/>
    </row>
    <row r="60" spans="1:2" x14ac:dyDescent="0.45">
      <c r="A60"/>
      <c r="B60" s="1"/>
    </row>
    <row r="61" spans="1:2" x14ac:dyDescent="0.45">
      <c r="A61"/>
      <c r="B61" s="1"/>
    </row>
    <row r="62" spans="1:2" x14ac:dyDescent="0.45">
      <c r="A62"/>
      <c r="B62" s="1"/>
    </row>
    <row r="63" spans="1:2" x14ac:dyDescent="0.45">
      <c r="A63"/>
      <c r="B63" s="1"/>
    </row>
    <row r="64" spans="1:2" x14ac:dyDescent="0.45">
      <c r="A64"/>
      <c r="B64" s="1"/>
    </row>
    <row r="65" spans="1:2" x14ac:dyDescent="0.45">
      <c r="A65"/>
      <c r="B65" s="1"/>
    </row>
    <row r="66" spans="1:2" x14ac:dyDescent="0.45">
      <c r="A66"/>
      <c r="B66" s="1"/>
    </row>
    <row r="67" spans="1:2" x14ac:dyDescent="0.45">
      <c r="A67"/>
      <c r="B67" s="1"/>
    </row>
    <row r="68" spans="1:2" x14ac:dyDescent="0.45">
      <c r="A68"/>
      <c r="B68" s="1"/>
    </row>
    <row r="69" spans="1:2" x14ac:dyDescent="0.45">
      <c r="A69"/>
      <c r="B69" s="1"/>
    </row>
    <row r="70" spans="1:2" x14ac:dyDescent="0.45">
      <c r="A70"/>
      <c r="B70" s="1"/>
    </row>
    <row r="71" spans="1:2" x14ac:dyDescent="0.45">
      <c r="A71"/>
      <c r="B71" s="1"/>
    </row>
    <row r="72" spans="1:2" x14ac:dyDescent="0.45">
      <c r="A72"/>
      <c r="B72" s="1"/>
    </row>
    <row r="73" spans="1:2" x14ac:dyDescent="0.45">
      <c r="A73"/>
      <c r="B73" s="1"/>
    </row>
    <row r="74" spans="1:2" x14ac:dyDescent="0.45">
      <c r="A74"/>
      <c r="B74" s="1"/>
    </row>
    <row r="75" spans="1:2" x14ac:dyDescent="0.45">
      <c r="A75"/>
      <c r="B75" s="1"/>
    </row>
    <row r="76" spans="1:2" x14ac:dyDescent="0.45">
      <c r="A76"/>
      <c r="B76" s="1"/>
    </row>
    <row r="77" spans="1:2" x14ac:dyDescent="0.45">
      <c r="A77"/>
      <c r="B77" s="1"/>
    </row>
    <row r="78" spans="1:2" x14ac:dyDescent="0.45">
      <c r="A78"/>
      <c r="B78" s="1"/>
    </row>
    <row r="79" spans="1:2" x14ac:dyDescent="0.45">
      <c r="A79"/>
      <c r="B79" s="1"/>
    </row>
    <row r="80" spans="1:2" x14ac:dyDescent="0.45">
      <c r="A80"/>
      <c r="B80" s="1"/>
    </row>
    <row r="81" spans="1:2" x14ac:dyDescent="0.45">
      <c r="A81"/>
      <c r="B81" s="1"/>
    </row>
    <row r="82" spans="1:2" x14ac:dyDescent="0.45">
      <c r="A82"/>
      <c r="B82" s="1"/>
    </row>
    <row r="83" spans="1:2" x14ac:dyDescent="0.45">
      <c r="A83"/>
      <c r="B83" s="1"/>
    </row>
    <row r="84" spans="1:2" x14ac:dyDescent="0.45">
      <c r="A84"/>
      <c r="B84" s="1"/>
    </row>
    <row r="85" spans="1:2" x14ac:dyDescent="0.45">
      <c r="A85"/>
      <c r="B85" s="1"/>
    </row>
    <row r="86" spans="1:2" x14ac:dyDescent="0.45">
      <c r="A86"/>
      <c r="B86" s="1"/>
    </row>
    <row r="87" spans="1:2" x14ac:dyDescent="0.45">
      <c r="A87"/>
      <c r="B87" s="1"/>
    </row>
    <row r="88" spans="1:2" x14ac:dyDescent="0.45">
      <c r="A88"/>
      <c r="B88" s="1"/>
    </row>
    <row r="89" spans="1:2" x14ac:dyDescent="0.45">
      <c r="A89"/>
      <c r="B89" s="1"/>
    </row>
    <row r="90" spans="1:2" x14ac:dyDescent="0.45">
      <c r="A90"/>
      <c r="B90" s="1"/>
    </row>
    <row r="91" spans="1:2" x14ac:dyDescent="0.45">
      <c r="A91"/>
      <c r="B91" s="1"/>
    </row>
    <row r="92" spans="1:2" x14ac:dyDescent="0.45">
      <c r="A92"/>
      <c r="B92" s="1"/>
    </row>
    <row r="93" spans="1:2" x14ac:dyDescent="0.45">
      <c r="A93"/>
      <c r="B93" s="1"/>
    </row>
    <row r="94" spans="1:2" x14ac:dyDescent="0.45">
      <c r="A94"/>
      <c r="B94" s="1"/>
    </row>
    <row r="95" spans="1:2" x14ac:dyDescent="0.45">
      <c r="A95"/>
      <c r="B95" s="1"/>
    </row>
    <row r="96" spans="1:2" x14ac:dyDescent="0.45">
      <c r="A96"/>
      <c r="B96" s="1"/>
    </row>
    <row r="97" spans="1:2" x14ac:dyDescent="0.45">
      <c r="A97"/>
      <c r="B97" s="1"/>
    </row>
    <row r="98" spans="1:2" x14ac:dyDescent="0.45">
      <c r="A98"/>
      <c r="B98" s="1"/>
    </row>
    <row r="99" spans="1:2" x14ac:dyDescent="0.45">
      <c r="A99"/>
      <c r="B99" s="1"/>
    </row>
    <row r="100" spans="1:2" x14ac:dyDescent="0.45">
      <c r="A100"/>
      <c r="B100" s="1"/>
    </row>
    <row r="101" spans="1:2" x14ac:dyDescent="0.45">
      <c r="A101"/>
      <c r="B101" s="1"/>
    </row>
    <row r="102" spans="1:2" x14ac:dyDescent="0.45">
      <c r="A102"/>
      <c r="B102" s="1"/>
    </row>
    <row r="103" spans="1:2" x14ac:dyDescent="0.45">
      <c r="A103"/>
      <c r="B103" s="1"/>
    </row>
    <row r="104" spans="1:2" x14ac:dyDescent="0.45">
      <c r="A104"/>
      <c r="B104" s="1"/>
    </row>
    <row r="105" spans="1:2" x14ac:dyDescent="0.45">
      <c r="A105"/>
      <c r="B105" s="1"/>
    </row>
    <row r="106" spans="1:2" x14ac:dyDescent="0.45">
      <c r="A106"/>
      <c r="B106" s="1"/>
    </row>
    <row r="107" spans="1:2" x14ac:dyDescent="0.45">
      <c r="A107"/>
      <c r="B107" s="1"/>
    </row>
    <row r="108" spans="1:2" x14ac:dyDescent="0.45">
      <c r="A108"/>
      <c r="B108" s="1"/>
    </row>
    <row r="109" spans="1:2" x14ac:dyDescent="0.45">
      <c r="A109"/>
      <c r="B109" s="1"/>
    </row>
    <row r="110" spans="1:2" x14ac:dyDescent="0.45">
      <c r="A110"/>
      <c r="B110" s="1"/>
    </row>
    <row r="111" spans="1:2" x14ac:dyDescent="0.45">
      <c r="A111"/>
      <c r="B111" s="1"/>
    </row>
    <row r="112" spans="1:2" x14ac:dyDescent="0.45">
      <c r="A112"/>
      <c r="B112" s="1"/>
    </row>
    <row r="113" spans="1:2" x14ac:dyDescent="0.45">
      <c r="A113"/>
      <c r="B113" s="1"/>
    </row>
    <row r="114" spans="1:2" x14ac:dyDescent="0.45">
      <c r="A114"/>
      <c r="B114" s="1"/>
    </row>
    <row r="115" spans="1:2" x14ac:dyDescent="0.45">
      <c r="A115"/>
      <c r="B115" s="1"/>
    </row>
    <row r="116" spans="1:2" x14ac:dyDescent="0.45">
      <c r="A116"/>
      <c r="B116" s="1"/>
    </row>
    <row r="117" spans="1:2" x14ac:dyDescent="0.45">
      <c r="A117"/>
      <c r="B117" s="1"/>
    </row>
    <row r="118" spans="1:2" x14ac:dyDescent="0.45">
      <c r="A118"/>
      <c r="B118" s="1"/>
    </row>
    <row r="119" spans="1:2" x14ac:dyDescent="0.45">
      <c r="A119"/>
      <c r="B119" s="1"/>
    </row>
    <row r="120" spans="1:2" x14ac:dyDescent="0.45">
      <c r="A120"/>
      <c r="B120" s="1"/>
    </row>
    <row r="121" spans="1:2" x14ac:dyDescent="0.45">
      <c r="A121"/>
      <c r="B121" s="1"/>
    </row>
    <row r="122" spans="1:2" x14ac:dyDescent="0.45">
      <c r="A122"/>
      <c r="B122" s="1"/>
    </row>
    <row r="123" spans="1:2" x14ac:dyDescent="0.45">
      <c r="A123"/>
      <c r="B123" s="1"/>
    </row>
    <row r="124" spans="1:2" x14ac:dyDescent="0.45">
      <c r="A124"/>
      <c r="B124" s="1"/>
    </row>
    <row r="125" spans="1:2" x14ac:dyDescent="0.45">
      <c r="A125"/>
      <c r="B125" s="1"/>
    </row>
    <row r="126" spans="1:2" x14ac:dyDescent="0.45">
      <c r="A126"/>
      <c r="B126" s="1"/>
    </row>
    <row r="127" spans="1:2" x14ac:dyDescent="0.45">
      <c r="A127"/>
      <c r="B127" s="1"/>
    </row>
    <row r="128" spans="1:2" x14ac:dyDescent="0.45">
      <c r="A128"/>
      <c r="B128" s="1"/>
    </row>
    <row r="129" spans="1:2" x14ac:dyDescent="0.45">
      <c r="A129"/>
      <c r="B129" s="1"/>
    </row>
    <row r="130" spans="1:2" x14ac:dyDescent="0.45">
      <c r="A130"/>
      <c r="B130" s="1"/>
    </row>
    <row r="131" spans="1:2" x14ac:dyDescent="0.45">
      <c r="A131"/>
      <c r="B131" s="1"/>
    </row>
    <row r="132" spans="1:2" x14ac:dyDescent="0.45">
      <c r="A132"/>
      <c r="B132" s="1"/>
    </row>
    <row r="133" spans="1:2" x14ac:dyDescent="0.45">
      <c r="A133"/>
      <c r="B133" s="1"/>
    </row>
    <row r="134" spans="1:2" x14ac:dyDescent="0.45">
      <c r="A134"/>
      <c r="B134" s="1"/>
    </row>
    <row r="135" spans="1:2" x14ac:dyDescent="0.45">
      <c r="A135"/>
      <c r="B135" s="1"/>
    </row>
    <row r="136" spans="1:2" x14ac:dyDescent="0.45">
      <c r="A136"/>
      <c r="B136" s="1"/>
    </row>
    <row r="137" spans="1:2" x14ac:dyDescent="0.45">
      <c r="A137"/>
      <c r="B137" s="1"/>
    </row>
    <row r="138" spans="1:2" x14ac:dyDescent="0.45">
      <c r="A138"/>
      <c r="B138" s="1"/>
    </row>
    <row r="139" spans="1:2" x14ac:dyDescent="0.45">
      <c r="A139"/>
      <c r="B139" s="1"/>
    </row>
    <row r="140" spans="1:2" x14ac:dyDescent="0.45">
      <c r="A140"/>
      <c r="B140" s="1"/>
    </row>
    <row r="141" spans="1:2" x14ac:dyDescent="0.45">
      <c r="A141"/>
      <c r="B141" s="1"/>
    </row>
    <row r="142" spans="1:2" x14ac:dyDescent="0.45">
      <c r="A142"/>
      <c r="B142" s="1"/>
    </row>
    <row r="143" spans="1:2" x14ac:dyDescent="0.45">
      <c r="A143"/>
      <c r="B143" s="1"/>
    </row>
    <row r="144" spans="1:2" x14ac:dyDescent="0.45">
      <c r="A144"/>
      <c r="B144" s="1"/>
    </row>
    <row r="145" spans="1:2" x14ac:dyDescent="0.45">
      <c r="A145"/>
      <c r="B145" s="1"/>
    </row>
    <row r="146" spans="1:2" x14ac:dyDescent="0.45">
      <c r="A146"/>
      <c r="B146" s="1"/>
    </row>
    <row r="147" spans="1:2" x14ac:dyDescent="0.45">
      <c r="A147"/>
      <c r="B147" s="1"/>
    </row>
    <row r="148" spans="1:2" x14ac:dyDescent="0.45">
      <c r="A148"/>
      <c r="B148" s="1"/>
    </row>
    <row r="149" spans="1:2" x14ac:dyDescent="0.45">
      <c r="A149"/>
      <c r="B149" s="1"/>
    </row>
    <row r="150" spans="1:2" x14ac:dyDescent="0.45">
      <c r="A150"/>
      <c r="B150" s="1"/>
    </row>
    <row r="151" spans="1:2" x14ac:dyDescent="0.45">
      <c r="A151"/>
      <c r="B151" s="1"/>
    </row>
    <row r="152" spans="1:2" x14ac:dyDescent="0.45">
      <c r="A152"/>
      <c r="B152" s="1"/>
    </row>
    <row r="153" spans="1:2" x14ac:dyDescent="0.45">
      <c r="A153"/>
      <c r="B153" s="1"/>
    </row>
    <row r="154" spans="1:2" x14ac:dyDescent="0.45">
      <c r="A154"/>
      <c r="B154" s="1"/>
    </row>
    <row r="155" spans="1:2" x14ac:dyDescent="0.45">
      <c r="A155"/>
      <c r="B155" s="1"/>
    </row>
    <row r="156" spans="1:2" x14ac:dyDescent="0.45">
      <c r="A156"/>
      <c r="B156" s="1"/>
    </row>
    <row r="157" spans="1:2" x14ac:dyDescent="0.45">
      <c r="A157"/>
      <c r="B157" s="1"/>
    </row>
    <row r="158" spans="1:2" x14ac:dyDescent="0.45">
      <c r="A158"/>
      <c r="B158" s="1"/>
    </row>
    <row r="159" spans="1:2" x14ac:dyDescent="0.45">
      <c r="A159"/>
      <c r="B159" s="1"/>
    </row>
    <row r="160" spans="1:2" x14ac:dyDescent="0.45">
      <c r="A160"/>
      <c r="B160" s="1"/>
    </row>
    <row r="161" spans="1:2" x14ac:dyDescent="0.45">
      <c r="A161"/>
      <c r="B161" s="1"/>
    </row>
    <row r="162" spans="1:2" x14ac:dyDescent="0.45">
      <c r="A162"/>
      <c r="B162" s="1"/>
    </row>
    <row r="163" spans="1:2" x14ac:dyDescent="0.45">
      <c r="A163"/>
      <c r="B163" s="1"/>
    </row>
    <row r="164" spans="1:2" x14ac:dyDescent="0.45">
      <c r="A164"/>
      <c r="B164" s="1"/>
    </row>
    <row r="165" spans="1:2" x14ac:dyDescent="0.45">
      <c r="A165"/>
      <c r="B165" s="1"/>
    </row>
    <row r="166" spans="1:2" x14ac:dyDescent="0.45">
      <c r="A166"/>
      <c r="B166" s="1"/>
    </row>
    <row r="167" spans="1:2" x14ac:dyDescent="0.45">
      <c r="A167"/>
      <c r="B167" s="1"/>
    </row>
    <row r="168" spans="1:2" x14ac:dyDescent="0.45">
      <c r="A168"/>
      <c r="B168" s="1"/>
    </row>
    <row r="169" spans="1:2" x14ac:dyDescent="0.45">
      <c r="A169"/>
      <c r="B169" s="1"/>
    </row>
    <row r="170" spans="1:2" x14ac:dyDescent="0.45">
      <c r="A170"/>
      <c r="B170" s="1"/>
    </row>
    <row r="171" spans="1:2" x14ac:dyDescent="0.45">
      <c r="A171"/>
      <c r="B171" s="1"/>
    </row>
    <row r="172" spans="1:2" x14ac:dyDescent="0.45">
      <c r="A172"/>
      <c r="B172" s="1"/>
    </row>
    <row r="173" spans="1:2" x14ac:dyDescent="0.45">
      <c r="A173"/>
      <c r="B173" s="1"/>
    </row>
    <row r="174" spans="1:2" x14ac:dyDescent="0.45">
      <c r="A174"/>
      <c r="B174" s="1"/>
    </row>
    <row r="175" spans="1:2" x14ac:dyDescent="0.45">
      <c r="A175"/>
      <c r="B175" s="1"/>
    </row>
    <row r="176" spans="1:2" x14ac:dyDescent="0.45">
      <c r="A176"/>
      <c r="B176" s="1"/>
    </row>
    <row r="177" spans="1:2" x14ac:dyDescent="0.45">
      <c r="A177"/>
      <c r="B177" s="1"/>
    </row>
    <row r="178" spans="1:2" x14ac:dyDescent="0.45">
      <c r="A178"/>
      <c r="B178" s="1"/>
    </row>
    <row r="179" spans="1:2" x14ac:dyDescent="0.45">
      <c r="A179"/>
      <c r="B179" s="1"/>
    </row>
    <row r="180" spans="1:2" x14ac:dyDescent="0.45">
      <c r="A180"/>
      <c r="B180" s="1"/>
    </row>
    <row r="181" spans="1:2" x14ac:dyDescent="0.45">
      <c r="A181"/>
      <c r="B181" s="1"/>
    </row>
    <row r="182" spans="1:2" x14ac:dyDescent="0.45">
      <c r="A182"/>
      <c r="B182" s="1"/>
    </row>
    <row r="183" spans="1:2" x14ac:dyDescent="0.45">
      <c r="A183"/>
      <c r="B183" s="1"/>
    </row>
    <row r="184" spans="1:2" x14ac:dyDescent="0.45">
      <c r="A184"/>
      <c r="B184" s="1"/>
    </row>
    <row r="185" spans="1:2" x14ac:dyDescent="0.45">
      <c r="A185"/>
      <c r="B185" s="1"/>
    </row>
    <row r="186" spans="1:2" x14ac:dyDescent="0.45">
      <c r="A186"/>
      <c r="B186" s="1"/>
    </row>
    <row r="187" spans="1:2" x14ac:dyDescent="0.45">
      <c r="A187"/>
      <c r="B187" s="1"/>
    </row>
    <row r="188" spans="1:2" x14ac:dyDescent="0.45">
      <c r="A188"/>
      <c r="B188" s="1"/>
    </row>
    <row r="189" spans="1:2" x14ac:dyDescent="0.45">
      <c r="A189"/>
      <c r="B189" s="1"/>
    </row>
    <row r="190" spans="1:2" x14ac:dyDescent="0.45">
      <c r="A190"/>
      <c r="B190" s="1"/>
    </row>
    <row r="191" spans="1:2" x14ac:dyDescent="0.45">
      <c r="A191"/>
      <c r="B191" s="1"/>
    </row>
    <row r="192" spans="1:2" x14ac:dyDescent="0.45">
      <c r="A192"/>
      <c r="B192" s="1"/>
    </row>
    <row r="193" spans="1:2" x14ac:dyDescent="0.45">
      <c r="A193"/>
      <c r="B193" s="1"/>
    </row>
    <row r="194" spans="1:2" x14ac:dyDescent="0.45">
      <c r="A194"/>
      <c r="B194" s="1"/>
    </row>
    <row r="195" spans="1:2" x14ac:dyDescent="0.45">
      <c r="A195"/>
      <c r="B195" s="1"/>
    </row>
    <row r="196" spans="1:2" x14ac:dyDescent="0.45">
      <c r="A196"/>
      <c r="B196" s="1"/>
    </row>
    <row r="197" spans="1:2" x14ac:dyDescent="0.45">
      <c r="A197"/>
      <c r="B197" s="1"/>
    </row>
    <row r="198" spans="1:2" x14ac:dyDescent="0.45">
      <c r="A198"/>
      <c r="B198" s="1"/>
    </row>
    <row r="199" spans="1:2" x14ac:dyDescent="0.45">
      <c r="A199"/>
      <c r="B199" s="1"/>
    </row>
    <row r="200" spans="1:2" x14ac:dyDescent="0.45">
      <c r="A200"/>
      <c r="B200" s="1"/>
    </row>
    <row r="201" spans="1:2" x14ac:dyDescent="0.45">
      <c r="A201"/>
      <c r="B201" s="1"/>
    </row>
    <row r="202" spans="1:2" x14ac:dyDescent="0.45">
      <c r="A202"/>
      <c r="B202" s="1"/>
    </row>
    <row r="203" spans="1:2" x14ac:dyDescent="0.45">
      <c r="A203"/>
      <c r="B203" s="1"/>
    </row>
    <row r="204" spans="1:2" x14ac:dyDescent="0.45">
      <c r="A204"/>
      <c r="B204" s="1"/>
    </row>
    <row r="205" spans="1:2" x14ac:dyDescent="0.45">
      <c r="A205"/>
      <c r="B205" s="1"/>
    </row>
    <row r="206" spans="1:2" x14ac:dyDescent="0.45">
      <c r="A206"/>
      <c r="B206" s="1"/>
    </row>
    <row r="207" spans="1:2" x14ac:dyDescent="0.45">
      <c r="A207"/>
      <c r="B207" s="1"/>
    </row>
    <row r="208" spans="1:2" x14ac:dyDescent="0.45">
      <c r="A208"/>
      <c r="B208" s="1"/>
    </row>
    <row r="209" spans="1:2" x14ac:dyDescent="0.45">
      <c r="A209"/>
      <c r="B209" s="1"/>
    </row>
    <row r="210" spans="1:2" x14ac:dyDescent="0.45">
      <c r="A210"/>
      <c r="B210" s="1"/>
    </row>
    <row r="211" spans="1:2" x14ac:dyDescent="0.45">
      <c r="A211"/>
      <c r="B211" s="1"/>
    </row>
    <row r="212" spans="1:2" x14ac:dyDescent="0.45">
      <c r="A212"/>
      <c r="B212" s="1"/>
    </row>
    <row r="213" spans="1:2" x14ac:dyDescent="0.45">
      <c r="A213"/>
      <c r="B213" s="1"/>
    </row>
    <row r="214" spans="1:2" x14ac:dyDescent="0.45">
      <c r="A214"/>
      <c r="B214" s="1"/>
    </row>
    <row r="215" spans="1:2" x14ac:dyDescent="0.45">
      <c r="A215"/>
      <c r="B215" s="1"/>
    </row>
    <row r="216" spans="1:2" x14ac:dyDescent="0.45">
      <c r="A216"/>
      <c r="B216" s="1"/>
    </row>
    <row r="217" spans="1:2" x14ac:dyDescent="0.45">
      <c r="A217"/>
      <c r="B217" s="1"/>
    </row>
    <row r="218" spans="1:2" x14ac:dyDescent="0.45">
      <c r="A218"/>
      <c r="B218" s="1"/>
    </row>
    <row r="219" spans="1:2" x14ac:dyDescent="0.45">
      <c r="A219"/>
      <c r="B219" s="1"/>
    </row>
    <row r="220" spans="1:2" x14ac:dyDescent="0.45">
      <c r="A220"/>
      <c r="B220" s="1"/>
    </row>
    <row r="221" spans="1:2" x14ac:dyDescent="0.45">
      <c r="A221"/>
      <c r="B221" s="1"/>
    </row>
    <row r="222" spans="1:2" x14ac:dyDescent="0.45">
      <c r="A222"/>
      <c r="B222" s="1"/>
    </row>
    <row r="223" spans="1:2" x14ac:dyDescent="0.45">
      <c r="A223"/>
      <c r="B223" s="1"/>
    </row>
    <row r="224" spans="1:2" x14ac:dyDescent="0.45">
      <c r="A224"/>
      <c r="B224" s="1"/>
    </row>
    <row r="225" spans="1:2" x14ac:dyDescent="0.45">
      <c r="A225"/>
      <c r="B225" s="1"/>
    </row>
    <row r="226" spans="1:2" x14ac:dyDescent="0.45">
      <c r="A226"/>
      <c r="B226" s="1"/>
    </row>
    <row r="227" spans="1:2" x14ac:dyDescent="0.45">
      <c r="A227"/>
      <c r="B227" s="1"/>
    </row>
    <row r="228" spans="1:2" x14ac:dyDescent="0.45">
      <c r="A228"/>
      <c r="B228" s="1"/>
    </row>
    <row r="229" spans="1:2" x14ac:dyDescent="0.45">
      <c r="A229"/>
      <c r="B229" s="1"/>
    </row>
    <row r="230" spans="1:2" x14ac:dyDescent="0.45">
      <c r="A230"/>
      <c r="B230" s="1"/>
    </row>
    <row r="231" spans="1:2" x14ac:dyDescent="0.45">
      <c r="A231"/>
      <c r="B231" s="1"/>
    </row>
    <row r="232" spans="1:2" x14ac:dyDescent="0.45">
      <c r="A232"/>
      <c r="B232" s="1"/>
    </row>
    <row r="233" spans="1:2" x14ac:dyDescent="0.45">
      <c r="A233"/>
      <c r="B233" s="1"/>
    </row>
    <row r="234" spans="1:2" x14ac:dyDescent="0.45">
      <c r="A234"/>
      <c r="B234" s="1"/>
    </row>
    <row r="235" spans="1:2" x14ac:dyDescent="0.45">
      <c r="A235"/>
      <c r="B235" s="1"/>
    </row>
    <row r="236" spans="1:2" x14ac:dyDescent="0.45">
      <c r="A236"/>
      <c r="B236" s="1"/>
    </row>
    <row r="237" spans="1:2" x14ac:dyDescent="0.45">
      <c r="A237"/>
      <c r="B237" s="1"/>
    </row>
    <row r="238" spans="1:2" x14ac:dyDescent="0.45">
      <c r="A238"/>
      <c r="B238" s="1"/>
    </row>
    <row r="239" spans="1:2" x14ac:dyDescent="0.45">
      <c r="A239"/>
      <c r="B239" s="1"/>
    </row>
    <row r="240" spans="1:2" x14ac:dyDescent="0.45">
      <c r="A240"/>
      <c r="B240" s="1"/>
    </row>
    <row r="241" spans="1:2" x14ac:dyDescent="0.45">
      <c r="A241"/>
      <c r="B241" s="1"/>
    </row>
    <row r="242" spans="1:2" x14ac:dyDescent="0.45">
      <c r="A242"/>
      <c r="B242" s="1"/>
    </row>
    <row r="243" spans="1:2" x14ac:dyDescent="0.45">
      <c r="A243"/>
      <c r="B243" s="1"/>
    </row>
    <row r="244" spans="1:2" x14ac:dyDescent="0.45">
      <c r="A244"/>
      <c r="B244" s="1"/>
    </row>
    <row r="245" spans="1:2" x14ac:dyDescent="0.45">
      <c r="A245"/>
      <c r="B245" s="1"/>
    </row>
    <row r="246" spans="1:2" x14ac:dyDescent="0.45">
      <c r="A246"/>
      <c r="B246" s="1"/>
    </row>
    <row r="247" spans="1:2" x14ac:dyDescent="0.45">
      <c r="A247"/>
      <c r="B247" s="1"/>
    </row>
    <row r="248" spans="1:2" x14ac:dyDescent="0.45">
      <c r="A248"/>
      <c r="B248" s="1"/>
    </row>
    <row r="249" spans="1:2" x14ac:dyDescent="0.45">
      <c r="A249"/>
      <c r="B249" s="1"/>
    </row>
    <row r="250" spans="1:2" x14ac:dyDescent="0.45">
      <c r="A250"/>
      <c r="B250" s="1"/>
    </row>
    <row r="251" spans="1:2" x14ac:dyDescent="0.45">
      <c r="A251"/>
      <c r="B251" s="1"/>
    </row>
    <row r="252" spans="1:2" x14ac:dyDescent="0.45">
      <c r="A252"/>
      <c r="B252" s="1"/>
    </row>
    <row r="253" spans="1:2" x14ac:dyDescent="0.45">
      <c r="A253"/>
      <c r="B253" s="1"/>
    </row>
    <row r="254" spans="1:2" x14ac:dyDescent="0.45">
      <c r="A254"/>
      <c r="B254" s="1"/>
    </row>
    <row r="255" spans="1:2" x14ac:dyDescent="0.45">
      <c r="A255"/>
      <c r="B255" s="1"/>
    </row>
    <row r="256" spans="1:2" x14ac:dyDescent="0.45">
      <c r="A256"/>
      <c r="B256" s="1"/>
    </row>
    <row r="257" spans="1:2" x14ac:dyDescent="0.45">
      <c r="A257"/>
      <c r="B257" s="1"/>
    </row>
    <row r="258" spans="1:2" x14ac:dyDescent="0.45">
      <c r="A258"/>
      <c r="B258" s="1"/>
    </row>
    <row r="259" spans="1:2" x14ac:dyDescent="0.45">
      <c r="A259"/>
      <c r="B259" s="1"/>
    </row>
    <row r="260" spans="1:2" x14ac:dyDescent="0.45">
      <c r="A260"/>
      <c r="B260" s="1"/>
    </row>
    <row r="261" spans="1:2" x14ac:dyDescent="0.45">
      <c r="A261"/>
      <c r="B261" s="1"/>
    </row>
    <row r="262" spans="1:2" x14ac:dyDescent="0.45">
      <c r="A262"/>
      <c r="B262" s="1"/>
    </row>
    <row r="263" spans="1:2" x14ac:dyDescent="0.45">
      <c r="A263"/>
      <c r="B263" s="1"/>
    </row>
    <row r="264" spans="1:2" x14ac:dyDescent="0.45">
      <c r="A264"/>
      <c r="B264" s="1"/>
    </row>
    <row r="265" spans="1:2" x14ac:dyDescent="0.45">
      <c r="A265"/>
      <c r="B265" s="1"/>
    </row>
    <row r="266" spans="1:2" x14ac:dyDescent="0.45">
      <c r="A266"/>
      <c r="B266" s="1"/>
    </row>
    <row r="267" spans="1:2" x14ac:dyDescent="0.45">
      <c r="A267"/>
      <c r="B267" s="1"/>
    </row>
    <row r="268" spans="1:2" x14ac:dyDescent="0.45">
      <c r="A268"/>
      <c r="B268" s="1"/>
    </row>
    <row r="269" spans="1:2" x14ac:dyDescent="0.45">
      <c r="A269"/>
      <c r="B269" s="1"/>
    </row>
    <row r="270" spans="1:2" x14ac:dyDescent="0.45">
      <c r="A270"/>
      <c r="B270" s="1"/>
    </row>
    <row r="271" spans="1:2" x14ac:dyDescent="0.45">
      <c r="A271"/>
      <c r="B271" s="1"/>
    </row>
    <row r="272" spans="1:2" x14ac:dyDescent="0.45">
      <c r="A272"/>
      <c r="B272" s="1"/>
    </row>
    <row r="273" spans="1:2" x14ac:dyDescent="0.45">
      <c r="A273"/>
      <c r="B273" s="1"/>
    </row>
    <row r="274" spans="1:2" x14ac:dyDescent="0.45">
      <c r="A274"/>
      <c r="B274" s="1"/>
    </row>
    <row r="275" spans="1:2" x14ac:dyDescent="0.45">
      <c r="A275"/>
      <c r="B275" s="1"/>
    </row>
    <row r="276" spans="1:2" x14ac:dyDescent="0.45">
      <c r="A276"/>
      <c r="B276" s="1"/>
    </row>
    <row r="277" spans="1:2" x14ac:dyDescent="0.45">
      <c r="A277"/>
      <c r="B277" s="1"/>
    </row>
    <row r="278" spans="1:2" x14ac:dyDescent="0.45">
      <c r="A278"/>
      <c r="B278" s="1"/>
    </row>
    <row r="279" spans="1:2" x14ac:dyDescent="0.45">
      <c r="A279"/>
      <c r="B279" s="1"/>
    </row>
    <row r="280" spans="1:2" x14ac:dyDescent="0.45">
      <c r="A280"/>
      <c r="B280" s="1"/>
    </row>
    <row r="281" spans="1:2" x14ac:dyDescent="0.45">
      <c r="A281"/>
      <c r="B281" s="1"/>
    </row>
    <row r="282" spans="1:2" x14ac:dyDescent="0.45">
      <c r="A282"/>
      <c r="B282" s="1"/>
    </row>
    <row r="283" spans="1:2" x14ac:dyDescent="0.45">
      <c r="A283"/>
      <c r="B283" s="1"/>
    </row>
    <row r="284" spans="1:2" x14ac:dyDescent="0.45">
      <c r="A284"/>
      <c r="B284" s="1"/>
    </row>
    <row r="285" spans="1:2" x14ac:dyDescent="0.45">
      <c r="A285"/>
      <c r="B285" s="1"/>
    </row>
    <row r="286" spans="1:2" x14ac:dyDescent="0.45">
      <c r="A286"/>
      <c r="B286" s="1"/>
    </row>
    <row r="287" spans="1:2" x14ac:dyDescent="0.45">
      <c r="A287"/>
      <c r="B287" s="1"/>
    </row>
    <row r="288" spans="1:2" x14ac:dyDescent="0.45">
      <c r="A288"/>
      <c r="B288" s="1"/>
    </row>
    <row r="289" spans="1:2" x14ac:dyDescent="0.45">
      <c r="A289"/>
      <c r="B289" s="1"/>
    </row>
    <row r="290" spans="1:2" x14ac:dyDescent="0.45">
      <c r="A290"/>
      <c r="B290" s="1"/>
    </row>
    <row r="291" spans="1:2" x14ac:dyDescent="0.45">
      <c r="A291"/>
      <c r="B291" s="1"/>
    </row>
    <row r="292" spans="1:2" x14ac:dyDescent="0.45">
      <c r="A292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3A21-DCA5-4518-B1B8-23EA1D540140}">
  <sheetPr codeName="Лист15"/>
  <dimension ref="A1:P301"/>
  <sheetViews>
    <sheetView workbookViewId="0">
      <selection activeCell="K15" sqref="K15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>
        <v>209.5288109206173</v>
      </c>
      <c r="B2" s="2">
        <f>(A2-$G$4)*(A2-$G$4)</f>
        <v>4244.9109981712891</v>
      </c>
      <c r="F2" t="s">
        <v>9</v>
      </c>
      <c r="G2">
        <v>20</v>
      </c>
      <c r="O2" t="s">
        <v>11</v>
      </c>
    </row>
    <row r="3" spans="1:16" x14ac:dyDescent="0.45">
      <c r="A3">
        <v>234.92815281748139</v>
      </c>
      <c r="B3" s="2">
        <f t="shared" ref="B3:B21" si="0">(A3-$G$4)*(A3-$G$4)</f>
        <v>1580.351861593477</v>
      </c>
      <c r="E3" t="s">
        <v>6</v>
      </c>
      <c r="G3" s="2">
        <f>COUNT(A:A)</f>
        <v>20</v>
      </c>
      <c r="O3" s="4"/>
    </row>
    <row r="4" spans="1:16" x14ac:dyDescent="0.45">
      <c r="A4">
        <v>70.260555548940616</v>
      </c>
      <c r="B4" s="2">
        <f t="shared" si="0"/>
        <v>41788.042083618879</v>
      </c>
      <c r="E4" t="s">
        <v>0</v>
      </c>
      <c r="F4" s="2"/>
      <c r="G4" s="2">
        <f>SUM(A:A)/G2</f>
        <v>274.68179241932762</v>
      </c>
      <c r="O4" s="5">
        <f>(P4-G4)/G4</f>
        <v>0.12336600117933541</v>
      </c>
      <c r="P4">
        <f>'20'!G4</f>
        <v>308.56818674687236</v>
      </c>
    </row>
    <row r="5" spans="1:16" x14ac:dyDescent="0.45">
      <c r="A5">
        <v>369.86281739777667</v>
      </c>
      <c r="B5" s="2">
        <f t="shared" si="0"/>
        <v>9059.4275159481404</v>
      </c>
      <c r="E5" t="s">
        <v>1</v>
      </c>
      <c r="F5" s="2"/>
      <c r="G5" s="2">
        <f>SUM(B:B)/(G2-1)</f>
        <v>36024.14108279386</v>
      </c>
      <c r="O5" s="5">
        <f t="shared" ref="O5:O10" si="1">(P5-G5)/G5</f>
        <v>0.14394855072496682</v>
      </c>
      <c r="P5">
        <f>'20'!G5</f>
        <v>41209.763982773773</v>
      </c>
    </row>
    <row r="6" spans="1:16" x14ac:dyDescent="0.45">
      <c r="A6">
        <v>332.22945392144737</v>
      </c>
      <c r="B6" s="2">
        <f t="shared" si="0"/>
        <v>3311.7333443625557</v>
      </c>
      <c r="E6" t="s">
        <v>2</v>
      </c>
      <c r="F6" s="2"/>
      <c r="G6" s="2">
        <f>SQRT(G5)</f>
        <v>189.80026628746825</v>
      </c>
      <c r="J6" s="3"/>
      <c r="O6" s="5">
        <f t="shared" si="1"/>
        <v>6.9555305126839551E-2</v>
      </c>
      <c r="P6">
        <f>'20'!G6</f>
        <v>203.0018817222485</v>
      </c>
    </row>
    <row r="7" spans="1:16" ht="14.25" customHeight="1" x14ac:dyDescent="0.45">
      <c r="A7">
        <v>130.66504585089956</v>
      </c>
      <c r="B7" s="2">
        <f t="shared" si="0"/>
        <v>20740.823292154837</v>
      </c>
      <c r="E7" t="s">
        <v>3</v>
      </c>
      <c r="F7" s="2"/>
      <c r="G7" s="2">
        <f>G6/G4</f>
        <v>0.69098233492564465</v>
      </c>
      <c r="J7" s="3"/>
      <c r="O7" s="5">
        <f t="shared" si="1"/>
        <v>-4.7901303756749072E-2</v>
      </c>
      <c r="P7">
        <f>'20'!G7</f>
        <v>0.65788338020982362</v>
      </c>
    </row>
    <row r="8" spans="1:16" x14ac:dyDescent="0.45">
      <c r="A8">
        <v>107.26249292252238</v>
      </c>
      <c r="B8" s="2">
        <f t="shared" si="0"/>
        <v>28029.221844000975</v>
      </c>
      <c r="D8" s="7" t="s">
        <v>4</v>
      </c>
      <c r="E8">
        <v>0.9</v>
      </c>
      <c r="F8" s="2">
        <v>1.6839999999999999</v>
      </c>
      <c r="G8" s="2">
        <f>$G$13*F8</f>
        <v>71.470020510171764</v>
      </c>
      <c r="I8">
        <f>K8-G8</f>
        <v>203.21177190915586</v>
      </c>
      <c r="J8" s="3" t="s">
        <v>10</v>
      </c>
      <c r="K8">
        <f>$G$4</f>
        <v>274.68179241932762</v>
      </c>
      <c r="L8" s="3" t="s">
        <v>10</v>
      </c>
      <c r="M8">
        <f>K8+G8</f>
        <v>346.15181292949939</v>
      </c>
      <c r="O8" s="5">
        <f t="shared" si="1"/>
        <v>6.9555305126839509E-2</v>
      </c>
      <c r="P8">
        <f>'20'!G8</f>
        <v>76.441139594178239</v>
      </c>
    </row>
    <row r="9" spans="1:16" x14ac:dyDescent="0.45">
      <c r="A9">
        <v>304.89436045962498</v>
      </c>
      <c r="B9" s="2">
        <f t="shared" si="0"/>
        <v>912.79926758959721</v>
      </c>
      <c r="D9" s="7"/>
      <c r="E9">
        <v>0.95</v>
      </c>
      <c r="F9" s="2">
        <v>1.96</v>
      </c>
      <c r="G9" s="2">
        <f t="shared" ref="G9:G10" si="2">$G$13*F9</f>
        <v>83.183634323002764</v>
      </c>
      <c r="I9">
        <f t="shared" ref="I9:I10" si="3">K9-G9</f>
        <v>191.49815809632486</v>
      </c>
      <c r="J9" s="3" t="s">
        <v>10</v>
      </c>
      <c r="K9">
        <f t="shared" ref="K9:K10" si="4">$G$4</f>
        <v>274.68179241932762</v>
      </c>
      <c r="L9" s="3" t="s">
        <v>10</v>
      </c>
      <c r="M9">
        <f t="shared" ref="M9:M10" si="5">K9+G9</f>
        <v>357.86542674233038</v>
      </c>
      <c r="O9" s="5">
        <f t="shared" si="1"/>
        <v>6.9555305126839703E-2</v>
      </c>
      <c r="P9">
        <f>'20'!G9</f>
        <v>88.969497389898677</v>
      </c>
    </row>
    <row r="10" spans="1:16" x14ac:dyDescent="0.45">
      <c r="A10">
        <v>220.47323459778454</v>
      </c>
      <c r="B10" s="2">
        <f t="shared" si="0"/>
        <v>2938.5677410915796</v>
      </c>
      <c r="D10" s="7"/>
      <c r="E10">
        <v>0.99</v>
      </c>
      <c r="F10" s="2">
        <v>2.5790000000000002</v>
      </c>
      <c r="G10" s="2">
        <f t="shared" si="2"/>
        <v>109.45438414235926</v>
      </c>
      <c r="I10">
        <f t="shared" si="3"/>
        <v>165.22740827696836</v>
      </c>
      <c r="J10" s="3" t="s">
        <v>10</v>
      </c>
      <c r="K10">
        <f t="shared" si="4"/>
        <v>274.68179241932762</v>
      </c>
      <c r="L10" s="3" t="s">
        <v>10</v>
      </c>
      <c r="M10">
        <f t="shared" si="5"/>
        <v>384.13617656168685</v>
      </c>
      <c r="O10" s="5">
        <f t="shared" si="1"/>
        <v>6.9555305126839606E-2</v>
      </c>
      <c r="P10">
        <f>'20'!G10</f>
        <v>117.06751722885137</v>
      </c>
    </row>
    <row r="11" spans="1:16" x14ac:dyDescent="0.45">
      <c r="A11">
        <v>681.11685365201038</v>
      </c>
      <c r="B11" s="2">
        <f t="shared" si="0"/>
        <v>165189.45899921458</v>
      </c>
      <c r="E11" t="s">
        <v>5</v>
      </c>
      <c r="F11" s="2"/>
      <c r="O11" s="4"/>
    </row>
    <row r="12" spans="1:16" x14ac:dyDescent="0.45">
      <c r="A12">
        <v>254.72990256535178</v>
      </c>
      <c r="B12" s="2">
        <f t="shared" si="0"/>
        <v>398.07790874518417</v>
      </c>
      <c r="F12" s="2"/>
    </row>
    <row r="13" spans="1:16" x14ac:dyDescent="0.45">
      <c r="A13">
        <v>235.08798478663388</v>
      </c>
      <c r="B13" s="2">
        <f t="shared" si="0"/>
        <v>1567.6696028547569</v>
      </c>
      <c r="E13" t="s">
        <v>8</v>
      </c>
      <c r="F13" s="2"/>
      <c r="G13">
        <f>SQRT(G5/G2)</f>
        <v>42.440629756634067</v>
      </c>
    </row>
    <row r="14" spans="1:16" x14ac:dyDescent="0.45">
      <c r="A14">
        <v>121.42862981203696</v>
      </c>
      <c r="B14" s="2">
        <f t="shared" si="0"/>
        <v>23486.531849136678</v>
      </c>
      <c r="F14" s="2"/>
    </row>
    <row r="15" spans="1:16" x14ac:dyDescent="0.45">
      <c r="A15">
        <v>105.02894169849054</v>
      </c>
      <c r="B15" s="2">
        <f t="shared" si="0"/>
        <v>28782.089757706632</v>
      </c>
      <c r="F15" s="2"/>
    </row>
    <row r="16" spans="1:16" x14ac:dyDescent="0.45">
      <c r="A16">
        <v>443.57479891176058</v>
      </c>
      <c r="B16" s="2">
        <f t="shared" si="0"/>
        <v>28524.847642053002</v>
      </c>
    </row>
    <row r="17" spans="1:2" x14ac:dyDescent="0.45">
      <c r="A17">
        <v>267.03746963636996</v>
      </c>
      <c r="B17" s="2">
        <f t="shared" si="0"/>
        <v>58.435670810045522</v>
      </c>
    </row>
    <row r="18" spans="1:2" x14ac:dyDescent="0.45">
      <c r="A18">
        <v>401.70769464597328</v>
      </c>
      <c r="B18" s="2">
        <f t="shared" si="0"/>
        <v>16135.579836493342</v>
      </c>
    </row>
    <row r="19" spans="1:2" x14ac:dyDescent="0.45">
      <c r="A19">
        <v>59.379924321729256</v>
      </c>
      <c r="B19" s="2">
        <f t="shared" si="0"/>
        <v>46354.894406315645</v>
      </c>
    </row>
    <row r="20" spans="1:2" x14ac:dyDescent="0.45">
      <c r="A20">
        <v>774.96763544059399</v>
      </c>
      <c r="B20" s="2">
        <f t="shared" si="0"/>
        <v>250285.92472749919</v>
      </c>
    </row>
    <row r="21" spans="1:2" x14ac:dyDescent="0.45">
      <c r="A21">
        <v>169.47108847850711</v>
      </c>
      <c r="B21" s="2">
        <f t="shared" si="0"/>
        <v>11069.292223722983</v>
      </c>
    </row>
    <row r="22" spans="1:2" x14ac:dyDescent="0.45">
      <c r="A22"/>
      <c r="B22" s="1"/>
    </row>
    <row r="23" spans="1:2" x14ac:dyDescent="0.45">
      <c r="A23"/>
      <c r="B23" s="1"/>
    </row>
    <row r="24" spans="1:2" x14ac:dyDescent="0.45">
      <c r="A24"/>
      <c r="B24" s="1"/>
    </row>
    <row r="25" spans="1:2" x14ac:dyDescent="0.45">
      <c r="A25"/>
      <c r="B25" s="1"/>
    </row>
    <row r="26" spans="1:2" x14ac:dyDescent="0.45">
      <c r="A26"/>
      <c r="B26" s="1"/>
    </row>
    <row r="27" spans="1:2" x14ac:dyDescent="0.45">
      <c r="A27"/>
      <c r="B27" s="1"/>
    </row>
    <row r="28" spans="1:2" x14ac:dyDescent="0.45">
      <c r="A28"/>
      <c r="B28" s="1"/>
    </row>
    <row r="29" spans="1:2" x14ac:dyDescent="0.45">
      <c r="A29"/>
      <c r="B29" s="1"/>
    </row>
    <row r="30" spans="1:2" x14ac:dyDescent="0.45">
      <c r="A30"/>
      <c r="B30" s="1"/>
    </row>
    <row r="31" spans="1:2" x14ac:dyDescent="0.45">
      <c r="A31"/>
      <c r="B31" s="1"/>
    </row>
    <row r="32" spans="1:2" x14ac:dyDescent="0.45">
      <c r="A32"/>
      <c r="B32" s="1"/>
    </row>
    <row r="33" spans="1:2" x14ac:dyDescent="0.45">
      <c r="A33"/>
      <c r="B33" s="1"/>
    </row>
    <row r="34" spans="1:2" x14ac:dyDescent="0.45">
      <c r="A34"/>
      <c r="B34" s="1"/>
    </row>
    <row r="35" spans="1:2" x14ac:dyDescent="0.45">
      <c r="A35"/>
      <c r="B35" s="1"/>
    </row>
    <row r="36" spans="1:2" x14ac:dyDescent="0.45">
      <c r="A36"/>
      <c r="B36" s="1"/>
    </row>
    <row r="37" spans="1:2" x14ac:dyDescent="0.45">
      <c r="A37"/>
      <c r="B37" s="1"/>
    </row>
    <row r="38" spans="1:2" x14ac:dyDescent="0.45">
      <c r="A38"/>
      <c r="B38" s="1"/>
    </row>
    <row r="39" spans="1:2" x14ac:dyDescent="0.45">
      <c r="A39"/>
      <c r="B39" s="1"/>
    </row>
    <row r="40" spans="1:2" x14ac:dyDescent="0.45">
      <c r="A40"/>
      <c r="B40" s="1"/>
    </row>
    <row r="41" spans="1:2" x14ac:dyDescent="0.45">
      <c r="A41"/>
      <c r="B41" s="1"/>
    </row>
    <row r="42" spans="1:2" x14ac:dyDescent="0.45">
      <c r="A42"/>
      <c r="B42" s="1"/>
    </row>
    <row r="43" spans="1:2" x14ac:dyDescent="0.45">
      <c r="A43"/>
      <c r="B43" s="1"/>
    </row>
    <row r="44" spans="1:2" x14ac:dyDescent="0.45">
      <c r="A44"/>
      <c r="B44" s="1"/>
    </row>
    <row r="45" spans="1:2" x14ac:dyDescent="0.45">
      <c r="A45"/>
      <c r="B45" s="1"/>
    </row>
    <row r="46" spans="1:2" x14ac:dyDescent="0.45">
      <c r="A46"/>
      <c r="B46" s="1"/>
    </row>
    <row r="47" spans="1:2" x14ac:dyDescent="0.45">
      <c r="A47"/>
      <c r="B47" s="1"/>
    </row>
    <row r="48" spans="1:2" x14ac:dyDescent="0.45">
      <c r="A48"/>
      <c r="B48" s="1"/>
    </row>
    <row r="49" spans="1:2" x14ac:dyDescent="0.45">
      <c r="A49"/>
      <c r="B49" s="1"/>
    </row>
    <row r="50" spans="1:2" x14ac:dyDescent="0.45">
      <c r="A50"/>
      <c r="B50" s="1"/>
    </row>
    <row r="51" spans="1:2" x14ac:dyDescent="0.45">
      <c r="A51"/>
      <c r="B51" s="1"/>
    </row>
    <row r="52" spans="1:2" x14ac:dyDescent="0.45">
      <c r="A52"/>
      <c r="B52" s="1"/>
    </row>
    <row r="53" spans="1:2" x14ac:dyDescent="0.45">
      <c r="A53"/>
      <c r="B53" s="1"/>
    </row>
    <row r="54" spans="1:2" x14ac:dyDescent="0.45">
      <c r="A54"/>
      <c r="B54" s="1"/>
    </row>
    <row r="55" spans="1:2" x14ac:dyDescent="0.45">
      <c r="A55"/>
      <c r="B55" s="1"/>
    </row>
    <row r="56" spans="1:2" x14ac:dyDescent="0.45">
      <c r="A56"/>
      <c r="B56" s="1"/>
    </row>
    <row r="57" spans="1:2" x14ac:dyDescent="0.45">
      <c r="A57"/>
      <c r="B57" s="1"/>
    </row>
    <row r="58" spans="1:2" x14ac:dyDescent="0.45">
      <c r="A58"/>
      <c r="B58" s="1"/>
    </row>
    <row r="59" spans="1:2" x14ac:dyDescent="0.45">
      <c r="A59"/>
      <c r="B59" s="1"/>
    </row>
    <row r="60" spans="1:2" x14ac:dyDescent="0.45">
      <c r="A60"/>
      <c r="B60" s="1"/>
    </row>
    <row r="61" spans="1:2" x14ac:dyDescent="0.45">
      <c r="A61"/>
      <c r="B61" s="1"/>
    </row>
    <row r="62" spans="1:2" x14ac:dyDescent="0.45">
      <c r="A62"/>
      <c r="B62" s="1"/>
    </row>
    <row r="63" spans="1:2" x14ac:dyDescent="0.45">
      <c r="A63"/>
      <c r="B63" s="1"/>
    </row>
    <row r="64" spans="1:2" x14ac:dyDescent="0.45">
      <c r="A64"/>
      <c r="B64" s="1"/>
    </row>
    <row r="65" spans="1:2" x14ac:dyDescent="0.45">
      <c r="A65"/>
      <c r="B65" s="1"/>
    </row>
    <row r="66" spans="1:2" x14ac:dyDescent="0.45">
      <c r="A66"/>
      <c r="B66" s="1"/>
    </row>
    <row r="67" spans="1:2" x14ac:dyDescent="0.45">
      <c r="A67"/>
      <c r="B67" s="1"/>
    </row>
    <row r="68" spans="1:2" x14ac:dyDescent="0.45">
      <c r="A68"/>
      <c r="B68" s="1"/>
    </row>
    <row r="69" spans="1:2" x14ac:dyDescent="0.45">
      <c r="A69"/>
      <c r="B69" s="1"/>
    </row>
    <row r="70" spans="1:2" x14ac:dyDescent="0.45">
      <c r="A70"/>
      <c r="B70" s="1"/>
    </row>
    <row r="71" spans="1:2" x14ac:dyDescent="0.45">
      <c r="A71"/>
      <c r="B71" s="1"/>
    </row>
    <row r="72" spans="1:2" x14ac:dyDescent="0.45">
      <c r="A72"/>
      <c r="B72" s="1"/>
    </row>
    <row r="73" spans="1:2" x14ac:dyDescent="0.45">
      <c r="A73"/>
      <c r="B73" s="1"/>
    </row>
    <row r="74" spans="1:2" x14ac:dyDescent="0.45">
      <c r="A74"/>
      <c r="B74" s="1"/>
    </row>
    <row r="75" spans="1:2" x14ac:dyDescent="0.45">
      <c r="A75"/>
      <c r="B75" s="1"/>
    </row>
    <row r="76" spans="1:2" x14ac:dyDescent="0.45">
      <c r="A76"/>
      <c r="B76" s="1"/>
    </row>
    <row r="77" spans="1:2" x14ac:dyDescent="0.45">
      <c r="A77"/>
      <c r="B77" s="1"/>
    </row>
    <row r="78" spans="1:2" x14ac:dyDescent="0.45">
      <c r="A78"/>
      <c r="B78" s="1"/>
    </row>
    <row r="79" spans="1:2" x14ac:dyDescent="0.45">
      <c r="A79"/>
      <c r="B79" s="1"/>
    </row>
    <row r="80" spans="1:2" x14ac:dyDescent="0.45">
      <c r="A80"/>
      <c r="B80" s="1"/>
    </row>
    <row r="81" spans="1:2" x14ac:dyDescent="0.45">
      <c r="A81"/>
      <c r="B81" s="1"/>
    </row>
    <row r="82" spans="1:2" x14ac:dyDescent="0.45">
      <c r="A82"/>
      <c r="B82" s="1"/>
    </row>
    <row r="83" spans="1:2" x14ac:dyDescent="0.45">
      <c r="A83"/>
      <c r="B83" s="1"/>
    </row>
    <row r="84" spans="1:2" x14ac:dyDescent="0.45">
      <c r="A84"/>
      <c r="B84" s="1"/>
    </row>
    <row r="85" spans="1:2" x14ac:dyDescent="0.45">
      <c r="A85"/>
      <c r="B85" s="1"/>
    </row>
    <row r="86" spans="1:2" x14ac:dyDescent="0.45">
      <c r="A86"/>
      <c r="B86" s="1"/>
    </row>
    <row r="87" spans="1:2" x14ac:dyDescent="0.45">
      <c r="A87"/>
      <c r="B87" s="1"/>
    </row>
    <row r="88" spans="1:2" x14ac:dyDescent="0.45">
      <c r="A88"/>
      <c r="B88" s="1"/>
    </row>
    <row r="89" spans="1:2" x14ac:dyDescent="0.45">
      <c r="A89"/>
      <c r="B89" s="1"/>
    </row>
    <row r="90" spans="1:2" x14ac:dyDescent="0.45">
      <c r="A90"/>
      <c r="B90" s="1"/>
    </row>
    <row r="91" spans="1:2" x14ac:dyDescent="0.45">
      <c r="A91"/>
      <c r="B91" s="1"/>
    </row>
    <row r="92" spans="1:2" x14ac:dyDescent="0.45">
      <c r="A92"/>
      <c r="B92" s="1"/>
    </row>
    <row r="93" spans="1:2" x14ac:dyDescent="0.45">
      <c r="A93"/>
      <c r="B93" s="1"/>
    </row>
    <row r="94" spans="1:2" x14ac:dyDescent="0.45">
      <c r="A94"/>
      <c r="B94" s="1"/>
    </row>
    <row r="95" spans="1:2" x14ac:dyDescent="0.45">
      <c r="A95"/>
      <c r="B95" s="1"/>
    </row>
    <row r="96" spans="1:2" x14ac:dyDescent="0.45">
      <c r="A96"/>
      <c r="B96" s="1"/>
    </row>
    <row r="97" spans="1:2" x14ac:dyDescent="0.45">
      <c r="A97"/>
      <c r="B97" s="1"/>
    </row>
    <row r="98" spans="1:2" x14ac:dyDescent="0.45">
      <c r="A98"/>
      <c r="B98" s="1"/>
    </row>
    <row r="99" spans="1:2" x14ac:dyDescent="0.45">
      <c r="A99"/>
      <c r="B99" s="1"/>
    </row>
    <row r="100" spans="1:2" x14ac:dyDescent="0.45">
      <c r="A100"/>
      <c r="B100" s="1"/>
    </row>
    <row r="101" spans="1:2" x14ac:dyDescent="0.45">
      <c r="A101"/>
      <c r="B101" s="1"/>
    </row>
    <row r="102" spans="1:2" x14ac:dyDescent="0.45">
      <c r="A102"/>
      <c r="B102" s="1"/>
    </row>
    <row r="103" spans="1:2" x14ac:dyDescent="0.45">
      <c r="A103"/>
      <c r="B103" s="1"/>
    </row>
    <row r="104" spans="1:2" x14ac:dyDescent="0.45">
      <c r="A104"/>
      <c r="B104" s="1"/>
    </row>
    <row r="105" spans="1:2" x14ac:dyDescent="0.45">
      <c r="A105"/>
      <c r="B105" s="1"/>
    </row>
    <row r="106" spans="1:2" x14ac:dyDescent="0.45">
      <c r="A106"/>
      <c r="B106" s="1"/>
    </row>
    <row r="107" spans="1:2" x14ac:dyDescent="0.45">
      <c r="A107"/>
      <c r="B107" s="1"/>
    </row>
    <row r="108" spans="1:2" x14ac:dyDescent="0.45">
      <c r="A108"/>
      <c r="B108" s="1"/>
    </row>
    <row r="109" spans="1:2" x14ac:dyDescent="0.45">
      <c r="A109"/>
      <c r="B109" s="1"/>
    </row>
    <row r="110" spans="1:2" x14ac:dyDescent="0.45">
      <c r="A110"/>
      <c r="B110" s="1"/>
    </row>
    <row r="111" spans="1:2" x14ac:dyDescent="0.45">
      <c r="A111"/>
      <c r="B111" s="1"/>
    </row>
    <row r="112" spans="1:2" x14ac:dyDescent="0.45">
      <c r="A112"/>
      <c r="B112" s="1"/>
    </row>
    <row r="113" spans="1:2" x14ac:dyDescent="0.45">
      <c r="A113"/>
      <c r="B113" s="1"/>
    </row>
    <row r="114" spans="1:2" x14ac:dyDescent="0.45">
      <c r="A114"/>
      <c r="B114" s="1"/>
    </row>
    <row r="115" spans="1:2" x14ac:dyDescent="0.45">
      <c r="A115"/>
      <c r="B115" s="1"/>
    </row>
    <row r="116" spans="1:2" x14ac:dyDescent="0.45">
      <c r="A116"/>
      <c r="B116" s="1"/>
    </row>
    <row r="117" spans="1:2" x14ac:dyDescent="0.45">
      <c r="A117"/>
      <c r="B117" s="1"/>
    </row>
    <row r="118" spans="1:2" x14ac:dyDescent="0.45">
      <c r="A118"/>
      <c r="B118" s="1"/>
    </row>
    <row r="119" spans="1:2" x14ac:dyDescent="0.45">
      <c r="A119"/>
      <c r="B119" s="1"/>
    </row>
    <row r="120" spans="1:2" x14ac:dyDescent="0.45">
      <c r="A120"/>
      <c r="B120" s="1"/>
    </row>
    <row r="121" spans="1:2" x14ac:dyDescent="0.45">
      <c r="A121"/>
      <c r="B121" s="1"/>
    </row>
    <row r="122" spans="1:2" x14ac:dyDescent="0.45">
      <c r="A122"/>
      <c r="B122" s="1"/>
    </row>
    <row r="123" spans="1:2" x14ac:dyDescent="0.45">
      <c r="A123"/>
      <c r="B123" s="1"/>
    </row>
    <row r="124" spans="1:2" x14ac:dyDescent="0.45">
      <c r="A124"/>
      <c r="B124" s="1"/>
    </row>
    <row r="125" spans="1:2" x14ac:dyDescent="0.45">
      <c r="A125"/>
      <c r="B125" s="1"/>
    </row>
    <row r="126" spans="1:2" x14ac:dyDescent="0.45">
      <c r="A126"/>
      <c r="B126" s="1"/>
    </row>
    <row r="127" spans="1:2" x14ac:dyDescent="0.45">
      <c r="A127"/>
      <c r="B127" s="1"/>
    </row>
    <row r="128" spans="1:2" x14ac:dyDescent="0.45">
      <c r="A128"/>
      <c r="B128" s="1"/>
    </row>
    <row r="129" spans="1:2" x14ac:dyDescent="0.45">
      <c r="A129"/>
      <c r="B129" s="1"/>
    </row>
    <row r="130" spans="1:2" x14ac:dyDescent="0.45">
      <c r="A130"/>
      <c r="B130" s="1"/>
    </row>
    <row r="131" spans="1:2" x14ac:dyDescent="0.45">
      <c r="A131"/>
      <c r="B131" s="1"/>
    </row>
    <row r="132" spans="1:2" x14ac:dyDescent="0.45">
      <c r="A132"/>
      <c r="B132" s="1"/>
    </row>
    <row r="133" spans="1:2" x14ac:dyDescent="0.45">
      <c r="A133"/>
      <c r="B133" s="1"/>
    </row>
    <row r="134" spans="1:2" x14ac:dyDescent="0.45">
      <c r="A134"/>
      <c r="B134" s="1"/>
    </row>
    <row r="135" spans="1:2" x14ac:dyDescent="0.45">
      <c r="A135"/>
      <c r="B135" s="1"/>
    </row>
    <row r="136" spans="1:2" x14ac:dyDescent="0.45">
      <c r="A136"/>
      <c r="B136" s="1"/>
    </row>
    <row r="137" spans="1:2" x14ac:dyDescent="0.45">
      <c r="A137"/>
      <c r="B137" s="1"/>
    </row>
    <row r="138" spans="1:2" x14ac:dyDescent="0.45">
      <c r="A138"/>
      <c r="B138" s="1"/>
    </row>
    <row r="139" spans="1:2" x14ac:dyDescent="0.45">
      <c r="A139"/>
      <c r="B139" s="1"/>
    </row>
    <row r="140" spans="1:2" x14ac:dyDescent="0.45">
      <c r="A140"/>
      <c r="B140" s="1"/>
    </row>
    <row r="141" spans="1:2" x14ac:dyDescent="0.45">
      <c r="A141"/>
      <c r="B141" s="1"/>
    </row>
    <row r="142" spans="1:2" x14ac:dyDescent="0.45">
      <c r="A142"/>
      <c r="B142" s="1"/>
    </row>
    <row r="143" spans="1:2" x14ac:dyDescent="0.45">
      <c r="A143"/>
      <c r="B143" s="1"/>
    </row>
    <row r="144" spans="1:2" x14ac:dyDescent="0.45">
      <c r="A144"/>
      <c r="B144" s="1"/>
    </row>
    <row r="145" spans="1:2" x14ac:dyDescent="0.45">
      <c r="A145"/>
      <c r="B145" s="1"/>
    </row>
    <row r="146" spans="1:2" x14ac:dyDescent="0.45">
      <c r="A146"/>
      <c r="B146" s="1"/>
    </row>
    <row r="147" spans="1:2" x14ac:dyDescent="0.45">
      <c r="A147"/>
      <c r="B147" s="1"/>
    </row>
    <row r="148" spans="1:2" x14ac:dyDescent="0.45">
      <c r="A148"/>
      <c r="B148" s="1"/>
    </row>
    <row r="149" spans="1:2" x14ac:dyDescent="0.45">
      <c r="A149"/>
      <c r="B149" s="1"/>
    </row>
    <row r="150" spans="1:2" x14ac:dyDescent="0.45">
      <c r="A150"/>
      <c r="B150" s="1"/>
    </row>
    <row r="151" spans="1:2" x14ac:dyDescent="0.45">
      <c r="A151"/>
      <c r="B151" s="1"/>
    </row>
    <row r="152" spans="1:2" x14ac:dyDescent="0.45">
      <c r="A152"/>
      <c r="B152" s="1"/>
    </row>
    <row r="153" spans="1:2" x14ac:dyDescent="0.45">
      <c r="A153"/>
      <c r="B153" s="1"/>
    </row>
    <row r="154" spans="1:2" x14ac:dyDescent="0.45">
      <c r="A154"/>
      <c r="B154" s="1"/>
    </row>
    <row r="155" spans="1:2" x14ac:dyDescent="0.45">
      <c r="A155"/>
      <c r="B155" s="1"/>
    </row>
    <row r="156" spans="1:2" x14ac:dyDescent="0.45">
      <c r="A156"/>
      <c r="B156" s="1"/>
    </row>
    <row r="157" spans="1:2" x14ac:dyDescent="0.45">
      <c r="A157"/>
      <c r="B157" s="1"/>
    </row>
    <row r="158" spans="1:2" x14ac:dyDescent="0.45">
      <c r="A158"/>
      <c r="B158" s="1"/>
    </row>
    <row r="159" spans="1:2" x14ac:dyDescent="0.45">
      <c r="A159"/>
      <c r="B159" s="1"/>
    </row>
    <row r="160" spans="1:2" x14ac:dyDescent="0.45">
      <c r="A160"/>
      <c r="B160" s="1"/>
    </row>
    <row r="161" spans="1:2" x14ac:dyDescent="0.45">
      <c r="A161"/>
      <c r="B161" s="1"/>
    </row>
    <row r="162" spans="1:2" x14ac:dyDescent="0.45">
      <c r="A162"/>
      <c r="B162" s="1"/>
    </row>
    <row r="163" spans="1:2" x14ac:dyDescent="0.45">
      <c r="A163"/>
      <c r="B163" s="1"/>
    </row>
    <row r="164" spans="1:2" x14ac:dyDescent="0.45">
      <c r="A164"/>
      <c r="B164" s="1"/>
    </row>
    <row r="165" spans="1:2" x14ac:dyDescent="0.45">
      <c r="A165"/>
      <c r="B165" s="1"/>
    </row>
    <row r="166" spans="1:2" x14ac:dyDescent="0.45">
      <c r="A166"/>
      <c r="B166" s="1"/>
    </row>
    <row r="167" spans="1:2" x14ac:dyDescent="0.45">
      <c r="A167"/>
      <c r="B167" s="1"/>
    </row>
    <row r="168" spans="1:2" x14ac:dyDescent="0.45">
      <c r="A168"/>
      <c r="B168" s="1"/>
    </row>
    <row r="169" spans="1:2" x14ac:dyDescent="0.45">
      <c r="A169"/>
      <c r="B169" s="1"/>
    </row>
    <row r="170" spans="1:2" x14ac:dyDescent="0.45">
      <c r="A170"/>
      <c r="B170" s="1"/>
    </row>
    <row r="171" spans="1:2" x14ac:dyDescent="0.45">
      <c r="A171"/>
      <c r="B171" s="1"/>
    </row>
    <row r="172" spans="1:2" x14ac:dyDescent="0.45">
      <c r="A172"/>
      <c r="B172" s="1"/>
    </row>
    <row r="173" spans="1:2" x14ac:dyDescent="0.45">
      <c r="A173"/>
      <c r="B173" s="1"/>
    </row>
    <row r="174" spans="1:2" x14ac:dyDescent="0.45">
      <c r="A174"/>
      <c r="B174" s="1"/>
    </row>
    <row r="175" spans="1:2" x14ac:dyDescent="0.45">
      <c r="A175"/>
      <c r="B175" s="1"/>
    </row>
    <row r="176" spans="1:2" x14ac:dyDescent="0.45">
      <c r="A176"/>
      <c r="B176" s="1"/>
    </row>
    <row r="177" spans="1:2" x14ac:dyDescent="0.45">
      <c r="A177"/>
      <c r="B177" s="1"/>
    </row>
    <row r="178" spans="1:2" x14ac:dyDescent="0.45">
      <c r="A178"/>
      <c r="B178" s="1"/>
    </row>
    <row r="179" spans="1:2" x14ac:dyDescent="0.45">
      <c r="A179"/>
      <c r="B179" s="1"/>
    </row>
    <row r="180" spans="1:2" x14ac:dyDescent="0.45">
      <c r="A180"/>
      <c r="B180" s="1"/>
    </row>
    <row r="181" spans="1:2" x14ac:dyDescent="0.45">
      <c r="A181"/>
      <c r="B181" s="1"/>
    </row>
    <row r="182" spans="1:2" x14ac:dyDescent="0.45">
      <c r="A182"/>
      <c r="B182" s="1"/>
    </row>
    <row r="183" spans="1:2" x14ac:dyDescent="0.45">
      <c r="A183"/>
      <c r="B183" s="1"/>
    </row>
    <row r="184" spans="1:2" x14ac:dyDescent="0.45">
      <c r="A184"/>
      <c r="B184" s="1"/>
    </row>
    <row r="185" spans="1:2" x14ac:dyDescent="0.45">
      <c r="A185"/>
      <c r="B185" s="1"/>
    </row>
    <row r="186" spans="1:2" x14ac:dyDescent="0.45">
      <c r="A186"/>
      <c r="B186" s="1"/>
    </row>
    <row r="187" spans="1:2" x14ac:dyDescent="0.45">
      <c r="A187"/>
      <c r="B187" s="1"/>
    </row>
    <row r="188" spans="1:2" x14ac:dyDescent="0.45">
      <c r="A188"/>
      <c r="B188" s="1"/>
    </row>
    <row r="189" spans="1:2" x14ac:dyDescent="0.45">
      <c r="A189"/>
      <c r="B189" s="1"/>
    </row>
    <row r="190" spans="1:2" x14ac:dyDescent="0.45">
      <c r="A190"/>
      <c r="B190" s="1"/>
    </row>
    <row r="191" spans="1:2" x14ac:dyDescent="0.45">
      <c r="A191"/>
      <c r="B191" s="1"/>
    </row>
    <row r="192" spans="1:2" x14ac:dyDescent="0.45">
      <c r="A192"/>
      <c r="B192" s="1"/>
    </row>
    <row r="193" spans="1:2" x14ac:dyDescent="0.45">
      <c r="A193"/>
      <c r="B193" s="1"/>
    </row>
    <row r="194" spans="1:2" x14ac:dyDescent="0.45">
      <c r="A194"/>
      <c r="B194" s="1"/>
    </row>
    <row r="195" spans="1:2" x14ac:dyDescent="0.45">
      <c r="A195"/>
      <c r="B195" s="1"/>
    </row>
    <row r="196" spans="1:2" x14ac:dyDescent="0.45">
      <c r="A196"/>
      <c r="B196" s="1"/>
    </row>
    <row r="197" spans="1:2" x14ac:dyDescent="0.45">
      <c r="A197"/>
      <c r="B197" s="1"/>
    </row>
    <row r="198" spans="1:2" x14ac:dyDescent="0.45">
      <c r="A198"/>
      <c r="B198" s="1"/>
    </row>
    <row r="199" spans="1:2" x14ac:dyDescent="0.45">
      <c r="A199"/>
      <c r="B199" s="1"/>
    </row>
    <row r="200" spans="1:2" x14ac:dyDescent="0.45">
      <c r="A200"/>
      <c r="B200" s="1"/>
    </row>
    <row r="201" spans="1:2" x14ac:dyDescent="0.45">
      <c r="A201"/>
      <c r="B201" s="1"/>
    </row>
    <row r="202" spans="1:2" x14ac:dyDescent="0.45">
      <c r="A202"/>
      <c r="B202" s="1"/>
    </row>
    <row r="203" spans="1:2" x14ac:dyDescent="0.45">
      <c r="A203"/>
      <c r="B203" s="1"/>
    </row>
    <row r="204" spans="1:2" x14ac:dyDescent="0.45">
      <c r="A204"/>
      <c r="B204" s="1"/>
    </row>
    <row r="205" spans="1:2" x14ac:dyDescent="0.45">
      <c r="A205"/>
      <c r="B205" s="1"/>
    </row>
    <row r="206" spans="1:2" x14ac:dyDescent="0.45">
      <c r="A206"/>
      <c r="B206" s="1"/>
    </row>
    <row r="207" spans="1:2" x14ac:dyDescent="0.45">
      <c r="A207"/>
      <c r="B207" s="1"/>
    </row>
    <row r="208" spans="1:2" x14ac:dyDescent="0.45">
      <c r="A208"/>
      <c r="B208" s="1"/>
    </row>
    <row r="209" spans="1:2" x14ac:dyDescent="0.45">
      <c r="A209"/>
      <c r="B209" s="1"/>
    </row>
    <row r="210" spans="1:2" x14ac:dyDescent="0.45">
      <c r="A210"/>
      <c r="B210" s="1"/>
    </row>
    <row r="211" spans="1:2" x14ac:dyDescent="0.45">
      <c r="A211"/>
      <c r="B211" s="1"/>
    </row>
    <row r="212" spans="1:2" x14ac:dyDescent="0.45">
      <c r="A212"/>
      <c r="B212" s="1"/>
    </row>
    <row r="213" spans="1:2" x14ac:dyDescent="0.45">
      <c r="A213"/>
      <c r="B213" s="1"/>
    </row>
    <row r="214" spans="1:2" x14ac:dyDescent="0.45">
      <c r="A214"/>
      <c r="B214" s="1"/>
    </row>
    <row r="215" spans="1:2" x14ac:dyDescent="0.45">
      <c r="A215"/>
      <c r="B215" s="1"/>
    </row>
    <row r="216" spans="1:2" x14ac:dyDescent="0.45">
      <c r="A216"/>
      <c r="B216" s="1"/>
    </row>
    <row r="217" spans="1:2" x14ac:dyDescent="0.45">
      <c r="A217"/>
      <c r="B217" s="1"/>
    </row>
    <row r="218" spans="1:2" x14ac:dyDescent="0.45">
      <c r="A218"/>
      <c r="B218" s="1"/>
    </row>
    <row r="219" spans="1:2" x14ac:dyDescent="0.45">
      <c r="A219"/>
      <c r="B219" s="1"/>
    </row>
    <row r="220" spans="1:2" x14ac:dyDescent="0.45">
      <c r="A220"/>
      <c r="B220" s="1"/>
    </row>
    <row r="221" spans="1:2" x14ac:dyDescent="0.45">
      <c r="A221"/>
      <c r="B221" s="1"/>
    </row>
    <row r="222" spans="1:2" x14ac:dyDescent="0.45">
      <c r="A222"/>
      <c r="B222" s="1"/>
    </row>
    <row r="223" spans="1:2" x14ac:dyDescent="0.45">
      <c r="A223"/>
      <c r="B223" s="1"/>
    </row>
    <row r="224" spans="1:2" x14ac:dyDescent="0.45">
      <c r="A224"/>
      <c r="B224" s="1"/>
    </row>
    <row r="225" spans="1:2" x14ac:dyDescent="0.45">
      <c r="A225"/>
      <c r="B225" s="1"/>
    </row>
    <row r="226" spans="1:2" x14ac:dyDescent="0.45">
      <c r="A226"/>
      <c r="B226" s="1"/>
    </row>
    <row r="227" spans="1:2" x14ac:dyDescent="0.45">
      <c r="A227"/>
      <c r="B227" s="1"/>
    </row>
    <row r="228" spans="1:2" x14ac:dyDescent="0.45">
      <c r="A228"/>
      <c r="B228" s="1"/>
    </row>
    <row r="229" spans="1:2" x14ac:dyDescent="0.45">
      <c r="A229"/>
      <c r="B229" s="1"/>
    </row>
    <row r="230" spans="1:2" x14ac:dyDescent="0.45">
      <c r="A230"/>
      <c r="B230" s="1"/>
    </row>
    <row r="231" spans="1:2" x14ac:dyDescent="0.45">
      <c r="A231"/>
      <c r="B231" s="1"/>
    </row>
    <row r="232" spans="1:2" x14ac:dyDescent="0.45">
      <c r="A232"/>
      <c r="B232" s="1"/>
    </row>
    <row r="233" spans="1:2" x14ac:dyDescent="0.45">
      <c r="A233"/>
      <c r="B233" s="1"/>
    </row>
    <row r="234" spans="1:2" x14ac:dyDescent="0.45">
      <c r="A234"/>
      <c r="B234" s="1"/>
    </row>
    <row r="235" spans="1:2" x14ac:dyDescent="0.45">
      <c r="A235"/>
      <c r="B235" s="1"/>
    </row>
    <row r="236" spans="1:2" x14ac:dyDescent="0.45">
      <c r="A236"/>
      <c r="B236" s="1"/>
    </row>
    <row r="237" spans="1:2" x14ac:dyDescent="0.45">
      <c r="A237"/>
      <c r="B237" s="1"/>
    </row>
    <row r="238" spans="1:2" x14ac:dyDescent="0.45">
      <c r="A238"/>
      <c r="B238" s="1"/>
    </row>
    <row r="239" spans="1:2" x14ac:dyDescent="0.45">
      <c r="A239"/>
      <c r="B239" s="1"/>
    </row>
    <row r="240" spans="1:2" x14ac:dyDescent="0.45">
      <c r="A240"/>
      <c r="B240" s="1"/>
    </row>
    <row r="241" spans="1:2" x14ac:dyDescent="0.45">
      <c r="A241"/>
      <c r="B241" s="1"/>
    </row>
    <row r="242" spans="1:2" x14ac:dyDescent="0.45">
      <c r="A242"/>
      <c r="B242" s="1"/>
    </row>
    <row r="243" spans="1:2" x14ac:dyDescent="0.45">
      <c r="A243"/>
      <c r="B243" s="1"/>
    </row>
    <row r="244" spans="1:2" x14ac:dyDescent="0.45">
      <c r="A244"/>
      <c r="B244" s="1"/>
    </row>
    <row r="245" spans="1:2" x14ac:dyDescent="0.45">
      <c r="A245"/>
      <c r="B245" s="1"/>
    </row>
    <row r="246" spans="1:2" x14ac:dyDescent="0.45">
      <c r="A246"/>
      <c r="B246" s="1"/>
    </row>
    <row r="247" spans="1:2" x14ac:dyDescent="0.45">
      <c r="A247"/>
      <c r="B247" s="1"/>
    </row>
    <row r="248" spans="1:2" x14ac:dyDescent="0.45">
      <c r="A248"/>
      <c r="B248" s="1"/>
    </row>
    <row r="249" spans="1:2" x14ac:dyDescent="0.45">
      <c r="A249"/>
      <c r="B249" s="1"/>
    </row>
    <row r="250" spans="1:2" x14ac:dyDescent="0.45">
      <c r="A250"/>
      <c r="B250" s="1"/>
    </row>
    <row r="251" spans="1:2" x14ac:dyDescent="0.45">
      <c r="A251"/>
      <c r="B251" s="1"/>
    </row>
    <row r="252" spans="1:2" x14ac:dyDescent="0.45">
      <c r="A252"/>
      <c r="B252" s="1"/>
    </row>
    <row r="253" spans="1:2" x14ac:dyDescent="0.45">
      <c r="A253"/>
      <c r="B253" s="1"/>
    </row>
    <row r="254" spans="1:2" x14ac:dyDescent="0.45">
      <c r="A254"/>
      <c r="B254" s="1"/>
    </row>
    <row r="255" spans="1:2" x14ac:dyDescent="0.45">
      <c r="A255"/>
      <c r="B255" s="1"/>
    </row>
    <row r="256" spans="1:2" x14ac:dyDescent="0.45">
      <c r="A256"/>
      <c r="B256" s="1"/>
    </row>
    <row r="257" spans="1:2" x14ac:dyDescent="0.45">
      <c r="A257"/>
      <c r="B257" s="1"/>
    </row>
    <row r="258" spans="1:2" x14ac:dyDescent="0.45">
      <c r="A258"/>
      <c r="B258" s="1"/>
    </row>
    <row r="259" spans="1:2" x14ac:dyDescent="0.45">
      <c r="A259"/>
      <c r="B259" s="1"/>
    </row>
    <row r="260" spans="1:2" x14ac:dyDescent="0.45">
      <c r="A260"/>
      <c r="B260" s="1"/>
    </row>
    <row r="261" spans="1:2" x14ac:dyDescent="0.45">
      <c r="A261"/>
      <c r="B261" s="1"/>
    </row>
    <row r="262" spans="1:2" x14ac:dyDescent="0.45">
      <c r="A262"/>
      <c r="B262" s="1"/>
    </row>
    <row r="263" spans="1:2" x14ac:dyDescent="0.45">
      <c r="A263"/>
      <c r="B263" s="1"/>
    </row>
    <row r="264" spans="1:2" x14ac:dyDescent="0.45">
      <c r="A264"/>
      <c r="B264" s="1"/>
    </row>
    <row r="265" spans="1:2" x14ac:dyDescent="0.45">
      <c r="A265"/>
      <c r="B265" s="1"/>
    </row>
    <row r="266" spans="1:2" x14ac:dyDescent="0.45">
      <c r="A266"/>
      <c r="B266" s="1"/>
    </row>
    <row r="267" spans="1:2" x14ac:dyDescent="0.45">
      <c r="A267"/>
      <c r="B267" s="1"/>
    </row>
    <row r="268" spans="1:2" x14ac:dyDescent="0.45">
      <c r="A268"/>
      <c r="B268" s="1"/>
    </row>
    <row r="269" spans="1:2" x14ac:dyDescent="0.45">
      <c r="A269"/>
      <c r="B269" s="1"/>
    </row>
    <row r="270" spans="1:2" x14ac:dyDescent="0.45">
      <c r="A270"/>
      <c r="B270" s="1"/>
    </row>
    <row r="271" spans="1:2" x14ac:dyDescent="0.45">
      <c r="A271"/>
      <c r="B271" s="1"/>
    </row>
    <row r="272" spans="1:2" x14ac:dyDescent="0.45">
      <c r="A272"/>
      <c r="B272" s="1"/>
    </row>
    <row r="273" spans="1:2" x14ac:dyDescent="0.45">
      <c r="A273"/>
      <c r="B273" s="1"/>
    </row>
    <row r="274" spans="1:2" x14ac:dyDescent="0.45">
      <c r="A274"/>
      <c r="B274" s="1"/>
    </row>
    <row r="275" spans="1:2" x14ac:dyDescent="0.45">
      <c r="A275"/>
      <c r="B275" s="1"/>
    </row>
    <row r="276" spans="1:2" x14ac:dyDescent="0.45">
      <c r="A276"/>
      <c r="B276" s="1"/>
    </row>
    <row r="277" spans="1:2" x14ac:dyDescent="0.45">
      <c r="A277"/>
      <c r="B277" s="1"/>
    </row>
    <row r="278" spans="1:2" x14ac:dyDescent="0.45">
      <c r="A278"/>
      <c r="B278" s="1"/>
    </row>
    <row r="279" spans="1:2" x14ac:dyDescent="0.45">
      <c r="A279"/>
      <c r="B279" s="1"/>
    </row>
    <row r="280" spans="1:2" x14ac:dyDescent="0.45">
      <c r="A280"/>
      <c r="B280" s="1"/>
    </row>
    <row r="281" spans="1:2" x14ac:dyDescent="0.45">
      <c r="A281"/>
      <c r="B281" s="1"/>
    </row>
    <row r="282" spans="1:2" x14ac:dyDescent="0.45">
      <c r="A282"/>
      <c r="B282" s="1"/>
    </row>
    <row r="283" spans="1:2" x14ac:dyDescent="0.45">
      <c r="A283"/>
      <c r="B283" s="1"/>
    </row>
    <row r="284" spans="1:2" x14ac:dyDescent="0.45">
      <c r="A284"/>
      <c r="B284" s="1"/>
    </row>
    <row r="285" spans="1:2" x14ac:dyDescent="0.45">
      <c r="A285"/>
      <c r="B285" s="1"/>
    </row>
    <row r="286" spans="1:2" x14ac:dyDescent="0.45">
      <c r="A286"/>
      <c r="B286" s="1"/>
    </row>
    <row r="287" spans="1:2" x14ac:dyDescent="0.45">
      <c r="A287"/>
      <c r="B287" s="1"/>
    </row>
    <row r="288" spans="1:2" x14ac:dyDescent="0.45">
      <c r="A288"/>
      <c r="B288" s="1"/>
    </row>
    <row r="289" spans="1:2" x14ac:dyDescent="0.45">
      <c r="A289"/>
      <c r="B289" s="1"/>
    </row>
    <row r="290" spans="1:2" x14ac:dyDescent="0.45">
      <c r="A290"/>
      <c r="B290" s="1"/>
    </row>
    <row r="291" spans="1:2" x14ac:dyDescent="0.45">
      <c r="A291"/>
      <c r="B291" s="1"/>
    </row>
    <row r="292" spans="1:2" x14ac:dyDescent="0.45">
      <c r="A292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8A16-E6AD-4C4E-8A79-A1ACDE79070E}">
  <sheetPr codeName="Лист14"/>
  <dimension ref="A1:P301"/>
  <sheetViews>
    <sheetView workbookViewId="0">
      <selection activeCell="G10" sqref="G10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>
        <v>209.5288109206173</v>
      </c>
      <c r="B2" s="2">
        <f>(A2-$G$4)*(A2-$G$4)</f>
        <v>3554.9832376521354</v>
      </c>
      <c r="F2" t="s">
        <v>9</v>
      </c>
      <c r="G2">
        <v>50</v>
      </c>
      <c r="O2" t="s">
        <v>11</v>
      </c>
    </row>
    <row r="3" spans="1:16" x14ac:dyDescent="0.45">
      <c r="A3">
        <v>234.92815281748139</v>
      </c>
      <c r="B3" s="2">
        <f t="shared" ref="B3:B51" si="0">(A3-$G$4)*(A3-$G$4)</f>
        <v>1171.30533060007</v>
      </c>
      <c r="E3" t="s">
        <v>6</v>
      </c>
      <c r="G3" s="2">
        <f>COUNT(A:A)</f>
        <v>50</v>
      </c>
      <c r="O3" s="4"/>
    </row>
    <row r="4" spans="1:16" x14ac:dyDescent="0.45">
      <c r="A4">
        <v>70.260555548940616</v>
      </c>
      <c r="B4" s="2">
        <f t="shared" si="0"/>
        <v>39558.002025641661</v>
      </c>
      <c r="E4" t="s">
        <v>0</v>
      </c>
      <c r="F4" s="2"/>
      <c r="G4" s="2">
        <f>SUM(A:A)/G2</f>
        <v>269.15249109596488</v>
      </c>
      <c r="O4" s="5">
        <f>(P4-G4)/G4</f>
        <v>9.895315662298813E-3</v>
      </c>
      <c r="P4">
        <f>'50'!G4</f>
        <v>271.81583995665352</v>
      </c>
    </row>
    <row r="5" spans="1:16" x14ac:dyDescent="0.45">
      <c r="A5">
        <v>369.86281739777667</v>
      </c>
      <c r="B5" s="2">
        <f t="shared" si="0"/>
        <v>10142.569823817403</v>
      </c>
      <c r="E5" t="s">
        <v>1</v>
      </c>
      <c r="F5" s="2"/>
      <c r="G5" s="2">
        <f>SUM(B:B)/(G2-1)</f>
        <v>24753.261266533606</v>
      </c>
      <c r="O5" s="5">
        <f t="shared" ref="O5:O7" si="1">(P5-G5)/G5</f>
        <v>1.6579790137988798E-2</v>
      </c>
      <c r="P5">
        <f>'50'!G5</f>
        <v>25163.665143563539</v>
      </c>
    </row>
    <row r="6" spans="1:16" x14ac:dyDescent="0.45">
      <c r="A6">
        <v>332.22945392144737</v>
      </c>
      <c r="B6" s="2">
        <f t="shared" si="0"/>
        <v>3978.7032392873007</v>
      </c>
      <c r="E6" t="s">
        <v>2</v>
      </c>
      <c r="F6" s="2"/>
      <c r="G6" s="2">
        <f>SQRT(G5)</f>
        <v>157.33169186954549</v>
      </c>
      <c r="J6" s="3"/>
      <c r="O6" s="5">
        <f t="shared" si="1"/>
        <v>8.2558158215546781E-3</v>
      </c>
      <c r="P6">
        <f>'50'!G6</f>
        <v>158.63059334051405</v>
      </c>
    </row>
    <row r="7" spans="1:16" ht="14.25" customHeight="1" x14ac:dyDescent="0.45">
      <c r="A7">
        <v>130.66504585089956</v>
      </c>
      <c r="B7" s="2">
        <f t="shared" si="0"/>
        <v>19178.772490504965</v>
      </c>
      <c r="E7" t="s">
        <v>3</v>
      </c>
      <c r="F7" s="2"/>
      <c r="G7" s="2">
        <f>G6/G4</f>
        <v>0.58454481037461292</v>
      </c>
      <c r="J7" s="3"/>
      <c r="O7" s="5">
        <f t="shared" si="1"/>
        <v>-1.6234354346606401E-3</v>
      </c>
      <c r="P7">
        <f>'50'!G7</f>
        <v>0.58359583961630379</v>
      </c>
    </row>
    <row r="8" spans="1:16" x14ac:dyDescent="0.45">
      <c r="A8">
        <v>107.26249292252238</v>
      </c>
      <c r="B8" s="2">
        <f t="shared" si="0"/>
        <v>26208.371508597218</v>
      </c>
      <c r="D8" s="7" t="s">
        <v>4</v>
      </c>
      <c r="E8">
        <v>0.9</v>
      </c>
      <c r="F8" s="2">
        <v>1.6839999999999999</v>
      </c>
      <c r="G8" s="2">
        <f>$G$13*F8</f>
        <v>37.469103133719898</v>
      </c>
      <c r="I8">
        <f>K8-G8</f>
        <v>231.68338796224498</v>
      </c>
      <c r="J8" s="3" t="s">
        <v>10</v>
      </c>
      <c r="K8">
        <f>$G$4</f>
        <v>269.15249109596488</v>
      </c>
      <c r="L8" s="3" t="s">
        <v>10</v>
      </c>
      <c r="M8">
        <f>K8+G8</f>
        <v>306.62159422968477</v>
      </c>
      <c r="O8" s="5">
        <f t="shared" ref="O8:O10" si="2">(P8-G8)/G8</f>
        <v>8.2558158215547649E-3</v>
      </c>
      <c r="P8">
        <f>'50'!G8</f>
        <v>37.77844114819073</v>
      </c>
    </row>
    <row r="9" spans="1:16" x14ac:dyDescent="0.45">
      <c r="A9">
        <v>304.89436045962498</v>
      </c>
      <c r="B9" s="2">
        <f t="shared" si="0"/>
        <v>1277.4812256089444</v>
      </c>
      <c r="D9" s="7"/>
      <c r="E9">
        <v>0.95</v>
      </c>
      <c r="F9" s="2">
        <v>1.96</v>
      </c>
      <c r="G9" s="2">
        <f t="shared" ref="G9:G10" si="3">$G$13*F9</f>
        <v>43.610120036871137</v>
      </c>
      <c r="I9">
        <f t="shared" ref="I9:I10" si="4">K9-G9</f>
        <v>225.54237105909374</v>
      </c>
      <c r="J9" s="3" t="s">
        <v>10</v>
      </c>
      <c r="K9">
        <f t="shared" ref="K9:K10" si="5">$G$4</f>
        <v>269.15249109596488</v>
      </c>
      <c r="L9" s="3" t="s">
        <v>10</v>
      </c>
      <c r="M9">
        <f t="shared" ref="M9:M10" si="6">K9+G9</f>
        <v>312.76261113283601</v>
      </c>
      <c r="O9" s="5">
        <f t="shared" si="2"/>
        <v>8.2558158215547215E-3</v>
      </c>
      <c r="P9">
        <f>'50'!G9</f>
        <v>43.970157155851439</v>
      </c>
    </row>
    <row r="10" spans="1:16" x14ac:dyDescent="0.45">
      <c r="A10">
        <v>220.47323459778454</v>
      </c>
      <c r="B10" s="2">
        <f t="shared" si="0"/>
        <v>2369.6700132156325</v>
      </c>
      <c r="D10" s="7"/>
      <c r="E10">
        <v>0.99</v>
      </c>
      <c r="F10" s="2">
        <v>2.5790000000000002</v>
      </c>
      <c r="G10" s="2">
        <f t="shared" si="3"/>
        <v>57.382907946474838</v>
      </c>
      <c r="I10">
        <f t="shared" si="4"/>
        <v>211.76958314949005</v>
      </c>
      <c r="J10" s="3" t="s">
        <v>10</v>
      </c>
      <c r="K10">
        <f t="shared" si="5"/>
        <v>269.15249109596488</v>
      </c>
      <c r="L10" s="3" t="s">
        <v>10</v>
      </c>
      <c r="M10">
        <f t="shared" si="6"/>
        <v>326.53539904243974</v>
      </c>
      <c r="O10" s="5">
        <f t="shared" si="2"/>
        <v>8.2558158215547163E-3</v>
      </c>
      <c r="P10">
        <f>'50'!G10</f>
        <v>57.856650665786162</v>
      </c>
    </row>
    <row r="11" spans="1:16" x14ac:dyDescent="0.45">
      <c r="A11">
        <v>681.11685365201038</v>
      </c>
      <c r="B11" s="2">
        <f t="shared" si="0"/>
        <v>169714.63601620891</v>
      </c>
      <c r="E11" t="s">
        <v>5</v>
      </c>
      <c r="F11" s="2"/>
      <c r="G11" s="2"/>
      <c r="O11" s="4"/>
    </row>
    <row r="12" spans="1:16" x14ac:dyDescent="0.45">
      <c r="A12">
        <v>254.72990256535178</v>
      </c>
      <c r="B12" s="2">
        <f t="shared" si="0"/>
        <v>208.01105992337247</v>
      </c>
      <c r="F12" s="2"/>
      <c r="G12" s="2"/>
    </row>
    <row r="13" spans="1:16" x14ac:dyDescent="0.45">
      <c r="A13">
        <v>235.08798478663388</v>
      </c>
      <c r="B13" s="2">
        <f t="shared" si="0"/>
        <v>1160.3905900984512</v>
      </c>
      <c r="E13" t="s">
        <v>8</v>
      </c>
      <c r="F13" s="2"/>
      <c r="G13" s="2">
        <f>SQRT(G5/G2)</f>
        <v>22.250061243301602</v>
      </c>
    </row>
    <row r="14" spans="1:16" x14ac:dyDescent="0.45">
      <c r="A14">
        <v>121.42862981203696</v>
      </c>
      <c r="B14" s="2">
        <f t="shared" si="0"/>
        <v>21822.339192633182</v>
      </c>
      <c r="F14" s="2"/>
    </row>
    <row r="15" spans="1:16" x14ac:dyDescent="0.45">
      <c r="A15">
        <v>105.02894169849054</v>
      </c>
      <c r="B15" s="2">
        <f t="shared" si="0"/>
        <v>26936.539466825197</v>
      </c>
      <c r="F15" s="2"/>
    </row>
    <row r="16" spans="1:16" x14ac:dyDescent="0.45">
      <c r="A16">
        <v>443.57479891176058</v>
      </c>
      <c r="B16" s="2">
        <f t="shared" si="0"/>
        <v>30423.141463788186</v>
      </c>
    </row>
    <row r="17" spans="1:2" x14ac:dyDescent="0.45">
      <c r="A17">
        <v>267.03746963636996</v>
      </c>
      <c r="B17" s="2">
        <f t="shared" si="0"/>
        <v>4.4733157745469994</v>
      </c>
    </row>
    <row r="18" spans="1:2" x14ac:dyDescent="0.45">
      <c r="A18">
        <v>401.70769464597328</v>
      </c>
      <c r="B18" s="2">
        <f t="shared" si="0"/>
        <v>17570.881988184159</v>
      </c>
    </row>
    <row r="19" spans="1:2" x14ac:dyDescent="0.45">
      <c r="A19">
        <v>59.379924321729256</v>
      </c>
      <c r="B19" s="2">
        <f t="shared" si="0"/>
        <v>44004.529771051144</v>
      </c>
    </row>
    <row r="20" spans="1:2" x14ac:dyDescent="0.45">
      <c r="A20">
        <v>774.96763544059399</v>
      </c>
      <c r="B20" s="2">
        <f t="shared" si="0"/>
        <v>255848.96024837799</v>
      </c>
    </row>
    <row r="21" spans="1:2" x14ac:dyDescent="0.45">
      <c r="A21">
        <v>169.47108847850711</v>
      </c>
      <c r="B21" s="2">
        <f t="shared" si="0"/>
        <v>9936.3820277837149</v>
      </c>
    </row>
    <row r="22" spans="1:2" x14ac:dyDescent="0.45">
      <c r="A22">
        <v>615.23664584887263</v>
      </c>
      <c r="B22" s="2">
        <f t="shared" si="0"/>
        <v>119774.2421710346</v>
      </c>
    </row>
    <row r="23" spans="1:2" x14ac:dyDescent="0.45">
      <c r="A23">
        <v>80.798660467993969</v>
      </c>
      <c r="B23" s="2">
        <f t="shared" si="0"/>
        <v>35477.165512230356</v>
      </c>
    </row>
    <row r="24" spans="1:2" x14ac:dyDescent="0.45">
      <c r="A24">
        <v>368.01975475886582</v>
      </c>
      <c r="B24" s="2">
        <f t="shared" si="0"/>
        <v>9774.7358241895727</v>
      </c>
    </row>
    <row r="25" spans="1:2" x14ac:dyDescent="0.45">
      <c r="A25">
        <v>259.37419471341775</v>
      </c>
      <c r="B25" s="2">
        <f t="shared" si="0"/>
        <v>95.615080144934197</v>
      </c>
    </row>
    <row r="26" spans="1:2" x14ac:dyDescent="0.45">
      <c r="A26">
        <v>164.98614481728714</v>
      </c>
      <c r="B26" s="2">
        <f t="shared" si="0"/>
        <v>10850.627697049398</v>
      </c>
    </row>
    <row r="27" spans="1:2" x14ac:dyDescent="0.45">
      <c r="A27">
        <v>326.93468592479508</v>
      </c>
      <c r="B27" s="2">
        <f t="shared" si="0"/>
        <v>3338.7820392368913</v>
      </c>
    </row>
    <row r="28" spans="1:2" x14ac:dyDescent="0.45">
      <c r="A28">
        <v>594.28891545738736</v>
      </c>
      <c r="B28" s="2">
        <f t="shared" si="0"/>
        <v>105713.69444653101</v>
      </c>
    </row>
    <row r="29" spans="1:2" x14ac:dyDescent="0.45">
      <c r="A29">
        <v>67.642177200888</v>
      </c>
      <c r="B29" s="2">
        <f t="shared" si="0"/>
        <v>40606.406606092416</v>
      </c>
    </row>
    <row r="30" spans="1:2" x14ac:dyDescent="0.45">
      <c r="A30">
        <v>327.53880603093648</v>
      </c>
      <c r="B30" s="2">
        <f t="shared" si="0"/>
        <v>3408.9617716856887</v>
      </c>
    </row>
    <row r="31" spans="1:2" x14ac:dyDescent="0.45">
      <c r="A31">
        <v>244.11185637314551</v>
      </c>
      <c r="B31" s="2">
        <f t="shared" si="0"/>
        <v>627.03338732166674</v>
      </c>
    </row>
    <row r="32" spans="1:2" x14ac:dyDescent="0.45">
      <c r="A32">
        <v>341.49190856028713</v>
      </c>
      <c r="B32" s="2">
        <f t="shared" si="0"/>
        <v>5232.9913190774914</v>
      </c>
    </row>
    <row r="33" spans="1:2" x14ac:dyDescent="0.45">
      <c r="A33">
        <v>245.6669964273672</v>
      </c>
      <c r="B33" s="2">
        <f t="shared" si="0"/>
        <v>551.56845982873006</v>
      </c>
    </row>
    <row r="34" spans="1:2" x14ac:dyDescent="0.45">
      <c r="A34">
        <v>90.522743756656411</v>
      </c>
      <c r="B34" s="2">
        <f t="shared" si="0"/>
        <v>31908.58663450518</v>
      </c>
    </row>
    <row r="35" spans="1:2" x14ac:dyDescent="0.45">
      <c r="A35">
        <v>372.04227444802433</v>
      </c>
      <c r="B35" s="2">
        <f t="shared" si="0"/>
        <v>10586.307518233731</v>
      </c>
    </row>
    <row r="36" spans="1:2" x14ac:dyDescent="0.45">
      <c r="A36">
        <v>234.50838155808407</v>
      </c>
      <c r="B36" s="2">
        <f t="shared" si="0"/>
        <v>1200.214325672684</v>
      </c>
    </row>
    <row r="37" spans="1:2" x14ac:dyDescent="0.45">
      <c r="A37">
        <v>271.38612176538788</v>
      </c>
      <c r="B37" s="2">
        <f t="shared" si="0"/>
        <v>4.9891059673870721</v>
      </c>
    </row>
    <row r="38" spans="1:2" x14ac:dyDescent="0.45">
      <c r="A38">
        <v>276.61619037549502</v>
      </c>
      <c r="B38" s="2">
        <f t="shared" si="0"/>
        <v>55.706806935258832</v>
      </c>
    </row>
    <row r="39" spans="1:2" x14ac:dyDescent="0.45">
      <c r="A39">
        <v>305.02362963278551</v>
      </c>
      <c r="B39" s="2">
        <f t="shared" si="0"/>
        <v>1286.7385799277786</v>
      </c>
    </row>
    <row r="40" spans="1:2" x14ac:dyDescent="0.45">
      <c r="A40">
        <v>132.36814076666116</v>
      </c>
      <c r="B40" s="2">
        <f t="shared" si="0"/>
        <v>18709.958495009691</v>
      </c>
    </row>
    <row r="41" spans="1:2" x14ac:dyDescent="0.45">
      <c r="A41">
        <v>315.68165521645199</v>
      </c>
      <c r="B41" s="2">
        <f t="shared" si="0"/>
        <v>2164.9631137512251</v>
      </c>
    </row>
    <row r="42" spans="1:2" x14ac:dyDescent="0.45">
      <c r="A42">
        <v>190.90805625163031</v>
      </c>
      <c r="B42" s="2">
        <f t="shared" si="0"/>
        <v>6122.1915841093169</v>
      </c>
    </row>
    <row r="43" spans="1:2" x14ac:dyDescent="0.45">
      <c r="A43">
        <v>169.49679909189314</v>
      </c>
      <c r="B43" s="2">
        <f t="shared" si="0"/>
        <v>9931.2569488104073</v>
      </c>
    </row>
    <row r="44" spans="1:2" x14ac:dyDescent="0.45">
      <c r="A44">
        <v>387.44212866851188</v>
      </c>
      <c r="B44" s="2">
        <f t="shared" si="0"/>
        <v>13992.438357044524</v>
      </c>
    </row>
    <row r="45" spans="1:2" x14ac:dyDescent="0.45">
      <c r="A45">
        <v>482.23771912995119</v>
      </c>
      <c r="B45" s="2">
        <f t="shared" si="0"/>
        <v>45405.314406295947</v>
      </c>
    </row>
    <row r="46" spans="1:2" x14ac:dyDescent="0.45">
      <c r="A46">
        <v>169.89721429943333</v>
      </c>
      <c r="B46" s="2">
        <f t="shared" si="0"/>
        <v>9851.6099719560934</v>
      </c>
    </row>
    <row r="47" spans="1:2" x14ac:dyDescent="0.45">
      <c r="A47">
        <v>169.24970694165125</v>
      </c>
      <c r="B47" s="2">
        <f t="shared" si="0"/>
        <v>9980.5662817833763</v>
      </c>
    </row>
    <row r="48" spans="1:2" x14ac:dyDescent="0.45">
      <c r="A48">
        <v>157.80896181471908</v>
      </c>
      <c r="B48" s="2">
        <f t="shared" si="0"/>
        <v>12397.381512803639</v>
      </c>
    </row>
    <row r="49" spans="1:2" x14ac:dyDescent="0.45">
      <c r="A49">
        <v>234.48900683505167</v>
      </c>
      <c r="B49" s="2">
        <f t="shared" si="0"/>
        <v>1201.5571411065778</v>
      </c>
    </row>
    <row r="50" spans="1:2" x14ac:dyDescent="0.45">
      <c r="A50">
        <v>223.62841557033812</v>
      </c>
      <c r="B50" s="2">
        <f t="shared" si="0"/>
        <v>2072.4414524629692</v>
      </c>
    </row>
    <row r="51" spans="1:2" x14ac:dyDescent="0.45">
      <c r="A51">
        <v>144.59081370771773</v>
      </c>
      <c r="B51" s="2">
        <f t="shared" si="0"/>
        <v>15515.611473773761</v>
      </c>
    </row>
    <row r="52" spans="1:2" x14ac:dyDescent="0.45">
      <c r="A52"/>
      <c r="B52" s="1"/>
    </row>
    <row r="53" spans="1:2" x14ac:dyDescent="0.45">
      <c r="A53"/>
      <c r="B53" s="1"/>
    </row>
    <row r="54" spans="1:2" x14ac:dyDescent="0.45">
      <c r="A54"/>
      <c r="B54" s="1"/>
    </row>
    <row r="55" spans="1:2" x14ac:dyDescent="0.45">
      <c r="A55"/>
      <c r="B55" s="1"/>
    </row>
    <row r="56" spans="1:2" x14ac:dyDescent="0.45">
      <c r="A56"/>
      <c r="B56" s="1"/>
    </row>
    <row r="57" spans="1:2" x14ac:dyDescent="0.45">
      <c r="A57"/>
      <c r="B57" s="1"/>
    </row>
    <row r="58" spans="1:2" x14ac:dyDescent="0.45">
      <c r="A58"/>
      <c r="B58" s="1"/>
    </row>
    <row r="59" spans="1:2" x14ac:dyDescent="0.45">
      <c r="A59"/>
      <c r="B59" s="1"/>
    </row>
    <row r="60" spans="1:2" x14ac:dyDescent="0.45">
      <c r="A60"/>
      <c r="B60" s="1"/>
    </row>
    <row r="61" spans="1:2" x14ac:dyDescent="0.45">
      <c r="A61"/>
      <c r="B61" s="1"/>
    </row>
    <row r="62" spans="1:2" x14ac:dyDescent="0.45">
      <c r="A62"/>
      <c r="B62" s="1"/>
    </row>
    <row r="63" spans="1:2" x14ac:dyDescent="0.45">
      <c r="A63"/>
      <c r="B63" s="1"/>
    </row>
    <row r="64" spans="1:2" x14ac:dyDescent="0.45">
      <c r="A64"/>
      <c r="B64" s="1"/>
    </row>
    <row r="65" spans="1:2" x14ac:dyDescent="0.45">
      <c r="A65"/>
      <c r="B65" s="1"/>
    </row>
    <row r="66" spans="1:2" x14ac:dyDescent="0.45">
      <c r="A66"/>
      <c r="B66" s="1"/>
    </row>
    <row r="67" spans="1:2" x14ac:dyDescent="0.45">
      <c r="A67"/>
      <c r="B67" s="1"/>
    </row>
    <row r="68" spans="1:2" x14ac:dyDescent="0.45">
      <c r="A68"/>
      <c r="B68" s="1"/>
    </row>
    <row r="69" spans="1:2" x14ac:dyDescent="0.45">
      <c r="A69"/>
      <c r="B69" s="1"/>
    </row>
    <row r="70" spans="1:2" x14ac:dyDescent="0.45">
      <c r="A70"/>
      <c r="B70" s="1"/>
    </row>
    <row r="71" spans="1:2" x14ac:dyDescent="0.45">
      <c r="A71"/>
      <c r="B71" s="1"/>
    </row>
    <row r="72" spans="1:2" x14ac:dyDescent="0.45">
      <c r="A72"/>
      <c r="B72" s="1"/>
    </row>
    <row r="73" spans="1:2" x14ac:dyDescent="0.45">
      <c r="A73"/>
      <c r="B73" s="1"/>
    </row>
    <row r="74" spans="1:2" x14ac:dyDescent="0.45">
      <c r="A74"/>
      <c r="B74" s="1"/>
    </row>
    <row r="75" spans="1:2" x14ac:dyDescent="0.45">
      <c r="A75"/>
      <c r="B75" s="1"/>
    </row>
    <row r="76" spans="1:2" x14ac:dyDescent="0.45">
      <c r="A76"/>
      <c r="B76" s="1"/>
    </row>
    <row r="77" spans="1:2" x14ac:dyDescent="0.45">
      <c r="A77"/>
      <c r="B77" s="1"/>
    </row>
    <row r="78" spans="1:2" x14ac:dyDescent="0.45">
      <c r="A78"/>
      <c r="B78" s="1"/>
    </row>
    <row r="79" spans="1:2" x14ac:dyDescent="0.45">
      <c r="A79"/>
      <c r="B79" s="1"/>
    </row>
    <row r="80" spans="1:2" x14ac:dyDescent="0.45">
      <c r="A80"/>
      <c r="B80" s="1"/>
    </row>
    <row r="81" spans="1:2" x14ac:dyDescent="0.45">
      <c r="A81"/>
      <c r="B81" s="1"/>
    </row>
    <row r="82" spans="1:2" x14ac:dyDescent="0.45">
      <c r="A82"/>
      <c r="B82" s="1"/>
    </row>
    <row r="83" spans="1:2" x14ac:dyDescent="0.45">
      <c r="A83"/>
      <c r="B83" s="1"/>
    </row>
    <row r="84" spans="1:2" x14ac:dyDescent="0.45">
      <c r="A84"/>
      <c r="B84" s="1"/>
    </row>
    <row r="85" spans="1:2" x14ac:dyDescent="0.45">
      <c r="A85"/>
      <c r="B85" s="1"/>
    </row>
    <row r="86" spans="1:2" x14ac:dyDescent="0.45">
      <c r="A86"/>
      <c r="B86" s="1"/>
    </row>
    <row r="87" spans="1:2" x14ac:dyDescent="0.45">
      <c r="A87"/>
      <c r="B87" s="1"/>
    </row>
    <row r="88" spans="1:2" x14ac:dyDescent="0.45">
      <c r="A88"/>
      <c r="B88" s="1"/>
    </row>
    <row r="89" spans="1:2" x14ac:dyDescent="0.45">
      <c r="A89"/>
      <c r="B89" s="1"/>
    </row>
    <row r="90" spans="1:2" x14ac:dyDescent="0.45">
      <c r="A90"/>
      <c r="B90" s="1"/>
    </row>
    <row r="91" spans="1:2" x14ac:dyDescent="0.45">
      <c r="A91"/>
      <c r="B91" s="1"/>
    </row>
    <row r="92" spans="1:2" x14ac:dyDescent="0.45">
      <c r="A92"/>
      <c r="B92" s="1"/>
    </row>
    <row r="93" spans="1:2" x14ac:dyDescent="0.45">
      <c r="A93"/>
      <c r="B93" s="1"/>
    </row>
    <row r="94" spans="1:2" x14ac:dyDescent="0.45">
      <c r="A94"/>
      <c r="B94" s="1"/>
    </row>
    <row r="95" spans="1:2" x14ac:dyDescent="0.45">
      <c r="A95"/>
      <c r="B95" s="1"/>
    </row>
    <row r="96" spans="1:2" x14ac:dyDescent="0.45">
      <c r="A96"/>
      <c r="B96" s="1"/>
    </row>
    <row r="97" spans="1:2" x14ac:dyDescent="0.45">
      <c r="A97"/>
      <c r="B97" s="1"/>
    </row>
    <row r="98" spans="1:2" x14ac:dyDescent="0.45">
      <c r="A98"/>
      <c r="B98" s="1"/>
    </row>
    <row r="99" spans="1:2" x14ac:dyDescent="0.45">
      <c r="A99"/>
      <c r="B99" s="1"/>
    </row>
    <row r="100" spans="1:2" x14ac:dyDescent="0.45">
      <c r="A100"/>
      <c r="B100" s="1"/>
    </row>
    <row r="101" spans="1:2" x14ac:dyDescent="0.45">
      <c r="A101"/>
      <c r="B101" s="1"/>
    </row>
    <row r="102" spans="1:2" x14ac:dyDescent="0.45">
      <c r="A102"/>
      <c r="B102" s="1"/>
    </row>
    <row r="103" spans="1:2" x14ac:dyDescent="0.45">
      <c r="A103"/>
      <c r="B103" s="1"/>
    </row>
    <row r="104" spans="1:2" x14ac:dyDescent="0.45">
      <c r="A104"/>
      <c r="B104" s="1"/>
    </row>
    <row r="105" spans="1:2" x14ac:dyDescent="0.45">
      <c r="A105"/>
      <c r="B105" s="1"/>
    </row>
    <row r="106" spans="1:2" x14ac:dyDescent="0.45">
      <c r="A106"/>
      <c r="B106" s="1"/>
    </row>
    <row r="107" spans="1:2" x14ac:dyDescent="0.45">
      <c r="A107"/>
      <c r="B107" s="1"/>
    </row>
    <row r="108" spans="1:2" x14ac:dyDescent="0.45">
      <c r="A108"/>
      <c r="B108" s="1"/>
    </row>
    <row r="109" spans="1:2" x14ac:dyDescent="0.45">
      <c r="A109"/>
      <c r="B109" s="1"/>
    </row>
    <row r="110" spans="1:2" x14ac:dyDescent="0.45">
      <c r="A110"/>
      <c r="B110" s="1"/>
    </row>
    <row r="111" spans="1:2" x14ac:dyDescent="0.45">
      <c r="A111"/>
      <c r="B111" s="1"/>
    </row>
    <row r="112" spans="1:2" x14ac:dyDescent="0.45">
      <c r="A112"/>
      <c r="B112" s="1"/>
    </row>
    <row r="113" spans="1:2" x14ac:dyDescent="0.45">
      <c r="A113"/>
      <c r="B113" s="1"/>
    </row>
    <row r="114" spans="1:2" x14ac:dyDescent="0.45">
      <c r="A114"/>
      <c r="B114" s="1"/>
    </row>
    <row r="115" spans="1:2" x14ac:dyDescent="0.45">
      <c r="A115"/>
      <c r="B115" s="1"/>
    </row>
    <row r="116" spans="1:2" x14ac:dyDescent="0.45">
      <c r="A116"/>
      <c r="B116" s="1"/>
    </row>
    <row r="117" spans="1:2" x14ac:dyDescent="0.45">
      <c r="A117"/>
      <c r="B117" s="1"/>
    </row>
    <row r="118" spans="1:2" x14ac:dyDescent="0.45">
      <c r="A118"/>
      <c r="B118" s="1"/>
    </row>
    <row r="119" spans="1:2" x14ac:dyDescent="0.45">
      <c r="A119"/>
      <c r="B119" s="1"/>
    </row>
    <row r="120" spans="1:2" x14ac:dyDescent="0.45">
      <c r="A120"/>
      <c r="B120" s="1"/>
    </row>
    <row r="121" spans="1:2" x14ac:dyDescent="0.45">
      <c r="A121"/>
      <c r="B121" s="1"/>
    </row>
    <row r="122" spans="1:2" x14ac:dyDescent="0.45">
      <c r="A122"/>
      <c r="B122" s="1"/>
    </row>
    <row r="123" spans="1:2" x14ac:dyDescent="0.45">
      <c r="A123"/>
      <c r="B123" s="1"/>
    </row>
    <row r="124" spans="1:2" x14ac:dyDescent="0.45">
      <c r="A124"/>
      <c r="B124" s="1"/>
    </row>
    <row r="125" spans="1:2" x14ac:dyDescent="0.45">
      <c r="A125"/>
      <c r="B125" s="1"/>
    </row>
    <row r="126" spans="1:2" x14ac:dyDescent="0.45">
      <c r="A126"/>
      <c r="B126" s="1"/>
    </row>
    <row r="127" spans="1:2" x14ac:dyDescent="0.45">
      <c r="A127"/>
      <c r="B127" s="1"/>
    </row>
    <row r="128" spans="1:2" x14ac:dyDescent="0.45">
      <c r="A128"/>
      <c r="B128" s="1"/>
    </row>
    <row r="129" spans="1:2" x14ac:dyDescent="0.45">
      <c r="A129"/>
      <c r="B129" s="1"/>
    </row>
    <row r="130" spans="1:2" x14ac:dyDescent="0.45">
      <c r="A130"/>
      <c r="B130" s="1"/>
    </row>
    <row r="131" spans="1:2" x14ac:dyDescent="0.45">
      <c r="A131"/>
      <c r="B131" s="1"/>
    </row>
    <row r="132" spans="1:2" x14ac:dyDescent="0.45">
      <c r="A132"/>
      <c r="B132" s="1"/>
    </row>
    <row r="133" spans="1:2" x14ac:dyDescent="0.45">
      <c r="A133"/>
      <c r="B133" s="1"/>
    </row>
    <row r="134" spans="1:2" x14ac:dyDescent="0.45">
      <c r="A134"/>
      <c r="B134" s="1"/>
    </row>
    <row r="135" spans="1:2" x14ac:dyDescent="0.45">
      <c r="A135"/>
      <c r="B135" s="1"/>
    </row>
    <row r="136" spans="1:2" x14ac:dyDescent="0.45">
      <c r="A136"/>
      <c r="B136" s="1"/>
    </row>
    <row r="137" spans="1:2" x14ac:dyDescent="0.45">
      <c r="A137"/>
      <c r="B137" s="1"/>
    </row>
    <row r="138" spans="1:2" x14ac:dyDescent="0.45">
      <c r="A138"/>
      <c r="B138" s="1"/>
    </row>
    <row r="139" spans="1:2" x14ac:dyDescent="0.45">
      <c r="A139"/>
      <c r="B139" s="1"/>
    </row>
    <row r="140" spans="1:2" x14ac:dyDescent="0.45">
      <c r="A140"/>
      <c r="B140" s="1"/>
    </row>
    <row r="141" spans="1:2" x14ac:dyDescent="0.45">
      <c r="A141"/>
      <c r="B141" s="1"/>
    </row>
    <row r="142" spans="1:2" x14ac:dyDescent="0.45">
      <c r="A142"/>
      <c r="B142" s="1"/>
    </row>
    <row r="143" spans="1:2" x14ac:dyDescent="0.45">
      <c r="A143"/>
      <c r="B143" s="1"/>
    </row>
    <row r="144" spans="1:2" x14ac:dyDescent="0.45">
      <c r="A144"/>
      <c r="B144" s="1"/>
    </row>
    <row r="145" spans="1:2" x14ac:dyDescent="0.45">
      <c r="A145"/>
      <c r="B145" s="1"/>
    </row>
    <row r="146" spans="1:2" x14ac:dyDescent="0.45">
      <c r="A146"/>
      <c r="B146" s="1"/>
    </row>
    <row r="147" spans="1:2" x14ac:dyDescent="0.45">
      <c r="A147"/>
      <c r="B147" s="1"/>
    </row>
    <row r="148" spans="1:2" x14ac:dyDescent="0.45">
      <c r="A148"/>
      <c r="B148" s="1"/>
    </row>
    <row r="149" spans="1:2" x14ac:dyDescent="0.45">
      <c r="A149"/>
      <c r="B149" s="1"/>
    </row>
    <row r="150" spans="1:2" x14ac:dyDescent="0.45">
      <c r="A150"/>
      <c r="B150" s="1"/>
    </row>
    <row r="151" spans="1:2" x14ac:dyDescent="0.45">
      <c r="A151"/>
      <c r="B151" s="1"/>
    </row>
    <row r="152" spans="1:2" x14ac:dyDescent="0.45">
      <c r="A152"/>
      <c r="B152" s="1"/>
    </row>
    <row r="153" spans="1:2" x14ac:dyDescent="0.45">
      <c r="A153"/>
      <c r="B153" s="1"/>
    </row>
    <row r="154" spans="1:2" x14ac:dyDescent="0.45">
      <c r="A154"/>
      <c r="B154" s="1"/>
    </row>
    <row r="155" spans="1:2" x14ac:dyDescent="0.45">
      <c r="A155"/>
      <c r="B155" s="1"/>
    </row>
    <row r="156" spans="1:2" x14ac:dyDescent="0.45">
      <c r="A156"/>
      <c r="B156" s="1"/>
    </row>
    <row r="157" spans="1:2" x14ac:dyDescent="0.45">
      <c r="A157"/>
      <c r="B157" s="1"/>
    </row>
    <row r="158" spans="1:2" x14ac:dyDescent="0.45">
      <c r="A158"/>
      <c r="B158" s="1"/>
    </row>
    <row r="159" spans="1:2" x14ac:dyDescent="0.45">
      <c r="A159"/>
      <c r="B159" s="1"/>
    </row>
    <row r="160" spans="1:2" x14ac:dyDescent="0.45">
      <c r="A160"/>
      <c r="B160" s="1"/>
    </row>
    <row r="161" spans="1:2" x14ac:dyDescent="0.45">
      <c r="A161"/>
      <c r="B161" s="1"/>
    </row>
    <row r="162" spans="1:2" x14ac:dyDescent="0.45">
      <c r="A162"/>
      <c r="B162" s="1"/>
    </row>
    <row r="163" spans="1:2" x14ac:dyDescent="0.45">
      <c r="A163"/>
      <c r="B163" s="1"/>
    </row>
    <row r="164" spans="1:2" x14ac:dyDescent="0.45">
      <c r="A164"/>
      <c r="B164" s="1"/>
    </row>
    <row r="165" spans="1:2" x14ac:dyDescent="0.45">
      <c r="A165"/>
      <c r="B165" s="1"/>
    </row>
    <row r="166" spans="1:2" x14ac:dyDescent="0.45">
      <c r="A166"/>
      <c r="B166" s="1"/>
    </row>
    <row r="167" spans="1:2" x14ac:dyDescent="0.45">
      <c r="A167"/>
      <c r="B167" s="1"/>
    </row>
    <row r="168" spans="1:2" x14ac:dyDescent="0.45">
      <c r="A168"/>
      <c r="B168" s="1"/>
    </row>
    <row r="169" spans="1:2" x14ac:dyDescent="0.45">
      <c r="A169"/>
      <c r="B169" s="1"/>
    </row>
    <row r="170" spans="1:2" x14ac:dyDescent="0.45">
      <c r="A170"/>
      <c r="B170" s="1"/>
    </row>
    <row r="171" spans="1:2" x14ac:dyDescent="0.45">
      <c r="A171"/>
      <c r="B171" s="1"/>
    </row>
    <row r="172" spans="1:2" x14ac:dyDescent="0.45">
      <c r="A172"/>
      <c r="B172" s="1"/>
    </row>
    <row r="173" spans="1:2" x14ac:dyDescent="0.45">
      <c r="A173"/>
      <c r="B173" s="1"/>
    </row>
    <row r="174" spans="1:2" x14ac:dyDescent="0.45">
      <c r="A174"/>
      <c r="B174" s="1"/>
    </row>
    <row r="175" spans="1:2" x14ac:dyDescent="0.45">
      <c r="A175"/>
      <c r="B175" s="1"/>
    </row>
    <row r="176" spans="1:2" x14ac:dyDescent="0.45">
      <c r="A176"/>
      <c r="B176" s="1"/>
    </row>
    <row r="177" spans="1:2" x14ac:dyDescent="0.45">
      <c r="A177"/>
      <c r="B177" s="1"/>
    </row>
    <row r="178" spans="1:2" x14ac:dyDescent="0.45">
      <c r="A178"/>
      <c r="B178" s="1"/>
    </row>
    <row r="179" spans="1:2" x14ac:dyDescent="0.45">
      <c r="A179"/>
      <c r="B179" s="1"/>
    </row>
    <row r="180" spans="1:2" x14ac:dyDescent="0.45">
      <c r="A180"/>
      <c r="B180" s="1"/>
    </row>
    <row r="181" spans="1:2" x14ac:dyDescent="0.45">
      <c r="A181"/>
      <c r="B181" s="1"/>
    </row>
    <row r="182" spans="1:2" x14ac:dyDescent="0.45">
      <c r="A182"/>
      <c r="B182" s="1"/>
    </row>
    <row r="183" spans="1:2" x14ac:dyDescent="0.45">
      <c r="A183"/>
      <c r="B183" s="1"/>
    </row>
    <row r="184" spans="1:2" x14ac:dyDescent="0.45">
      <c r="A184"/>
      <c r="B184" s="1"/>
    </row>
    <row r="185" spans="1:2" x14ac:dyDescent="0.45">
      <c r="A185"/>
      <c r="B185" s="1"/>
    </row>
    <row r="186" spans="1:2" x14ac:dyDescent="0.45">
      <c r="A186"/>
      <c r="B186" s="1"/>
    </row>
    <row r="187" spans="1:2" x14ac:dyDescent="0.45">
      <c r="A187"/>
      <c r="B187" s="1"/>
    </row>
    <row r="188" spans="1:2" x14ac:dyDescent="0.45">
      <c r="A188"/>
      <c r="B188" s="1"/>
    </row>
    <row r="189" spans="1:2" x14ac:dyDescent="0.45">
      <c r="A189"/>
      <c r="B189" s="1"/>
    </row>
    <row r="190" spans="1:2" x14ac:dyDescent="0.45">
      <c r="A190"/>
      <c r="B190" s="1"/>
    </row>
    <row r="191" spans="1:2" x14ac:dyDescent="0.45">
      <c r="A191"/>
      <c r="B191" s="1"/>
    </row>
    <row r="192" spans="1:2" x14ac:dyDescent="0.45">
      <c r="A192"/>
      <c r="B192" s="1"/>
    </row>
    <row r="193" spans="1:2" x14ac:dyDescent="0.45">
      <c r="A193"/>
      <c r="B193" s="1"/>
    </row>
    <row r="194" spans="1:2" x14ac:dyDescent="0.45">
      <c r="A194"/>
      <c r="B194" s="1"/>
    </row>
    <row r="195" spans="1:2" x14ac:dyDescent="0.45">
      <c r="A195"/>
      <c r="B195" s="1"/>
    </row>
    <row r="196" spans="1:2" x14ac:dyDescent="0.45">
      <c r="A196"/>
      <c r="B196" s="1"/>
    </row>
    <row r="197" spans="1:2" x14ac:dyDescent="0.45">
      <c r="A197"/>
      <c r="B197" s="1"/>
    </row>
    <row r="198" spans="1:2" x14ac:dyDescent="0.45">
      <c r="A198"/>
      <c r="B198" s="1"/>
    </row>
    <row r="199" spans="1:2" x14ac:dyDescent="0.45">
      <c r="A199"/>
      <c r="B199" s="1"/>
    </row>
    <row r="200" spans="1:2" x14ac:dyDescent="0.45">
      <c r="A200"/>
      <c r="B200" s="1"/>
    </row>
    <row r="201" spans="1:2" x14ac:dyDescent="0.45">
      <c r="A201"/>
      <c r="B201" s="1"/>
    </row>
    <row r="202" spans="1:2" x14ac:dyDescent="0.45">
      <c r="A202"/>
      <c r="B202" s="1"/>
    </row>
    <row r="203" spans="1:2" x14ac:dyDescent="0.45">
      <c r="A203"/>
      <c r="B203" s="1"/>
    </row>
    <row r="204" spans="1:2" x14ac:dyDescent="0.45">
      <c r="A204"/>
      <c r="B204" s="1"/>
    </row>
    <row r="205" spans="1:2" x14ac:dyDescent="0.45">
      <c r="A205"/>
      <c r="B205" s="1"/>
    </row>
    <row r="206" spans="1:2" x14ac:dyDescent="0.45">
      <c r="A206"/>
      <c r="B206" s="1"/>
    </row>
    <row r="207" spans="1:2" x14ac:dyDescent="0.45">
      <c r="A207"/>
      <c r="B207" s="1"/>
    </row>
    <row r="208" spans="1:2" x14ac:dyDescent="0.45">
      <c r="A208"/>
      <c r="B208" s="1"/>
    </row>
    <row r="209" spans="1:2" x14ac:dyDescent="0.45">
      <c r="A209"/>
      <c r="B209" s="1"/>
    </row>
    <row r="210" spans="1:2" x14ac:dyDescent="0.45">
      <c r="A210"/>
      <c r="B210" s="1"/>
    </row>
    <row r="211" spans="1:2" x14ac:dyDescent="0.45">
      <c r="A211"/>
      <c r="B211" s="1"/>
    </row>
    <row r="212" spans="1:2" x14ac:dyDescent="0.45">
      <c r="A212"/>
      <c r="B212" s="1"/>
    </row>
    <row r="213" spans="1:2" x14ac:dyDescent="0.45">
      <c r="A213"/>
      <c r="B213" s="1"/>
    </row>
    <row r="214" spans="1:2" x14ac:dyDescent="0.45">
      <c r="A214"/>
      <c r="B214" s="1"/>
    </row>
    <row r="215" spans="1:2" x14ac:dyDescent="0.45">
      <c r="A215"/>
      <c r="B215" s="1"/>
    </row>
    <row r="216" spans="1:2" x14ac:dyDescent="0.45">
      <c r="A216"/>
      <c r="B216" s="1"/>
    </row>
    <row r="217" spans="1:2" x14ac:dyDescent="0.45">
      <c r="A217"/>
      <c r="B217" s="1"/>
    </row>
    <row r="218" spans="1:2" x14ac:dyDescent="0.45">
      <c r="A218"/>
      <c r="B218" s="1"/>
    </row>
    <row r="219" spans="1:2" x14ac:dyDescent="0.45">
      <c r="A219"/>
      <c r="B219" s="1"/>
    </row>
    <row r="220" spans="1:2" x14ac:dyDescent="0.45">
      <c r="A220"/>
      <c r="B220" s="1"/>
    </row>
    <row r="221" spans="1:2" x14ac:dyDescent="0.45">
      <c r="A221"/>
      <c r="B221" s="1"/>
    </row>
    <row r="222" spans="1:2" x14ac:dyDescent="0.45">
      <c r="A222"/>
      <c r="B222" s="1"/>
    </row>
    <row r="223" spans="1:2" x14ac:dyDescent="0.45">
      <c r="A223"/>
      <c r="B223" s="1"/>
    </row>
    <row r="224" spans="1:2" x14ac:dyDescent="0.45">
      <c r="A224"/>
      <c r="B224" s="1"/>
    </row>
    <row r="225" spans="1:2" x14ac:dyDescent="0.45">
      <c r="A225"/>
      <c r="B225" s="1"/>
    </row>
    <row r="226" spans="1:2" x14ac:dyDescent="0.45">
      <c r="A226"/>
      <c r="B226" s="1"/>
    </row>
    <row r="227" spans="1:2" x14ac:dyDescent="0.45">
      <c r="A227"/>
      <c r="B227" s="1"/>
    </row>
    <row r="228" spans="1:2" x14ac:dyDescent="0.45">
      <c r="A228"/>
      <c r="B228" s="1"/>
    </row>
    <row r="229" spans="1:2" x14ac:dyDescent="0.45">
      <c r="A229"/>
      <c r="B229" s="1"/>
    </row>
    <row r="230" spans="1:2" x14ac:dyDescent="0.45">
      <c r="A230"/>
      <c r="B230" s="1"/>
    </row>
    <row r="231" spans="1:2" x14ac:dyDescent="0.45">
      <c r="A231"/>
      <c r="B231" s="1"/>
    </row>
    <row r="232" spans="1:2" x14ac:dyDescent="0.45">
      <c r="A232"/>
      <c r="B232" s="1"/>
    </row>
    <row r="233" spans="1:2" x14ac:dyDescent="0.45">
      <c r="A233"/>
      <c r="B233" s="1"/>
    </row>
    <row r="234" spans="1:2" x14ac:dyDescent="0.45">
      <c r="A234"/>
      <c r="B234" s="1"/>
    </row>
    <row r="235" spans="1:2" x14ac:dyDescent="0.45">
      <c r="A235"/>
      <c r="B235" s="1"/>
    </row>
    <row r="236" spans="1:2" x14ac:dyDescent="0.45">
      <c r="A236"/>
      <c r="B236" s="1"/>
    </row>
    <row r="237" spans="1:2" x14ac:dyDescent="0.45">
      <c r="A237"/>
      <c r="B237" s="1"/>
    </row>
    <row r="238" spans="1:2" x14ac:dyDescent="0.45">
      <c r="A238"/>
      <c r="B238" s="1"/>
    </row>
    <row r="239" spans="1:2" x14ac:dyDescent="0.45">
      <c r="A239"/>
      <c r="B239" s="1"/>
    </row>
    <row r="240" spans="1:2" x14ac:dyDescent="0.45">
      <c r="A240"/>
      <c r="B240" s="1"/>
    </row>
    <row r="241" spans="1:2" x14ac:dyDescent="0.45">
      <c r="A241"/>
      <c r="B241" s="1"/>
    </row>
    <row r="242" spans="1:2" x14ac:dyDescent="0.45">
      <c r="A242"/>
      <c r="B242" s="1"/>
    </row>
    <row r="243" spans="1:2" x14ac:dyDescent="0.45">
      <c r="A243"/>
      <c r="B243" s="1"/>
    </row>
    <row r="244" spans="1:2" x14ac:dyDescent="0.45">
      <c r="A244"/>
      <c r="B244" s="1"/>
    </row>
    <row r="245" spans="1:2" x14ac:dyDescent="0.45">
      <c r="A245"/>
      <c r="B245" s="1"/>
    </row>
    <row r="246" spans="1:2" x14ac:dyDescent="0.45">
      <c r="A246"/>
      <c r="B246" s="1"/>
    </row>
    <row r="247" spans="1:2" x14ac:dyDescent="0.45">
      <c r="A247"/>
      <c r="B247" s="1"/>
    </row>
    <row r="248" spans="1:2" x14ac:dyDescent="0.45">
      <c r="A248"/>
      <c r="B248" s="1"/>
    </row>
    <row r="249" spans="1:2" x14ac:dyDescent="0.45">
      <c r="A249"/>
      <c r="B249" s="1"/>
    </row>
    <row r="250" spans="1:2" x14ac:dyDescent="0.45">
      <c r="A250"/>
      <c r="B250" s="1"/>
    </row>
    <row r="251" spans="1:2" x14ac:dyDescent="0.45">
      <c r="A251"/>
      <c r="B251" s="1"/>
    </row>
    <row r="252" spans="1:2" x14ac:dyDescent="0.45">
      <c r="A252"/>
      <c r="B252" s="1"/>
    </row>
    <row r="253" spans="1:2" x14ac:dyDescent="0.45">
      <c r="A253"/>
      <c r="B253" s="1"/>
    </row>
    <row r="254" spans="1:2" x14ac:dyDescent="0.45">
      <c r="A254"/>
      <c r="B254" s="1"/>
    </row>
    <row r="255" spans="1:2" x14ac:dyDescent="0.45">
      <c r="A255"/>
      <c r="B255" s="1"/>
    </row>
    <row r="256" spans="1:2" x14ac:dyDescent="0.45">
      <c r="A256"/>
      <c r="B256" s="1"/>
    </row>
    <row r="257" spans="1:2" x14ac:dyDescent="0.45">
      <c r="A257"/>
      <c r="B257" s="1"/>
    </row>
    <row r="258" spans="1:2" x14ac:dyDescent="0.45">
      <c r="A258"/>
      <c r="B258" s="1"/>
    </row>
    <row r="259" spans="1:2" x14ac:dyDescent="0.45">
      <c r="A259"/>
      <c r="B259" s="1"/>
    </row>
    <row r="260" spans="1:2" x14ac:dyDescent="0.45">
      <c r="A260"/>
      <c r="B260" s="1"/>
    </row>
    <row r="261" spans="1:2" x14ac:dyDescent="0.45">
      <c r="A261"/>
      <c r="B261" s="1"/>
    </row>
    <row r="262" spans="1:2" x14ac:dyDescent="0.45">
      <c r="A262"/>
      <c r="B262" s="1"/>
    </row>
    <row r="263" spans="1:2" x14ac:dyDescent="0.45">
      <c r="A263"/>
      <c r="B263" s="1"/>
    </row>
    <row r="264" spans="1:2" x14ac:dyDescent="0.45">
      <c r="A264"/>
      <c r="B264" s="1"/>
    </row>
    <row r="265" spans="1:2" x14ac:dyDescent="0.45">
      <c r="A265"/>
      <c r="B265" s="1"/>
    </row>
    <row r="266" spans="1:2" x14ac:dyDescent="0.45">
      <c r="A266"/>
      <c r="B266" s="1"/>
    </row>
    <row r="267" spans="1:2" x14ac:dyDescent="0.45">
      <c r="A267"/>
      <c r="B267" s="1"/>
    </row>
    <row r="268" spans="1:2" x14ac:dyDescent="0.45">
      <c r="A268"/>
      <c r="B268" s="1"/>
    </row>
    <row r="269" spans="1:2" x14ac:dyDescent="0.45">
      <c r="A269"/>
      <c r="B269" s="1"/>
    </row>
    <row r="270" spans="1:2" x14ac:dyDescent="0.45">
      <c r="A270"/>
      <c r="B270" s="1"/>
    </row>
    <row r="271" spans="1:2" x14ac:dyDescent="0.45">
      <c r="A271"/>
      <c r="B271" s="1"/>
    </row>
    <row r="272" spans="1:2" x14ac:dyDescent="0.45">
      <c r="A272"/>
      <c r="B272" s="1"/>
    </row>
    <row r="273" spans="1:2" x14ac:dyDescent="0.45">
      <c r="A273"/>
      <c r="B273" s="1"/>
    </row>
    <row r="274" spans="1:2" x14ac:dyDescent="0.45">
      <c r="A274"/>
      <c r="B274" s="1"/>
    </row>
    <row r="275" spans="1:2" x14ac:dyDescent="0.45">
      <c r="A275"/>
      <c r="B275" s="1"/>
    </row>
    <row r="276" spans="1:2" x14ac:dyDescent="0.45">
      <c r="A276"/>
      <c r="B276" s="1"/>
    </row>
    <row r="277" spans="1:2" x14ac:dyDescent="0.45">
      <c r="A277"/>
      <c r="B277" s="1"/>
    </row>
    <row r="278" spans="1:2" x14ac:dyDescent="0.45">
      <c r="A278"/>
      <c r="B278" s="1"/>
    </row>
    <row r="279" spans="1:2" x14ac:dyDescent="0.45">
      <c r="A279"/>
      <c r="B279" s="1"/>
    </row>
    <row r="280" spans="1:2" x14ac:dyDescent="0.45">
      <c r="A280"/>
      <c r="B280" s="1"/>
    </row>
    <row r="281" spans="1:2" x14ac:dyDescent="0.45">
      <c r="A281"/>
      <c r="B281" s="1"/>
    </row>
    <row r="282" spans="1:2" x14ac:dyDescent="0.45">
      <c r="A282"/>
      <c r="B282" s="1"/>
    </row>
    <row r="283" spans="1:2" x14ac:dyDescent="0.45">
      <c r="A283"/>
      <c r="B283" s="1"/>
    </row>
    <row r="284" spans="1:2" x14ac:dyDescent="0.45">
      <c r="A284"/>
      <c r="B284" s="1"/>
    </row>
    <row r="285" spans="1:2" x14ac:dyDescent="0.45">
      <c r="A285"/>
      <c r="B285" s="1"/>
    </row>
    <row r="286" spans="1:2" x14ac:dyDescent="0.45">
      <c r="A286"/>
      <c r="B286" s="1"/>
    </row>
    <row r="287" spans="1:2" x14ac:dyDescent="0.45">
      <c r="A287"/>
      <c r="B287" s="1"/>
    </row>
    <row r="288" spans="1:2" x14ac:dyDescent="0.45">
      <c r="A288"/>
      <c r="B288" s="1"/>
    </row>
    <row r="289" spans="1:2" x14ac:dyDescent="0.45">
      <c r="A289"/>
      <c r="B289" s="1"/>
    </row>
    <row r="290" spans="1:2" x14ac:dyDescent="0.45">
      <c r="A290"/>
      <c r="B290" s="1"/>
    </row>
    <row r="291" spans="1:2" x14ac:dyDescent="0.45">
      <c r="A291"/>
      <c r="B291" s="1"/>
    </row>
    <row r="292" spans="1:2" x14ac:dyDescent="0.45">
      <c r="A292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87FA-9850-4ADE-BF54-4105311D7E45}">
  <sheetPr codeName="Лист13"/>
  <dimension ref="A1:P301"/>
  <sheetViews>
    <sheetView workbookViewId="0">
      <selection activeCell="O4" sqref="O4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>
        <v>209.5288109206173</v>
      </c>
      <c r="B2" s="2">
        <f>(A2-$G$4)*(A2-$G$4)</f>
        <v>3683.7511970130477</v>
      </c>
      <c r="F2" t="s">
        <v>9</v>
      </c>
      <c r="G2" s="2">
        <f>G3</f>
        <v>100</v>
      </c>
      <c r="O2" t="s">
        <v>11</v>
      </c>
    </row>
    <row r="3" spans="1:16" x14ac:dyDescent="0.45">
      <c r="A3">
        <v>234.92815281748139</v>
      </c>
      <c r="B3" s="2">
        <f t="shared" ref="B3:B66" si="0">(A3-$G$4)*(A3-$G$4)</f>
        <v>1245.7068201607447</v>
      </c>
      <c r="E3" t="s">
        <v>6</v>
      </c>
      <c r="G3" s="2">
        <f>COUNT(A:A)</f>
        <v>100</v>
      </c>
      <c r="O3" s="4"/>
    </row>
    <row r="4" spans="1:16" x14ac:dyDescent="0.45">
      <c r="A4">
        <v>70.260555548940616</v>
      </c>
      <c r="B4" s="2">
        <f t="shared" si="0"/>
        <v>39984.869181058151</v>
      </c>
      <c r="E4" t="s">
        <v>0</v>
      </c>
      <c r="F4" s="2"/>
      <c r="G4" s="2">
        <f>SUM(A:A)/G2</f>
        <v>270.22272492369547</v>
      </c>
      <c r="O4" s="5">
        <f>(P4-G4)/G4</f>
        <v>2.4863881557622404E-2</v>
      </c>
      <c r="P4">
        <f>'100'!G4</f>
        <v>276.94151075037621</v>
      </c>
    </row>
    <row r="5" spans="1:16" x14ac:dyDescent="0.45">
      <c r="A5">
        <v>369.86281739777667</v>
      </c>
      <c r="B5" s="2">
        <f t="shared" si="0"/>
        <v>9928.1480282434532</v>
      </c>
      <c r="E5" t="s">
        <v>1</v>
      </c>
      <c r="F5" s="2"/>
      <c r="G5" s="2">
        <f>SUM(B:B)/(G2-1)</f>
        <v>29793.645386659668</v>
      </c>
      <c r="O5" s="5">
        <f t="shared" ref="O5:O7" si="1">(P5-G5)/G5</f>
        <v>-0.12874273315224202</v>
      </c>
      <c r="P5">
        <f>'100'!G5</f>
        <v>25957.930049012415</v>
      </c>
    </row>
    <row r="6" spans="1:16" x14ac:dyDescent="0.45">
      <c r="A6">
        <v>332.22945392144737</v>
      </c>
      <c r="B6" s="2">
        <f t="shared" si="0"/>
        <v>3844.8344410006471</v>
      </c>
      <c r="E6" t="s">
        <v>2</v>
      </c>
      <c r="F6" s="2"/>
      <c r="G6" s="2">
        <f>SQRT(G5)</f>
        <v>172.60835839164818</v>
      </c>
      <c r="J6" s="3"/>
      <c r="O6" s="5">
        <f t="shared" si="1"/>
        <v>-6.6588372234544085E-2</v>
      </c>
      <c r="P6">
        <f>'100'!G6</f>
        <v>161.11464877227152</v>
      </c>
    </row>
    <row r="7" spans="1:16" ht="14.25" customHeight="1" x14ac:dyDescent="0.45">
      <c r="A7">
        <v>130.66504585089956</v>
      </c>
      <c r="B7" s="2">
        <f t="shared" si="0"/>
        <v>19476.345788185496</v>
      </c>
      <c r="E7" t="s">
        <v>3</v>
      </c>
      <c r="F7" s="2"/>
      <c r="G7" s="2">
        <f>G6/G4</f>
        <v>0.63876329587153968</v>
      </c>
      <c r="J7" s="3"/>
      <c r="O7" s="5">
        <f t="shared" si="1"/>
        <v>-8.9233561098059314E-2</v>
      </c>
      <c r="P7">
        <f>'100'!G7</f>
        <v>0.58176417228218891</v>
      </c>
    </row>
    <row r="8" spans="1:16" x14ac:dyDescent="0.45">
      <c r="A8">
        <v>107.26249292252238</v>
      </c>
      <c r="B8" s="2">
        <f t="shared" si="0"/>
        <v>26556.03721387616</v>
      </c>
      <c r="D8" s="7" t="s">
        <v>4</v>
      </c>
      <c r="E8">
        <v>0.9</v>
      </c>
      <c r="F8" s="2">
        <v>1.6839999999999999</v>
      </c>
      <c r="G8" s="2">
        <f>$G$13*F8</f>
        <v>29.067247553153557</v>
      </c>
      <c r="I8">
        <f>K8-G8</f>
        <v>241.15547737054192</v>
      </c>
      <c r="J8" s="3" t="s">
        <v>10</v>
      </c>
      <c r="K8">
        <f>$G$4</f>
        <v>270.22272492369547</v>
      </c>
      <c r="L8" s="3" t="s">
        <v>10</v>
      </c>
      <c r="M8">
        <f>K8+G8</f>
        <v>299.28997247684902</v>
      </c>
      <c r="O8" s="5">
        <f t="shared" ref="O8:O10" si="2">(P8-G8)/G8</f>
        <v>-6.6588372234544196E-2</v>
      </c>
      <c r="P8">
        <f>'100'!G8</f>
        <v>27.131706853250524</v>
      </c>
    </row>
    <row r="9" spans="1:16" x14ac:dyDescent="0.45">
      <c r="A9">
        <v>304.89436045962498</v>
      </c>
      <c r="B9" s="2">
        <f t="shared" si="0"/>
        <v>1202.1223107363301</v>
      </c>
      <c r="D9" s="7"/>
      <c r="E9">
        <v>0.95</v>
      </c>
      <c r="F9" s="2">
        <v>1.96</v>
      </c>
      <c r="G9" s="2">
        <f t="shared" ref="G9:G10" si="3">$G$13*F9</f>
        <v>33.831238244763043</v>
      </c>
      <c r="I9">
        <f t="shared" ref="I9:I10" si="4">K9-G9</f>
        <v>236.39148667893244</v>
      </c>
      <c r="J9" s="3" t="s">
        <v>10</v>
      </c>
      <c r="K9">
        <f t="shared" ref="K9:K10" si="5">$G$4</f>
        <v>270.22272492369547</v>
      </c>
      <c r="L9" s="3" t="s">
        <v>10</v>
      </c>
      <c r="M9">
        <f t="shared" ref="M9:M10" si="6">K9+G9</f>
        <v>304.05396316845849</v>
      </c>
      <c r="O9" s="5">
        <f t="shared" si="2"/>
        <v>-6.6588372234544058E-2</v>
      </c>
      <c r="P9">
        <f>'100'!G9</f>
        <v>31.578471159365218</v>
      </c>
    </row>
    <row r="10" spans="1:16" x14ac:dyDescent="0.45">
      <c r="A10">
        <v>220.47323459778454</v>
      </c>
      <c r="B10" s="2">
        <f t="shared" si="0"/>
        <v>2475.0117876879049</v>
      </c>
      <c r="D10" s="7"/>
      <c r="E10">
        <v>0.99</v>
      </c>
      <c r="F10" s="2">
        <v>2.5790000000000002</v>
      </c>
      <c r="G10" s="2">
        <f t="shared" si="3"/>
        <v>44.515695629206071</v>
      </c>
      <c r="I10">
        <f t="shared" si="4"/>
        <v>225.70702929448939</v>
      </c>
      <c r="J10" s="3" t="s">
        <v>10</v>
      </c>
      <c r="K10">
        <f t="shared" si="5"/>
        <v>270.22272492369547</v>
      </c>
      <c r="L10" s="3" t="s">
        <v>10</v>
      </c>
      <c r="M10">
        <f t="shared" si="6"/>
        <v>314.73842055290152</v>
      </c>
      <c r="O10" s="5">
        <f t="shared" si="2"/>
        <v>-6.6588372234544113E-2</v>
      </c>
      <c r="P10">
        <f>'100'!G10</f>
        <v>41.551467918368829</v>
      </c>
    </row>
    <row r="11" spans="1:16" x14ac:dyDescent="0.45">
      <c r="A11">
        <v>681.11685365201038</v>
      </c>
      <c r="B11" s="2">
        <f t="shared" si="0"/>
        <v>168833.98502340104</v>
      </c>
      <c r="E11" t="s">
        <v>5</v>
      </c>
      <c r="F11" s="2"/>
      <c r="O11" s="4"/>
    </row>
    <row r="12" spans="1:16" x14ac:dyDescent="0.45">
      <c r="A12">
        <v>254.72990256535178</v>
      </c>
      <c r="B12" s="2">
        <f t="shared" si="0"/>
        <v>240.02754462719406</v>
      </c>
      <c r="F12" s="2"/>
    </row>
    <row r="13" spans="1:16" x14ac:dyDescent="0.45">
      <c r="A13">
        <v>235.08798478663388</v>
      </c>
      <c r="B13" s="2">
        <f t="shared" si="0"/>
        <v>1234.4499644988462</v>
      </c>
      <c r="E13" t="s">
        <v>8</v>
      </c>
      <c r="F13" s="2"/>
      <c r="G13">
        <f>SQRT(G5/G2)</f>
        <v>17.26083583916482</v>
      </c>
    </row>
    <row r="14" spans="1:16" x14ac:dyDescent="0.45">
      <c r="A14">
        <v>121.42862981203696</v>
      </c>
      <c r="B14" s="2">
        <f t="shared" si="0"/>
        <v>22139.682740097283</v>
      </c>
      <c r="F14" s="2"/>
    </row>
    <row r="15" spans="1:16" x14ac:dyDescent="0.45">
      <c r="A15">
        <v>105.02894169849054</v>
      </c>
      <c r="B15" s="2">
        <f t="shared" si="0"/>
        <v>27288.986016255996</v>
      </c>
      <c r="F15" s="2"/>
    </row>
    <row r="16" spans="1:16" x14ac:dyDescent="0.45">
      <c r="A16">
        <v>443.57479891176058</v>
      </c>
      <c r="B16" s="2">
        <f t="shared" si="0"/>
        <v>30050.941555963604</v>
      </c>
    </row>
    <row r="17" spans="1:2" x14ac:dyDescent="0.45">
      <c r="A17">
        <v>267.03746963636996</v>
      </c>
      <c r="B17" s="2">
        <f t="shared" si="0"/>
        <v>10.145851245435077</v>
      </c>
    </row>
    <row r="18" spans="1:2" x14ac:dyDescent="0.45">
      <c r="A18">
        <v>401.70769464597328</v>
      </c>
      <c r="B18" s="2">
        <f t="shared" si="0"/>
        <v>17288.297262868313</v>
      </c>
    </row>
    <row r="19" spans="1:2" x14ac:dyDescent="0.45">
      <c r="A19">
        <v>59.379924321729256</v>
      </c>
      <c r="B19" s="2">
        <f t="shared" si="0"/>
        <v>44454.686565680488</v>
      </c>
    </row>
    <row r="20" spans="1:2" x14ac:dyDescent="0.45">
      <c r="A20">
        <v>774.96763544059399</v>
      </c>
      <c r="B20" s="2">
        <f t="shared" si="0"/>
        <v>254767.42469271191</v>
      </c>
    </row>
    <row r="21" spans="1:2" x14ac:dyDescent="0.45">
      <c r="A21">
        <v>169.47108847850711</v>
      </c>
      <c r="B21" s="2">
        <f t="shared" si="0"/>
        <v>10150.892246383406</v>
      </c>
    </row>
    <row r="22" spans="1:2" x14ac:dyDescent="0.45">
      <c r="A22">
        <v>615.23664584887263</v>
      </c>
      <c r="B22" s="2">
        <f t="shared" si="0"/>
        <v>119034.6056321644</v>
      </c>
    </row>
    <row r="23" spans="1:2" x14ac:dyDescent="0.45">
      <c r="A23">
        <v>80.798660467993969</v>
      </c>
      <c r="B23" s="2">
        <f t="shared" si="0"/>
        <v>35881.476194917763</v>
      </c>
    </row>
    <row r="24" spans="1:2" x14ac:dyDescent="0.45">
      <c r="A24">
        <v>368.01975475886582</v>
      </c>
      <c r="B24" s="2">
        <f t="shared" si="0"/>
        <v>9564.2590445812002</v>
      </c>
    </row>
    <row r="25" spans="1:2" x14ac:dyDescent="0.45">
      <c r="A25">
        <v>259.37419471341775</v>
      </c>
      <c r="B25" s="2">
        <f t="shared" si="0"/>
        <v>117.69060772330825</v>
      </c>
    </row>
    <row r="26" spans="1:2" x14ac:dyDescent="0.45">
      <c r="A26">
        <v>164.98614481728714</v>
      </c>
      <c r="B26" s="2">
        <f t="shared" si="0"/>
        <v>11074.737792492497</v>
      </c>
    </row>
    <row r="27" spans="1:2" x14ac:dyDescent="0.45">
      <c r="A27">
        <v>326.93468592479508</v>
      </c>
      <c r="B27" s="2">
        <f t="shared" si="0"/>
        <v>3216.2465205902431</v>
      </c>
    </row>
    <row r="28" spans="1:2" x14ac:dyDescent="0.45">
      <c r="A28">
        <v>594.28891545738736</v>
      </c>
      <c r="B28" s="2">
        <f t="shared" si="0"/>
        <v>105018.8958470191</v>
      </c>
    </row>
    <row r="29" spans="1:2" x14ac:dyDescent="0.45">
      <c r="A29">
        <v>67.642177200888</v>
      </c>
      <c r="B29" s="2">
        <f t="shared" si="0"/>
        <v>41038.878315672671</v>
      </c>
    </row>
    <row r="30" spans="1:2" x14ac:dyDescent="0.45">
      <c r="A30">
        <v>327.53880603093648</v>
      </c>
      <c r="B30" s="2">
        <f t="shared" si="0"/>
        <v>3285.1331534918309</v>
      </c>
    </row>
    <row r="31" spans="1:2" x14ac:dyDescent="0.45">
      <c r="A31">
        <v>244.11185637314551</v>
      </c>
      <c r="B31" s="2">
        <f t="shared" si="0"/>
        <v>681.77745646409858</v>
      </c>
    </row>
    <row r="32" spans="1:2" x14ac:dyDescent="0.45">
      <c r="A32">
        <v>341.49190856028713</v>
      </c>
      <c r="B32" s="2">
        <f t="shared" si="0"/>
        <v>5079.2965362262248</v>
      </c>
    </row>
    <row r="33" spans="1:2" x14ac:dyDescent="0.45">
      <c r="A33">
        <v>245.6669964273672</v>
      </c>
      <c r="B33" s="2">
        <f t="shared" si="0"/>
        <v>602.98380198538825</v>
      </c>
    </row>
    <row r="34" spans="1:2" x14ac:dyDescent="0.45">
      <c r="A34">
        <v>90.522743756656411</v>
      </c>
      <c r="B34" s="2">
        <f t="shared" si="0"/>
        <v>32292.08323143419</v>
      </c>
    </row>
    <row r="35" spans="1:2" x14ac:dyDescent="0.45">
      <c r="A35">
        <v>372.04227444802433</v>
      </c>
      <c r="B35" s="2">
        <f t="shared" si="0"/>
        <v>10367.220665337258</v>
      </c>
    </row>
    <row r="36" spans="1:2" x14ac:dyDescent="0.45">
      <c r="A36">
        <v>234.50838155808407</v>
      </c>
      <c r="B36" s="2">
        <f t="shared" si="0"/>
        <v>1275.5143220367909</v>
      </c>
    </row>
    <row r="37" spans="1:2" x14ac:dyDescent="0.45">
      <c r="A37">
        <v>271.38612176538788</v>
      </c>
      <c r="B37" s="2">
        <f t="shared" si="0"/>
        <v>1.3534922112598922</v>
      </c>
    </row>
    <row r="38" spans="1:2" x14ac:dyDescent="0.45">
      <c r="A38">
        <v>276.61619037549502</v>
      </c>
      <c r="B38" s="2">
        <f t="shared" si="0"/>
        <v>40.876400483354509</v>
      </c>
    </row>
    <row r="39" spans="1:2" x14ac:dyDescent="0.45">
      <c r="A39">
        <v>305.02362963278551</v>
      </c>
      <c r="B39" s="2">
        <f t="shared" si="0"/>
        <v>1211.1029685711658</v>
      </c>
    </row>
    <row r="40" spans="1:2" x14ac:dyDescent="0.45">
      <c r="A40">
        <v>132.36814076666116</v>
      </c>
      <c r="B40" s="2">
        <f t="shared" si="0"/>
        <v>19003.886373108857</v>
      </c>
    </row>
    <row r="41" spans="1:2" x14ac:dyDescent="0.45">
      <c r="A41">
        <v>315.68165521645199</v>
      </c>
      <c r="B41" s="2">
        <f t="shared" si="0"/>
        <v>2066.5143433616963</v>
      </c>
    </row>
    <row r="42" spans="1:2" x14ac:dyDescent="0.45">
      <c r="A42">
        <v>190.90805625163031</v>
      </c>
      <c r="B42" s="2">
        <f t="shared" si="0"/>
        <v>6290.8166665594736</v>
      </c>
    </row>
    <row r="43" spans="1:2" x14ac:dyDescent="0.45">
      <c r="A43">
        <v>169.49679909189314</v>
      </c>
      <c r="B43" s="2">
        <f t="shared" si="0"/>
        <v>10145.712134673744</v>
      </c>
    </row>
    <row r="44" spans="1:2" x14ac:dyDescent="0.45">
      <c r="A44">
        <v>387.44212866851188</v>
      </c>
      <c r="B44" s="2">
        <f t="shared" si="0"/>
        <v>13740.388614290281</v>
      </c>
    </row>
    <row r="45" spans="1:2" x14ac:dyDescent="0.45">
      <c r="A45">
        <v>482.23771912995119</v>
      </c>
      <c r="B45" s="2">
        <f t="shared" si="0"/>
        <v>44950.357768278649</v>
      </c>
    </row>
    <row r="46" spans="1:2" x14ac:dyDescent="0.45">
      <c r="A46">
        <v>169.89721429943333</v>
      </c>
      <c r="B46" s="2">
        <f t="shared" si="0"/>
        <v>10065.208082018935</v>
      </c>
    </row>
    <row r="47" spans="1:2" x14ac:dyDescent="0.45">
      <c r="A47">
        <v>169.24970694165125</v>
      </c>
      <c r="B47" s="2">
        <f t="shared" si="0"/>
        <v>10195.550360402223</v>
      </c>
    </row>
    <row r="48" spans="1:2" x14ac:dyDescent="0.45">
      <c r="A48">
        <v>157.80896181471908</v>
      </c>
      <c r="B48" s="2">
        <f t="shared" si="0"/>
        <v>12636.854136321059</v>
      </c>
    </row>
    <row r="49" spans="1:2" x14ac:dyDescent="0.45">
      <c r="A49">
        <v>234.48900683505167</v>
      </c>
      <c r="B49" s="2">
        <f t="shared" si="0"/>
        <v>1276.898608438669</v>
      </c>
    </row>
    <row r="50" spans="1:2" x14ac:dyDescent="0.45">
      <c r="A50">
        <v>223.62841557033812</v>
      </c>
      <c r="B50" s="2">
        <f t="shared" si="0"/>
        <v>2171.0296641163641</v>
      </c>
    </row>
    <row r="51" spans="1:2" x14ac:dyDescent="0.45">
      <c r="A51">
        <v>144.59081370771773</v>
      </c>
      <c r="B51" s="2">
        <f t="shared" si="0"/>
        <v>15783.377115779313</v>
      </c>
    </row>
    <row r="52" spans="1:2" x14ac:dyDescent="0.45">
      <c r="A52">
        <v>538.7878849706276</v>
      </c>
      <c r="B52" s="2">
        <f t="shared" si="0"/>
        <v>72127.245191034279</v>
      </c>
    </row>
    <row r="53" spans="1:2" x14ac:dyDescent="0.45">
      <c r="A53">
        <v>268.51540072322712</v>
      </c>
      <c r="B53" s="2">
        <f t="shared" si="0"/>
        <v>2.9149559255048882</v>
      </c>
    </row>
    <row r="54" spans="1:2" x14ac:dyDescent="0.45">
      <c r="A54">
        <v>486.36609639678198</v>
      </c>
      <c r="B54" s="2">
        <f t="shared" si="0"/>
        <v>46717.957031752674</v>
      </c>
    </row>
    <row r="55" spans="1:2" x14ac:dyDescent="0.45">
      <c r="A55">
        <v>280.20437326630719</v>
      </c>
      <c r="B55" s="2">
        <f t="shared" si="0"/>
        <v>99.633303635563294</v>
      </c>
    </row>
    <row r="56" spans="1:2" x14ac:dyDescent="0.45">
      <c r="A56">
        <v>467.16073967148657</v>
      </c>
      <c r="B56" s="2">
        <f t="shared" si="0"/>
        <v>38784.581652801186</v>
      </c>
    </row>
    <row r="57" spans="1:2" x14ac:dyDescent="0.45">
      <c r="A57">
        <v>163.15559400539996</v>
      </c>
      <c r="B57" s="2">
        <f t="shared" si="0"/>
        <v>11463.370523075429</v>
      </c>
    </row>
    <row r="58" spans="1:2" x14ac:dyDescent="0.45">
      <c r="A58">
        <v>504.13069662243396</v>
      </c>
      <c r="B58" s="2">
        <f t="shared" si="0"/>
        <v>54712.939224217851</v>
      </c>
    </row>
    <row r="59" spans="1:2" x14ac:dyDescent="0.45">
      <c r="A59">
        <v>434.01183362842283</v>
      </c>
      <c r="B59" s="2">
        <f t="shared" si="0"/>
        <v>26826.872130288997</v>
      </c>
    </row>
    <row r="60" spans="1:2" x14ac:dyDescent="0.45">
      <c r="A60">
        <v>488.99389597185382</v>
      </c>
      <c r="B60" s="2">
        <f t="shared" si="0"/>
        <v>47860.825281782556</v>
      </c>
    </row>
    <row r="61" spans="1:2" x14ac:dyDescent="0.45">
      <c r="A61">
        <v>166.78355523008983</v>
      </c>
      <c r="B61" s="2">
        <f t="shared" si="0"/>
        <v>10699.661826902542</v>
      </c>
    </row>
    <row r="62" spans="1:2" x14ac:dyDescent="0.45">
      <c r="A62">
        <v>52.658388575742862</v>
      </c>
      <c r="B62" s="2">
        <f t="shared" si="0"/>
        <v>47334.240450525052</v>
      </c>
    </row>
    <row r="63" spans="1:2" x14ac:dyDescent="0.45">
      <c r="A63">
        <v>173.16219460145086</v>
      </c>
      <c r="B63" s="2">
        <f t="shared" si="0"/>
        <v>9420.7465464353645</v>
      </c>
    </row>
    <row r="64" spans="1:2" x14ac:dyDescent="0.45">
      <c r="A64">
        <v>252.11587739497912</v>
      </c>
      <c r="B64" s="2">
        <f t="shared" si="0"/>
        <v>327.85792742818114</v>
      </c>
    </row>
    <row r="65" spans="1:2" x14ac:dyDescent="0.45">
      <c r="A65">
        <v>441.64480091025371</v>
      </c>
      <c r="B65" s="2">
        <f t="shared" si="0"/>
        <v>29385.528135541346</v>
      </c>
    </row>
    <row r="66" spans="1:2" x14ac:dyDescent="0.45">
      <c r="A66">
        <v>47.848498048560792</v>
      </c>
      <c r="B66" s="2">
        <f t="shared" si="0"/>
        <v>49450.296778313867</v>
      </c>
    </row>
    <row r="67" spans="1:2" x14ac:dyDescent="0.45">
      <c r="A67">
        <v>144.80469715405297</v>
      </c>
      <c r="B67" s="2">
        <f t="shared" ref="B67:B101" si="7">(A67-$G$4)*(A67-$G$4)</f>
        <v>15729.681689626816</v>
      </c>
    </row>
    <row r="68" spans="1:2" x14ac:dyDescent="0.45">
      <c r="A68">
        <v>59.869896269984665</v>
      </c>
      <c r="B68" s="2">
        <f t="shared" si="7"/>
        <v>44248.312522617409</v>
      </c>
    </row>
    <row r="69" spans="1:2" x14ac:dyDescent="0.45">
      <c r="A69">
        <v>335.82089896048655</v>
      </c>
      <c r="B69" s="2">
        <f t="shared" si="7"/>
        <v>4303.1204369611314</v>
      </c>
    </row>
    <row r="70" spans="1:2" x14ac:dyDescent="0.45">
      <c r="A70">
        <v>473.80666636238794</v>
      </c>
      <c r="B70" s="2">
        <f t="shared" si="7"/>
        <v>41446.421211712965</v>
      </c>
    </row>
    <row r="71" spans="1:2" x14ac:dyDescent="0.45">
      <c r="A71">
        <v>297.27969468721159</v>
      </c>
      <c r="B71" s="2">
        <f t="shared" si="7"/>
        <v>732.07961278382572</v>
      </c>
    </row>
    <row r="72" spans="1:2" x14ac:dyDescent="0.45">
      <c r="A72">
        <v>98.255300531989789</v>
      </c>
      <c r="B72" s="2">
        <f t="shared" si="7"/>
        <v>29572.795051917004</v>
      </c>
    </row>
    <row r="73" spans="1:2" x14ac:dyDescent="0.45">
      <c r="A73">
        <v>518.62926994183226</v>
      </c>
      <c r="B73" s="2">
        <f t="shared" si="7"/>
        <v>61705.811607847623</v>
      </c>
    </row>
    <row r="74" spans="1:2" x14ac:dyDescent="0.45">
      <c r="A74">
        <v>93.97636635450155</v>
      </c>
      <c r="B74" s="2">
        <f t="shared" si="7"/>
        <v>31062.778908900873</v>
      </c>
    </row>
    <row r="75" spans="1:2" x14ac:dyDescent="0.45">
      <c r="A75">
        <v>142.43278079553824</v>
      </c>
      <c r="B75" s="2">
        <f t="shared" si="7"/>
        <v>16330.269820277546</v>
      </c>
    </row>
    <row r="76" spans="1:2" x14ac:dyDescent="0.45">
      <c r="A76">
        <v>455.82920256252265</v>
      </c>
      <c r="B76" s="2">
        <f t="shared" si="7"/>
        <v>34449.764541492455</v>
      </c>
    </row>
    <row r="77" spans="1:2" x14ac:dyDescent="0.45">
      <c r="A77">
        <v>596.23910759302396</v>
      </c>
      <c r="B77" s="2">
        <f t="shared" si="7"/>
        <v>106286.68176879403</v>
      </c>
    </row>
    <row r="78" spans="1:2" x14ac:dyDescent="0.45">
      <c r="A78">
        <v>295.96022618973575</v>
      </c>
      <c r="B78" s="2">
        <f t="shared" si="7"/>
        <v>662.41897141942513</v>
      </c>
    </row>
    <row r="79" spans="1:2" x14ac:dyDescent="0.45">
      <c r="A79">
        <v>67.942553282927193</v>
      </c>
      <c r="B79" s="2">
        <f t="shared" si="7"/>
        <v>40917.267839018677</v>
      </c>
    </row>
    <row r="80" spans="1:2" x14ac:dyDescent="0.45">
      <c r="A80">
        <v>96.558471319182118</v>
      </c>
      <c r="B80" s="2">
        <f t="shared" si="7"/>
        <v>30159.272980012731</v>
      </c>
    </row>
    <row r="81" spans="1:2" x14ac:dyDescent="0.45">
      <c r="A81">
        <v>343.86748024853443</v>
      </c>
      <c r="B81" s="2">
        <f t="shared" si="7"/>
        <v>5423.5499868553979</v>
      </c>
    </row>
    <row r="82" spans="1:2" x14ac:dyDescent="0.45">
      <c r="A82">
        <v>281.18845620463583</v>
      </c>
      <c r="B82" s="2">
        <f t="shared" si="7"/>
        <v>120.24726252579393</v>
      </c>
    </row>
    <row r="83" spans="1:2" x14ac:dyDescent="0.45">
      <c r="A83">
        <v>917.4372022271923</v>
      </c>
      <c r="B83" s="2">
        <f t="shared" si="7"/>
        <v>418886.57963123854</v>
      </c>
    </row>
    <row r="84" spans="1:2" x14ac:dyDescent="0.45">
      <c r="A84">
        <v>262.43180773473506</v>
      </c>
      <c r="B84" s="2">
        <f t="shared" si="7"/>
        <v>60.698390645238725</v>
      </c>
    </row>
    <row r="85" spans="1:2" x14ac:dyDescent="0.45">
      <c r="A85">
        <v>524.45340443223631</v>
      </c>
      <c r="B85" s="2">
        <f t="shared" si="7"/>
        <v>64633.238403374409</v>
      </c>
    </row>
    <row r="86" spans="1:2" x14ac:dyDescent="0.45">
      <c r="A86">
        <v>134.02595032352656</v>
      </c>
      <c r="B86" s="2">
        <f t="shared" si="7"/>
        <v>18549.561411489216</v>
      </c>
    </row>
    <row r="87" spans="1:2" x14ac:dyDescent="0.45">
      <c r="A87">
        <v>396.88023212302858</v>
      </c>
      <c r="B87" s="2">
        <f t="shared" si="7"/>
        <v>16042.124129949119</v>
      </c>
    </row>
    <row r="88" spans="1:2" x14ac:dyDescent="0.45">
      <c r="A88">
        <v>141.09243653739904</v>
      </c>
      <c r="B88" s="2">
        <f t="shared" si="7"/>
        <v>16674.631378728081</v>
      </c>
    </row>
    <row r="89" spans="1:2" x14ac:dyDescent="0.45">
      <c r="A89">
        <v>218.46556492072142</v>
      </c>
      <c r="B89" s="2">
        <f t="shared" si="7"/>
        <v>2678.8036115734562</v>
      </c>
    </row>
    <row r="90" spans="1:2" x14ac:dyDescent="0.45">
      <c r="A90">
        <v>44.628549494627542</v>
      </c>
      <c r="B90" s="2">
        <f t="shared" si="7"/>
        <v>50892.731987521074</v>
      </c>
    </row>
    <row r="91" spans="1:2" x14ac:dyDescent="0.45">
      <c r="A91">
        <v>71.435914829738323</v>
      </c>
      <c r="B91" s="2">
        <f t="shared" si="7"/>
        <v>39516.195867330978</v>
      </c>
    </row>
    <row r="92" spans="1:2" x14ac:dyDescent="0.45">
      <c r="A92">
        <v>76.092501582313901</v>
      </c>
      <c r="B92" s="2">
        <f t="shared" si="7"/>
        <v>37686.543614574686</v>
      </c>
    </row>
    <row r="93" spans="1:2" x14ac:dyDescent="0.45">
      <c r="A93">
        <v>228.21227440928192</v>
      </c>
      <c r="B93" s="2">
        <f t="shared" si="7"/>
        <v>1764.8779524239897</v>
      </c>
    </row>
    <row r="94" spans="1:2" x14ac:dyDescent="0.45">
      <c r="A94">
        <v>164.19817093997014</v>
      </c>
      <c r="B94" s="2">
        <f t="shared" si="7"/>
        <v>11241.206047447886</v>
      </c>
    </row>
    <row r="95" spans="1:2" x14ac:dyDescent="0.45">
      <c r="A95">
        <v>386.67439941582165</v>
      </c>
      <c r="B95" s="2">
        <f t="shared" si="7"/>
        <v>13560.992492020114</v>
      </c>
    </row>
    <row r="96" spans="1:2" x14ac:dyDescent="0.45">
      <c r="A96">
        <v>227.77808120394292</v>
      </c>
      <c r="B96" s="2">
        <f t="shared" si="7"/>
        <v>1801.5477804967295</v>
      </c>
    </row>
    <row r="97" spans="1:2" x14ac:dyDescent="0.45">
      <c r="A97">
        <v>90.238303630962534</v>
      </c>
      <c r="B97" s="2">
        <f t="shared" si="7"/>
        <v>32394.391908079971</v>
      </c>
    </row>
    <row r="98" spans="1:2" x14ac:dyDescent="0.45">
      <c r="A98">
        <v>49.362781749031946</v>
      </c>
      <c r="B98" s="2">
        <f t="shared" si="7"/>
        <v>48779.114499115603</v>
      </c>
    </row>
    <row r="99" spans="1:2" x14ac:dyDescent="0.45">
      <c r="A99">
        <v>174.2857724255922</v>
      </c>
      <c r="B99" s="2">
        <f t="shared" si="7"/>
        <v>9203.8988546233231</v>
      </c>
    </row>
    <row r="100" spans="1:2" x14ac:dyDescent="0.45">
      <c r="A100">
        <v>67.204182385311015</v>
      </c>
      <c r="B100" s="2">
        <f t="shared" si="7"/>
        <v>41216.528614409814</v>
      </c>
    </row>
    <row r="101" spans="1:2" x14ac:dyDescent="0.45">
      <c r="A101">
        <v>321.74950872972528</v>
      </c>
      <c r="B101" s="2">
        <f t="shared" si="7"/>
        <v>2655.0094493933361</v>
      </c>
    </row>
    <row r="102" spans="1:2" x14ac:dyDescent="0.45">
      <c r="A102"/>
      <c r="B102" s="1"/>
    </row>
    <row r="103" spans="1:2" x14ac:dyDescent="0.45">
      <c r="A103"/>
      <c r="B103" s="1"/>
    </row>
    <row r="104" spans="1:2" x14ac:dyDescent="0.45">
      <c r="A104"/>
      <c r="B104" s="1"/>
    </row>
    <row r="105" spans="1:2" x14ac:dyDescent="0.45">
      <c r="A105"/>
      <c r="B105" s="1"/>
    </row>
    <row r="106" spans="1:2" x14ac:dyDescent="0.45">
      <c r="A106"/>
      <c r="B106" s="1"/>
    </row>
    <row r="107" spans="1:2" x14ac:dyDescent="0.45">
      <c r="A107"/>
      <c r="B107" s="1"/>
    </row>
    <row r="108" spans="1:2" x14ac:dyDescent="0.45">
      <c r="A108"/>
      <c r="B108" s="1"/>
    </row>
    <row r="109" spans="1:2" x14ac:dyDescent="0.45">
      <c r="A109"/>
      <c r="B109" s="1"/>
    </row>
    <row r="110" spans="1:2" x14ac:dyDescent="0.45">
      <c r="A110"/>
      <c r="B110" s="1"/>
    </row>
    <row r="111" spans="1:2" x14ac:dyDescent="0.45">
      <c r="A111"/>
      <c r="B111" s="1"/>
    </row>
    <row r="112" spans="1:2" x14ac:dyDescent="0.45">
      <c r="A112"/>
      <c r="B112" s="1"/>
    </row>
    <row r="113" spans="1:2" x14ac:dyDescent="0.45">
      <c r="A113"/>
      <c r="B113" s="1"/>
    </row>
    <row r="114" spans="1:2" x14ac:dyDescent="0.45">
      <c r="A114"/>
      <c r="B114" s="1"/>
    </row>
    <row r="115" spans="1:2" x14ac:dyDescent="0.45">
      <c r="A115"/>
      <c r="B115" s="1"/>
    </row>
    <row r="116" spans="1:2" x14ac:dyDescent="0.45">
      <c r="A116"/>
      <c r="B116" s="1"/>
    </row>
    <row r="117" spans="1:2" x14ac:dyDescent="0.45">
      <c r="A117"/>
      <c r="B117" s="1"/>
    </row>
    <row r="118" spans="1:2" x14ac:dyDescent="0.45">
      <c r="A118"/>
      <c r="B118" s="1"/>
    </row>
    <row r="119" spans="1:2" x14ac:dyDescent="0.45">
      <c r="A119"/>
      <c r="B119" s="1"/>
    </row>
    <row r="120" spans="1:2" x14ac:dyDescent="0.45">
      <c r="A120"/>
      <c r="B120" s="1"/>
    </row>
    <row r="121" spans="1:2" x14ac:dyDescent="0.45">
      <c r="A121"/>
      <c r="B121" s="1"/>
    </row>
    <row r="122" spans="1:2" x14ac:dyDescent="0.45">
      <c r="A122"/>
      <c r="B122" s="1"/>
    </row>
    <row r="123" spans="1:2" x14ac:dyDescent="0.45">
      <c r="A123"/>
      <c r="B123" s="1"/>
    </row>
    <row r="124" spans="1:2" x14ac:dyDescent="0.45">
      <c r="A124"/>
      <c r="B124" s="1"/>
    </row>
    <row r="125" spans="1:2" x14ac:dyDescent="0.45">
      <c r="A125"/>
      <c r="B125" s="1"/>
    </row>
    <row r="126" spans="1:2" x14ac:dyDescent="0.45">
      <c r="A126"/>
      <c r="B126" s="1"/>
    </row>
    <row r="127" spans="1:2" x14ac:dyDescent="0.45">
      <c r="A127"/>
      <c r="B127" s="1"/>
    </row>
    <row r="128" spans="1:2" x14ac:dyDescent="0.45">
      <c r="A128"/>
      <c r="B128" s="1"/>
    </row>
    <row r="129" spans="1:2" x14ac:dyDescent="0.45">
      <c r="A129"/>
      <c r="B129" s="1"/>
    </row>
    <row r="130" spans="1:2" x14ac:dyDescent="0.45">
      <c r="A130"/>
      <c r="B130" s="1"/>
    </row>
    <row r="131" spans="1:2" x14ac:dyDescent="0.45">
      <c r="A131"/>
      <c r="B131" s="1"/>
    </row>
    <row r="132" spans="1:2" x14ac:dyDescent="0.45">
      <c r="A132"/>
      <c r="B132" s="1"/>
    </row>
    <row r="133" spans="1:2" x14ac:dyDescent="0.45">
      <c r="A133"/>
      <c r="B133" s="1"/>
    </row>
    <row r="134" spans="1:2" x14ac:dyDescent="0.45">
      <c r="A134"/>
      <c r="B134" s="1"/>
    </row>
    <row r="135" spans="1:2" x14ac:dyDescent="0.45">
      <c r="A135"/>
      <c r="B135" s="1"/>
    </row>
    <row r="136" spans="1:2" x14ac:dyDescent="0.45">
      <c r="A136"/>
      <c r="B136" s="1"/>
    </row>
    <row r="137" spans="1:2" x14ac:dyDescent="0.45">
      <c r="A137"/>
      <c r="B137" s="1"/>
    </row>
    <row r="138" spans="1:2" x14ac:dyDescent="0.45">
      <c r="A138"/>
      <c r="B138" s="1"/>
    </row>
    <row r="139" spans="1:2" x14ac:dyDescent="0.45">
      <c r="A139"/>
      <c r="B139" s="1"/>
    </row>
    <row r="140" spans="1:2" x14ac:dyDescent="0.45">
      <c r="A140"/>
      <c r="B140" s="1"/>
    </row>
    <row r="141" spans="1:2" x14ac:dyDescent="0.45">
      <c r="A141"/>
      <c r="B141" s="1"/>
    </row>
    <row r="142" spans="1:2" x14ac:dyDescent="0.45">
      <c r="A142"/>
      <c r="B142" s="1"/>
    </row>
    <row r="143" spans="1:2" x14ac:dyDescent="0.45">
      <c r="A143"/>
      <c r="B143" s="1"/>
    </row>
    <row r="144" spans="1:2" x14ac:dyDescent="0.45">
      <c r="A144"/>
      <c r="B144" s="1"/>
    </row>
    <row r="145" spans="1:2" x14ac:dyDescent="0.45">
      <c r="A145"/>
      <c r="B145" s="1"/>
    </row>
    <row r="146" spans="1:2" x14ac:dyDescent="0.45">
      <c r="A146"/>
      <c r="B146" s="1"/>
    </row>
    <row r="147" spans="1:2" x14ac:dyDescent="0.45">
      <c r="A147"/>
      <c r="B147" s="1"/>
    </row>
    <row r="148" spans="1:2" x14ac:dyDescent="0.45">
      <c r="A148"/>
      <c r="B148" s="1"/>
    </row>
    <row r="149" spans="1:2" x14ac:dyDescent="0.45">
      <c r="A149"/>
      <c r="B149" s="1"/>
    </row>
    <row r="150" spans="1:2" x14ac:dyDescent="0.45">
      <c r="A150"/>
      <c r="B150" s="1"/>
    </row>
    <row r="151" spans="1:2" x14ac:dyDescent="0.45">
      <c r="A151"/>
      <c r="B151" s="1"/>
    </row>
    <row r="152" spans="1:2" x14ac:dyDescent="0.45">
      <c r="A152"/>
      <c r="B152" s="1"/>
    </row>
    <row r="153" spans="1:2" x14ac:dyDescent="0.45">
      <c r="A153"/>
      <c r="B153" s="1"/>
    </row>
    <row r="154" spans="1:2" x14ac:dyDescent="0.45">
      <c r="A154"/>
      <c r="B154" s="1"/>
    </row>
    <row r="155" spans="1:2" x14ac:dyDescent="0.45">
      <c r="A155"/>
      <c r="B155" s="1"/>
    </row>
    <row r="156" spans="1:2" x14ac:dyDescent="0.45">
      <c r="A156"/>
      <c r="B156" s="1"/>
    </row>
    <row r="157" spans="1:2" x14ac:dyDescent="0.45">
      <c r="A157"/>
      <c r="B157" s="1"/>
    </row>
    <row r="158" spans="1:2" x14ac:dyDescent="0.45">
      <c r="A158"/>
      <c r="B158" s="1"/>
    </row>
    <row r="159" spans="1:2" x14ac:dyDescent="0.45">
      <c r="A159"/>
      <c r="B159" s="1"/>
    </row>
    <row r="160" spans="1:2" x14ac:dyDescent="0.45">
      <c r="A160"/>
      <c r="B160" s="1"/>
    </row>
    <row r="161" spans="1:2" x14ac:dyDescent="0.45">
      <c r="A161"/>
      <c r="B161" s="1"/>
    </row>
    <row r="162" spans="1:2" x14ac:dyDescent="0.45">
      <c r="A162"/>
      <c r="B162" s="1"/>
    </row>
    <row r="163" spans="1:2" x14ac:dyDescent="0.45">
      <c r="A163"/>
      <c r="B163" s="1"/>
    </row>
    <row r="164" spans="1:2" x14ac:dyDescent="0.45">
      <c r="A164"/>
      <c r="B164" s="1"/>
    </row>
    <row r="165" spans="1:2" x14ac:dyDescent="0.45">
      <c r="A165"/>
      <c r="B165" s="1"/>
    </row>
    <row r="166" spans="1:2" x14ac:dyDescent="0.45">
      <c r="A166"/>
      <c r="B166" s="1"/>
    </row>
    <row r="167" spans="1:2" x14ac:dyDescent="0.45">
      <c r="A167"/>
      <c r="B167" s="1"/>
    </row>
    <row r="168" spans="1:2" x14ac:dyDescent="0.45">
      <c r="A168"/>
      <c r="B168" s="1"/>
    </row>
    <row r="169" spans="1:2" x14ac:dyDescent="0.45">
      <c r="A169"/>
      <c r="B169" s="1"/>
    </row>
    <row r="170" spans="1:2" x14ac:dyDescent="0.45">
      <c r="A170"/>
      <c r="B170" s="1"/>
    </row>
    <row r="171" spans="1:2" x14ac:dyDescent="0.45">
      <c r="A171"/>
      <c r="B171" s="1"/>
    </row>
    <row r="172" spans="1:2" x14ac:dyDescent="0.45">
      <c r="A172"/>
      <c r="B172" s="1"/>
    </row>
    <row r="173" spans="1:2" x14ac:dyDescent="0.45">
      <c r="A173"/>
      <c r="B173" s="1"/>
    </row>
    <row r="174" spans="1:2" x14ac:dyDescent="0.45">
      <c r="A174"/>
      <c r="B174" s="1"/>
    </row>
    <row r="175" spans="1:2" x14ac:dyDescent="0.45">
      <c r="A175"/>
      <c r="B175" s="1"/>
    </row>
    <row r="176" spans="1:2" x14ac:dyDescent="0.45">
      <c r="A176"/>
      <c r="B176" s="1"/>
    </row>
    <row r="177" spans="1:2" x14ac:dyDescent="0.45">
      <c r="A177"/>
      <c r="B177" s="1"/>
    </row>
    <row r="178" spans="1:2" x14ac:dyDescent="0.45">
      <c r="A178"/>
      <c r="B178" s="1"/>
    </row>
    <row r="179" spans="1:2" x14ac:dyDescent="0.45">
      <c r="A179"/>
      <c r="B179" s="1"/>
    </row>
    <row r="180" spans="1:2" x14ac:dyDescent="0.45">
      <c r="A180"/>
      <c r="B180" s="1"/>
    </row>
    <row r="181" spans="1:2" x14ac:dyDescent="0.45">
      <c r="A181"/>
      <c r="B181" s="1"/>
    </row>
    <row r="182" spans="1:2" x14ac:dyDescent="0.45">
      <c r="A182"/>
      <c r="B182" s="1"/>
    </row>
    <row r="183" spans="1:2" x14ac:dyDescent="0.45">
      <c r="A183"/>
      <c r="B183" s="1"/>
    </row>
    <row r="184" spans="1:2" x14ac:dyDescent="0.45">
      <c r="A184"/>
      <c r="B184" s="1"/>
    </row>
    <row r="185" spans="1:2" x14ac:dyDescent="0.45">
      <c r="A185"/>
      <c r="B185" s="1"/>
    </row>
    <row r="186" spans="1:2" x14ac:dyDescent="0.45">
      <c r="A186"/>
      <c r="B186" s="1"/>
    </row>
    <row r="187" spans="1:2" x14ac:dyDescent="0.45">
      <c r="A187"/>
      <c r="B187" s="1"/>
    </row>
    <row r="188" spans="1:2" x14ac:dyDescent="0.45">
      <c r="A188"/>
      <c r="B188" s="1"/>
    </row>
    <row r="189" spans="1:2" x14ac:dyDescent="0.45">
      <c r="A189"/>
      <c r="B189" s="1"/>
    </row>
    <row r="190" spans="1:2" x14ac:dyDescent="0.45">
      <c r="A190"/>
      <c r="B190" s="1"/>
    </row>
    <row r="191" spans="1:2" x14ac:dyDescent="0.45">
      <c r="A191"/>
      <c r="B191" s="1"/>
    </row>
    <row r="192" spans="1:2" x14ac:dyDescent="0.45">
      <c r="A192"/>
      <c r="B192" s="1"/>
    </row>
    <row r="193" spans="1:2" x14ac:dyDescent="0.45">
      <c r="A193"/>
      <c r="B193" s="1"/>
    </row>
    <row r="194" spans="1:2" x14ac:dyDescent="0.45">
      <c r="A194"/>
      <c r="B194" s="1"/>
    </row>
    <row r="195" spans="1:2" x14ac:dyDescent="0.45">
      <c r="A195"/>
      <c r="B195" s="1"/>
    </row>
    <row r="196" spans="1:2" x14ac:dyDescent="0.45">
      <c r="A196"/>
      <c r="B196" s="1"/>
    </row>
    <row r="197" spans="1:2" x14ac:dyDescent="0.45">
      <c r="A197"/>
      <c r="B197" s="1"/>
    </row>
    <row r="198" spans="1:2" x14ac:dyDescent="0.45">
      <c r="A198"/>
      <c r="B198" s="1"/>
    </row>
    <row r="199" spans="1:2" x14ac:dyDescent="0.45">
      <c r="A199"/>
      <c r="B199" s="1"/>
    </row>
    <row r="200" spans="1:2" x14ac:dyDescent="0.45">
      <c r="A200"/>
      <c r="B200" s="1"/>
    </row>
    <row r="201" spans="1:2" x14ac:dyDescent="0.45">
      <c r="A201"/>
      <c r="B201" s="1"/>
    </row>
    <row r="202" spans="1:2" x14ac:dyDescent="0.45">
      <c r="A202"/>
      <c r="B202" s="1"/>
    </row>
    <row r="203" spans="1:2" x14ac:dyDescent="0.45">
      <c r="A203"/>
      <c r="B203" s="1"/>
    </row>
    <row r="204" spans="1:2" x14ac:dyDescent="0.45">
      <c r="A204"/>
      <c r="B204" s="1"/>
    </row>
    <row r="205" spans="1:2" x14ac:dyDescent="0.45">
      <c r="A205"/>
      <c r="B205" s="1"/>
    </row>
    <row r="206" spans="1:2" x14ac:dyDescent="0.45">
      <c r="A206"/>
      <c r="B206" s="1"/>
    </row>
    <row r="207" spans="1:2" x14ac:dyDescent="0.45">
      <c r="A207"/>
      <c r="B207" s="1"/>
    </row>
    <row r="208" spans="1:2" x14ac:dyDescent="0.45">
      <c r="A208"/>
      <c r="B208" s="1"/>
    </row>
    <row r="209" spans="1:2" x14ac:dyDescent="0.45">
      <c r="A209"/>
      <c r="B209" s="1"/>
    </row>
    <row r="210" spans="1:2" x14ac:dyDescent="0.45">
      <c r="A210"/>
      <c r="B210" s="1"/>
    </row>
    <row r="211" spans="1:2" x14ac:dyDescent="0.45">
      <c r="A211"/>
      <c r="B211" s="1"/>
    </row>
    <row r="212" spans="1:2" x14ac:dyDescent="0.45">
      <c r="A212"/>
      <c r="B212" s="1"/>
    </row>
    <row r="213" spans="1:2" x14ac:dyDescent="0.45">
      <c r="A213"/>
      <c r="B213" s="1"/>
    </row>
    <row r="214" spans="1:2" x14ac:dyDescent="0.45">
      <c r="A214"/>
      <c r="B214" s="1"/>
    </row>
    <row r="215" spans="1:2" x14ac:dyDescent="0.45">
      <c r="A215"/>
      <c r="B215" s="1"/>
    </row>
    <row r="216" spans="1:2" x14ac:dyDescent="0.45">
      <c r="A216"/>
      <c r="B216" s="1"/>
    </row>
    <row r="217" spans="1:2" x14ac:dyDescent="0.45">
      <c r="A217"/>
      <c r="B217" s="1"/>
    </row>
    <row r="218" spans="1:2" x14ac:dyDescent="0.45">
      <c r="A218"/>
      <c r="B218" s="1"/>
    </row>
    <row r="219" spans="1:2" x14ac:dyDescent="0.45">
      <c r="A219"/>
      <c r="B219" s="1"/>
    </row>
    <row r="220" spans="1:2" x14ac:dyDescent="0.45">
      <c r="A220"/>
      <c r="B220" s="1"/>
    </row>
    <row r="221" spans="1:2" x14ac:dyDescent="0.45">
      <c r="A221"/>
      <c r="B221" s="1"/>
    </row>
    <row r="222" spans="1:2" x14ac:dyDescent="0.45">
      <c r="A222"/>
      <c r="B222" s="1"/>
    </row>
    <row r="223" spans="1:2" x14ac:dyDescent="0.45">
      <c r="A223"/>
      <c r="B223" s="1"/>
    </row>
    <row r="224" spans="1:2" x14ac:dyDescent="0.45">
      <c r="A224"/>
      <c r="B224" s="1"/>
    </row>
    <row r="225" spans="1:2" x14ac:dyDescent="0.45">
      <c r="A225"/>
      <c r="B225" s="1"/>
    </row>
    <row r="226" spans="1:2" x14ac:dyDescent="0.45">
      <c r="A226"/>
      <c r="B226" s="1"/>
    </row>
    <row r="227" spans="1:2" x14ac:dyDescent="0.45">
      <c r="A227"/>
      <c r="B227" s="1"/>
    </row>
    <row r="228" spans="1:2" x14ac:dyDescent="0.45">
      <c r="A228"/>
      <c r="B228" s="1"/>
    </row>
    <row r="229" spans="1:2" x14ac:dyDescent="0.45">
      <c r="A229"/>
      <c r="B229" s="1"/>
    </row>
    <row r="230" spans="1:2" x14ac:dyDescent="0.45">
      <c r="A230"/>
      <c r="B230" s="1"/>
    </row>
    <row r="231" spans="1:2" x14ac:dyDescent="0.45">
      <c r="A231"/>
      <c r="B231" s="1"/>
    </row>
    <row r="232" spans="1:2" x14ac:dyDescent="0.45">
      <c r="A232"/>
      <c r="B232" s="1"/>
    </row>
    <row r="233" spans="1:2" x14ac:dyDescent="0.45">
      <c r="A233"/>
      <c r="B233" s="1"/>
    </row>
    <row r="234" spans="1:2" x14ac:dyDescent="0.45">
      <c r="A234"/>
      <c r="B234" s="1"/>
    </row>
    <row r="235" spans="1:2" x14ac:dyDescent="0.45">
      <c r="A235"/>
      <c r="B235" s="1"/>
    </row>
    <row r="236" spans="1:2" x14ac:dyDescent="0.45">
      <c r="A236"/>
      <c r="B236" s="1"/>
    </row>
    <row r="237" spans="1:2" x14ac:dyDescent="0.45">
      <c r="A237"/>
      <c r="B237" s="1"/>
    </row>
    <row r="238" spans="1:2" x14ac:dyDescent="0.45">
      <c r="A238"/>
      <c r="B238" s="1"/>
    </row>
    <row r="239" spans="1:2" x14ac:dyDescent="0.45">
      <c r="A239"/>
      <c r="B239" s="1"/>
    </row>
    <row r="240" spans="1:2" x14ac:dyDescent="0.45">
      <c r="A240"/>
      <c r="B240" s="1"/>
    </row>
    <row r="241" spans="1:2" x14ac:dyDescent="0.45">
      <c r="A241"/>
      <c r="B241" s="1"/>
    </row>
    <row r="242" spans="1:2" x14ac:dyDescent="0.45">
      <c r="A242"/>
      <c r="B242" s="1"/>
    </row>
    <row r="243" spans="1:2" x14ac:dyDescent="0.45">
      <c r="A243"/>
      <c r="B243" s="1"/>
    </row>
    <row r="244" spans="1:2" x14ac:dyDescent="0.45">
      <c r="A244"/>
      <c r="B244" s="1"/>
    </row>
    <row r="245" spans="1:2" x14ac:dyDescent="0.45">
      <c r="A245"/>
      <c r="B245" s="1"/>
    </row>
    <row r="246" spans="1:2" x14ac:dyDescent="0.45">
      <c r="A246"/>
      <c r="B246" s="1"/>
    </row>
    <row r="247" spans="1:2" x14ac:dyDescent="0.45">
      <c r="A247"/>
      <c r="B247" s="1"/>
    </row>
    <row r="248" spans="1:2" x14ac:dyDescent="0.45">
      <c r="A248"/>
      <c r="B248" s="1"/>
    </row>
    <row r="249" spans="1:2" x14ac:dyDescent="0.45">
      <c r="A249"/>
      <c r="B249" s="1"/>
    </row>
    <row r="250" spans="1:2" x14ac:dyDescent="0.45">
      <c r="A250"/>
      <c r="B250" s="1"/>
    </row>
    <row r="251" spans="1:2" x14ac:dyDescent="0.45">
      <c r="A251"/>
      <c r="B251" s="1"/>
    </row>
    <row r="252" spans="1:2" x14ac:dyDescent="0.45">
      <c r="A252"/>
      <c r="B252" s="1"/>
    </row>
    <row r="253" spans="1:2" x14ac:dyDescent="0.45">
      <c r="A253"/>
      <c r="B253" s="1"/>
    </row>
    <row r="254" spans="1:2" x14ac:dyDescent="0.45">
      <c r="A254"/>
      <c r="B254" s="1"/>
    </row>
    <row r="255" spans="1:2" x14ac:dyDescent="0.45">
      <c r="A255"/>
      <c r="B255" s="1"/>
    </row>
    <row r="256" spans="1:2" x14ac:dyDescent="0.45">
      <c r="A256"/>
      <c r="B256" s="1"/>
    </row>
    <row r="257" spans="1:2" x14ac:dyDescent="0.45">
      <c r="A257"/>
      <c r="B257" s="1"/>
    </row>
    <row r="258" spans="1:2" x14ac:dyDescent="0.45">
      <c r="A258"/>
      <c r="B258" s="1"/>
    </row>
    <row r="259" spans="1:2" x14ac:dyDescent="0.45">
      <c r="A259"/>
      <c r="B259" s="1"/>
    </row>
    <row r="260" spans="1:2" x14ac:dyDescent="0.45">
      <c r="A260"/>
      <c r="B260" s="1"/>
    </row>
    <row r="261" spans="1:2" x14ac:dyDescent="0.45">
      <c r="A261"/>
      <c r="B261" s="1"/>
    </row>
    <row r="262" spans="1:2" x14ac:dyDescent="0.45">
      <c r="A262"/>
      <c r="B262" s="1"/>
    </row>
    <row r="263" spans="1:2" x14ac:dyDescent="0.45">
      <c r="A263"/>
      <c r="B263" s="1"/>
    </row>
    <row r="264" spans="1:2" x14ac:dyDescent="0.45">
      <c r="A264"/>
      <c r="B264" s="1"/>
    </row>
    <row r="265" spans="1:2" x14ac:dyDescent="0.45">
      <c r="A265"/>
      <c r="B265" s="1"/>
    </row>
    <row r="266" spans="1:2" x14ac:dyDescent="0.45">
      <c r="A266"/>
      <c r="B266" s="1"/>
    </row>
    <row r="267" spans="1:2" x14ac:dyDescent="0.45">
      <c r="A267"/>
      <c r="B267" s="1"/>
    </row>
    <row r="268" spans="1:2" x14ac:dyDescent="0.45">
      <c r="A268"/>
      <c r="B268" s="1"/>
    </row>
    <row r="269" spans="1:2" x14ac:dyDescent="0.45">
      <c r="A269"/>
      <c r="B269" s="1"/>
    </row>
    <row r="270" spans="1:2" x14ac:dyDescent="0.45">
      <c r="A270"/>
      <c r="B270" s="1"/>
    </row>
    <row r="271" spans="1:2" x14ac:dyDescent="0.45">
      <c r="A271"/>
      <c r="B271" s="1"/>
    </row>
    <row r="272" spans="1:2" x14ac:dyDescent="0.45">
      <c r="A272"/>
      <c r="B272" s="1"/>
    </row>
    <row r="273" spans="1:2" x14ac:dyDescent="0.45">
      <c r="A273"/>
      <c r="B273" s="1"/>
    </row>
    <row r="274" spans="1:2" x14ac:dyDescent="0.45">
      <c r="A274"/>
      <c r="B274" s="1"/>
    </row>
    <row r="275" spans="1:2" x14ac:dyDescent="0.45">
      <c r="A275"/>
      <c r="B275" s="1"/>
    </row>
    <row r="276" spans="1:2" x14ac:dyDescent="0.45">
      <c r="A276"/>
      <c r="B276" s="1"/>
    </row>
    <row r="277" spans="1:2" x14ac:dyDescent="0.45">
      <c r="A277"/>
      <c r="B277" s="1"/>
    </row>
    <row r="278" spans="1:2" x14ac:dyDescent="0.45">
      <c r="A278"/>
      <c r="B278" s="1"/>
    </row>
    <row r="279" spans="1:2" x14ac:dyDescent="0.45">
      <c r="A279"/>
      <c r="B279" s="1"/>
    </row>
    <row r="280" spans="1:2" x14ac:dyDescent="0.45">
      <c r="A280"/>
      <c r="B280" s="1"/>
    </row>
    <row r="281" spans="1:2" x14ac:dyDescent="0.45">
      <c r="A281"/>
      <c r="B281" s="1"/>
    </row>
    <row r="282" spans="1:2" x14ac:dyDescent="0.45">
      <c r="A282"/>
      <c r="B282" s="1"/>
    </row>
    <row r="283" spans="1:2" x14ac:dyDescent="0.45">
      <c r="A283"/>
      <c r="B283" s="1"/>
    </row>
    <row r="284" spans="1:2" x14ac:dyDescent="0.45">
      <c r="A284"/>
      <c r="B284" s="1"/>
    </row>
    <row r="285" spans="1:2" x14ac:dyDescent="0.45">
      <c r="A285"/>
      <c r="B285" s="1"/>
    </row>
    <row r="286" spans="1:2" x14ac:dyDescent="0.45">
      <c r="A286"/>
      <c r="B286" s="1"/>
    </row>
    <row r="287" spans="1:2" x14ac:dyDescent="0.45">
      <c r="A287"/>
      <c r="B287" s="1"/>
    </row>
    <row r="288" spans="1:2" x14ac:dyDescent="0.45">
      <c r="A288"/>
      <c r="B288" s="1"/>
    </row>
    <row r="289" spans="1:2" x14ac:dyDescent="0.45">
      <c r="A289"/>
      <c r="B289" s="1"/>
    </row>
    <row r="290" spans="1:2" x14ac:dyDescent="0.45">
      <c r="A290"/>
      <c r="B290" s="1"/>
    </row>
    <row r="291" spans="1:2" x14ac:dyDescent="0.45">
      <c r="A291"/>
      <c r="B291" s="1"/>
    </row>
    <row r="292" spans="1:2" x14ac:dyDescent="0.45">
      <c r="A292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1430-D3C2-4BCE-8BE4-4BDBC5FA359D}">
  <sheetPr codeName="Лист12"/>
  <dimension ref="A1:P301"/>
  <sheetViews>
    <sheetView workbookViewId="0">
      <selection activeCell="G10" sqref="G10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>
        <v>209.5288109206173</v>
      </c>
      <c r="B2" s="2">
        <f>(A2-$G$4)*(A2-$G$4)</f>
        <v>5010.4236251630546</v>
      </c>
      <c r="F2" t="s">
        <v>9</v>
      </c>
      <c r="G2" s="2">
        <f>G3</f>
        <v>200</v>
      </c>
      <c r="O2" t="s">
        <v>11</v>
      </c>
    </row>
    <row r="3" spans="1:16" x14ac:dyDescent="0.45">
      <c r="A3">
        <v>234.92815281748139</v>
      </c>
      <c r="B3" s="2">
        <f t="shared" ref="B3:B66" si="0">(A3-$G$4)*(A3-$G$4)</f>
        <v>2059.7985887956643</v>
      </c>
      <c r="E3" t="s">
        <v>6</v>
      </c>
      <c r="G3" s="2">
        <f>COUNT(A:A)</f>
        <v>200</v>
      </c>
      <c r="O3" s="4"/>
    </row>
    <row r="4" spans="1:16" x14ac:dyDescent="0.45">
      <c r="A4">
        <v>70.260555548940616</v>
      </c>
      <c r="B4" s="2">
        <f t="shared" si="0"/>
        <v>44122.09530299277</v>
      </c>
      <c r="E4" t="s">
        <v>0</v>
      </c>
      <c r="F4" s="2"/>
      <c r="G4" s="2">
        <f>SUM(A:A)/G2</f>
        <v>280.31315682536558</v>
      </c>
      <c r="O4" s="5">
        <f>(P4-G4)/G4</f>
        <v>-5.431274738444479E-2</v>
      </c>
      <c r="P4">
        <f>'200'!G4</f>
        <v>265.08857915017325</v>
      </c>
    </row>
    <row r="5" spans="1:16" x14ac:dyDescent="0.45">
      <c r="A5">
        <v>369.86281739777667</v>
      </c>
      <c r="B5" s="2">
        <f t="shared" si="0"/>
        <v>8019.1417086340361</v>
      </c>
      <c r="E5" t="s">
        <v>1</v>
      </c>
      <c r="F5" s="2"/>
      <c r="G5" s="2">
        <f>SUM(B:B)/(G2-1)</f>
        <v>29658.101591475406</v>
      </c>
      <c r="O5" s="5">
        <f t="shared" ref="O5:O7" si="1">(P5-G5)/G5</f>
        <v>-0.16134714055587426</v>
      </c>
      <c r="P5">
        <f>'200'!G5</f>
        <v>24872.851705375226</v>
      </c>
    </row>
    <row r="6" spans="1:16" x14ac:dyDescent="0.45">
      <c r="A6">
        <v>332.22945392144737</v>
      </c>
      <c r="B6" s="2">
        <f t="shared" si="0"/>
        <v>2695.3019041686307</v>
      </c>
      <c r="E6" t="s">
        <v>2</v>
      </c>
      <c r="F6" s="2"/>
      <c r="G6" s="2">
        <f>SQRT(G5)</f>
        <v>172.21527688180106</v>
      </c>
      <c r="J6" s="3"/>
      <c r="O6" s="5">
        <f t="shared" si="1"/>
        <v>-8.4220081327327959E-2</v>
      </c>
      <c r="P6">
        <f>'200'!G6</f>
        <v>157.71129225700747</v>
      </c>
    </row>
    <row r="7" spans="1:16" ht="14.25" customHeight="1" x14ac:dyDescent="0.45">
      <c r="A7">
        <v>130.66504585089956</v>
      </c>
      <c r="B7" s="2">
        <f t="shared" si="0"/>
        <v>22394.557118226097</v>
      </c>
      <c r="E7" t="s">
        <v>3</v>
      </c>
      <c r="F7" s="2"/>
      <c r="G7" s="2">
        <f>G6/G4</f>
        <v>0.61436744115828557</v>
      </c>
      <c r="J7" s="3"/>
      <c r="O7" s="5">
        <f t="shared" si="1"/>
        <v>-3.1624973118931601E-2</v>
      </c>
      <c r="P7">
        <f>'200'!G7</f>
        <v>0.59493808734650799</v>
      </c>
    </row>
    <row r="8" spans="1:16" x14ac:dyDescent="0.45">
      <c r="A8">
        <v>107.26249292252238</v>
      </c>
      <c r="B8" s="2">
        <f t="shared" si="0"/>
        <v>29946.532277214803</v>
      </c>
      <c r="D8" s="7" t="s">
        <v>4</v>
      </c>
      <c r="E8">
        <v>0.9</v>
      </c>
      <c r="F8" s="2">
        <v>1.6839999999999999</v>
      </c>
      <c r="G8" s="2">
        <f>$G$13*F8</f>
        <v>20.506840974025604</v>
      </c>
      <c r="I8">
        <f>K8-G8</f>
        <v>259.80631585134</v>
      </c>
      <c r="J8" s="3" t="s">
        <v>10</v>
      </c>
      <c r="K8">
        <f>$G$4</f>
        <v>280.31315682536558</v>
      </c>
      <c r="L8" s="3" t="s">
        <v>10</v>
      </c>
      <c r="M8">
        <f>K8+G8</f>
        <v>300.81999779939116</v>
      </c>
      <c r="O8" s="5">
        <f t="shared" ref="O8:O10" si="2">(P8-G8)/G8</f>
        <v>-8.4220081327327917E-2</v>
      </c>
      <c r="P8">
        <f>'200'!G8</f>
        <v>18.779753159426587</v>
      </c>
    </row>
    <row r="9" spans="1:16" x14ac:dyDescent="0.45">
      <c r="A9">
        <v>304.89436045962498</v>
      </c>
      <c r="B9" s="2">
        <f t="shared" si="0"/>
        <v>604.23557210892727</v>
      </c>
      <c r="D9" s="7"/>
      <c r="E9">
        <v>0.95</v>
      </c>
      <c r="F9" s="2">
        <v>1.96</v>
      </c>
      <c r="G9" s="2">
        <f t="shared" ref="G9:G10" si="3">$G$13*F9</f>
        <v>23.867819660979919</v>
      </c>
      <c r="I9">
        <f t="shared" ref="I9:I10" si="4">K9-G9</f>
        <v>256.44533716438565</v>
      </c>
      <c r="J9" s="3" t="s">
        <v>10</v>
      </c>
      <c r="K9">
        <f t="shared" ref="K9:K10" si="5">$G$4</f>
        <v>280.31315682536558</v>
      </c>
      <c r="L9" s="3" t="s">
        <v>10</v>
      </c>
      <c r="M9">
        <f t="shared" ref="M9:M10" si="6">K9+G9</f>
        <v>304.18097648634551</v>
      </c>
      <c r="O9" s="5">
        <f t="shared" si="2"/>
        <v>-8.4220081327327972E-2</v>
      </c>
      <c r="P9">
        <f>'200'!G9</f>
        <v>21.857669948026192</v>
      </c>
    </row>
    <row r="10" spans="1:16" x14ac:dyDescent="0.45">
      <c r="A10">
        <v>220.47323459778454</v>
      </c>
      <c r="B10" s="2">
        <f t="shared" si="0"/>
        <v>3580.8162922029478</v>
      </c>
      <c r="D10" s="7"/>
      <c r="E10">
        <v>0.99</v>
      </c>
      <c r="F10" s="2">
        <v>2.5790000000000002</v>
      </c>
      <c r="G10" s="2">
        <f t="shared" si="3"/>
        <v>31.405666788605725</v>
      </c>
      <c r="I10">
        <f t="shared" si="4"/>
        <v>248.90749003675987</v>
      </c>
      <c r="J10" s="3" t="s">
        <v>10</v>
      </c>
      <c r="K10">
        <f t="shared" si="5"/>
        <v>280.31315682536558</v>
      </c>
      <c r="L10" s="3" t="s">
        <v>10</v>
      </c>
      <c r="M10">
        <f t="shared" si="6"/>
        <v>311.71882361397132</v>
      </c>
      <c r="O10" s="5">
        <f t="shared" si="2"/>
        <v>-8.4220081327328028E-2</v>
      </c>
      <c r="P10">
        <f>'200'!G10</f>
        <v>28.760678977530386</v>
      </c>
    </row>
    <row r="11" spans="1:16" x14ac:dyDescent="0.45">
      <c r="A11">
        <v>681.11685365201038</v>
      </c>
      <c r="B11" s="2">
        <f t="shared" si="0"/>
        <v>160643.60338990501</v>
      </c>
      <c r="E11" t="s">
        <v>5</v>
      </c>
      <c r="F11" s="2"/>
      <c r="G11" s="2"/>
      <c r="O11" s="4"/>
    </row>
    <row r="12" spans="1:16" x14ac:dyDescent="0.45">
      <c r="A12">
        <v>254.72990256535178</v>
      </c>
      <c r="B12" s="2">
        <f t="shared" si="0"/>
        <v>654.50289853251434</v>
      </c>
      <c r="F12" s="2"/>
    </row>
    <row r="13" spans="1:16" x14ac:dyDescent="0.45">
      <c r="A13">
        <v>235.08798478663388</v>
      </c>
      <c r="B13" s="2">
        <f t="shared" si="0"/>
        <v>2045.3161859328795</v>
      </c>
      <c r="E13" t="s">
        <v>8</v>
      </c>
      <c r="F13" s="2"/>
      <c r="G13">
        <f>SQRT(G5/G2)</f>
        <v>12.177459010704041</v>
      </c>
    </row>
    <row r="14" spans="1:16" x14ac:dyDescent="0.45">
      <c r="A14">
        <v>121.42862981203696</v>
      </c>
      <c r="B14" s="2">
        <f t="shared" si="0"/>
        <v>25244.292924249155</v>
      </c>
      <c r="F14" s="2"/>
    </row>
    <row r="15" spans="1:16" x14ac:dyDescent="0.45">
      <c r="A15">
        <v>105.02894169849054</v>
      </c>
      <c r="B15" s="2">
        <f t="shared" si="0"/>
        <v>30724.556072644609</v>
      </c>
      <c r="F15" s="2"/>
    </row>
    <row r="16" spans="1:16" x14ac:dyDescent="0.45">
      <c r="A16">
        <v>443.57479891176058</v>
      </c>
      <c r="B16" s="2">
        <f t="shared" si="0"/>
        <v>26654.363776746144</v>
      </c>
    </row>
    <row r="17" spans="1:2" x14ac:dyDescent="0.45">
      <c r="A17">
        <v>267.03746963636996</v>
      </c>
      <c r="B17" s="2">
        <f t="shared" si="0"/>
        <v>176.24387034006239</v>
      </c>
    </row>
    <row r="18" spans="1:2" x14ac:dyDescent="0.45">
      <c r="A18">
        <v>401.70769464597328</v>
      </c>
      <c r="B18" s="2">
        <f t="shared" si="0"/>
        <v>14736.633812678952</v>
      </c>
    </row>
    <row r="19" spans="1:2" x14ac:dyDescent="0.45">
      <c r="A19">
        <v>59.379924321729256</v>
      </c>
      <c r="B19" s="2">
        <f t="shared" si="0"/>
        <v>48811.49322450583</v>
      </c>
    </row>
    <row r="20" spans="1:2" x14ac:dyDescent="0.45">
      <c r="A20">
        <v>774.96763544059399</v>
      </c>
      <c r="B20" s="2">
        <f t="shared" si="0"/>
        <v>244683.05321410345</v>
      </c>
    </row>
    <row r="21" spans="1:2" x14ac:dyDescent="0.45">
      <c r="A21">
        <v>169.47108847850711</v>
      </c>
      <c r="B21" s="2">
        <f t="shared" si="0"/>
        <v>12285.964115409644</v>
      </c>
    </row>
    <row r="22" spans="1:2" x14ac:dyDescent="0.45">
      <c r="A22">
        <v>615.23664584887263</v>
      </c>
      <c r="B22" s="2">
        <f t="shared" si="0"/>
        <v>112173.74349967924</v>
      </c>
    </row>
    <row r="23" spans="1:2" x14ac:dyDescent="0.45">
      <c r="A23">
        <v>80.798660467993969</v>
      </c>
      <c r="B23" s="2">
        <f t="shared" si="0"/>
        <v>39806.034256735657</v>
      </c>
    </row>
    <row r="24" spans="1:2" x14ac:dyDescent="0.45">
      <c r="A24">
        <v>368.01975475886582</v>
      </c>
      <c r="B24" s="2">
        <f t="shared" si="0"/>
        <v>7692.4473210686674</v>
      </c>
    </row>
    <row r="25" spans="1:2" x14ac:dyDescent="0.45">
      <c r="A25">
        <v>259.37419471341775</v>
      </c>
      <c r="B25" s="2">
        <f t="shared" si="0"/>
        <v>438.44013432558677</v>
      </c>
    </row>
    <row r="26" spans="1:2" x14ac:dyDescent="0.45">
      <c r="A26">
        <v>164.98614481728714</v>
      </c>
      <c r="B26" s="2">
        <f t="shared" si="0"/>
        <v>13300.31969871147</v>
      </c>
    </row>
    <row r="27" spans="1:2" x14ac:dyDescent="0.45">
      <c r="A27">
        <v>326.93468592479508</v>
      </c>
      <c r="B27" s="2">
        <f t="shared" si="0"/>
        <v>2173.566975568951</v>
      </c>
    </row>
    <row r="28" spans="1:2" x14ac:dyDescent="0.45">
      <c r="A28">
        <v>594.28891545738736</v>
      </c>
      <c r="B28" s="2">
        <f t="shared" si="0"/>
        <v>98580.777008553603</v>
      </c>
    </row>
    <row r="29" spans="1:2" x14ac:dyDescent="0.45">
      <c r="A29">
        <v>67.642177200888</v>
      </c>
      <c r="B29" s="2">
        <f t="shared" si="0"/>
        <v>45228.945574434962</v>
      </c>
    </row>
    <row r="30" spans="1:2" x14ac:dyDescent="0.45">
      <c r="A30">
        <v>327.53880603093648</v>
      </c>
      <c r="B30" s="2">
        <f t="shared" si="0"/>
        <v>2230.2619428876396</v>
      </c>
    </row>
    <row r="31" spans="1:2" x14ac:dyDescent="0.45">
      <c r="A31">
        <v>244.11185637314551</v>
      </c>
      <c r="B31" s="2">
        <f t="shared" si="0"/>
        <v>1310.5341544319087</v>
      </c>
    </row>
    <row r="32" spans="1:2" x14ac:dyDescent="0.45">
      <c r="A32">
        <v>341.49190856028713</v>
      </c>
      <c r="B32" s="2">
        <f t="shared" si="0"/>
        <v>3742.8396638431664</v>
      </c>
    </row>
    <row r="33" spans="1:2" x14ac:dyDescent="0.45">
      <c r="A33">
        <v>245.6669964273672</v>
      </c>
      <c r="B33" s="2">
        <f t="shared" si="0"/>
        <v>1200.3564303238318</v>
      </c>
    </row>
    <row r="34" spans="1:2" x14ac:dyDescent="0.45">
      <c r="A34">
        <v>90.522743756656411</v>
      </c>
      <c r="B34" s="2">
        <f t="shared" si="0"/>
        <v>36020.400892791251</v>
      </c>
    </row>
    <row r="35" spans="1:2" x14ac:dyDescent="0.45">
      <c r="A35">
        <v>372.04227444802433</v>
      </c>
      <c r="B35" s="2">
        <f t="shared" si="0"/>
        <v>8414.2310198315645</v>
      </c>
    </row>
    <row r="36" spans="1:2" x14ac:dyDescent="0.45">
      <c r="A36">
        <v>234.50838155808407</v>
      </c>
      <c r="B36" s="2">
        <f t="shared" si="0"/>
        <v>2098.0774372861642</v>
      </c>
    </row>
    <row r="37" spans="1:2" x14ac:dyDescent="0.45">
      <c r="A37">
        <v>271.38612176538788</v>
      </c>
      <c r="B37" s="2">
        <f t="shared" si="0"/>
        <v>79.691954962071009</v>
      </c>
    </row>
    <row r="38" spans="1:2" x14ac:dyDescent="0.45">
      <c r="A38">
        <v>276.61619037549502</v>
      </c>
      <c r="B38" s="2">
        <f t="shared" si="0"/>
        <v>13.66756093146852</v>
      </c>
    </row>
    <row r="39" spans="1:2" x14ac:dyDescent="0.45">
      <c r="A39">
        <v>305.02362963278551</v>
      </c>
      <c r="B39" s="2">
        <f t="shared" si="0"/>
        <v>610.60746636623992</v>
      </c>
    </row>
    <row r="40" spans="1:2" x14ac:dyDescent="0.45">
      <c r="A40">
        <v>132.36814076666116</v>
      </c>
      <c r="B40" s="2">
        <f t="shared" si="0"/>
        <v>21887.727776610311</v>
      </c>
    </row>
    <row r="41" spans="1:2" x14ac:dyDescent="0.45">
      <c r="A41">
        <v>315.68165521645199</v>
      </c>
      <c r="B41" s="2">
        <f t="shared" si="0"/>
        <v>1250.9306784402816</v>
      </c>
    </row>
    <row r="42" spans="1:2" x14ac:dyDescent="0.45">
      <c r="A42">
        <v>190.90805625163031</v>
      </c>
      <c r="B42" s="2">
        <f t="shared" si="0"/>
        <v>7993.272008599718</v>
      </c>
    </row>
    <row r="43" spans="1:2" x14ac:dyDescent="0.45">
      <c r="A43">
        <v>169.49679909189314</v>
      </c>
      <c r="B43" s="2">
        <f t="shared" si="0"/>
        <v>12280.265141312937</v>
      </c>
    </row>
    <row r="44" spans="1:2" x14ac:dyDescent="0.45">
      <c r="A44">
        <v>387.44212866851188</v>
      </c>
      <c r="B44" s="2">
        <f t="shared" si="0"/>
        <v>11476.616608169634</v>
      </c>
    </row>
    <row r="45" spans="1:2" x14ac:dyDescent="0.45">
      <c r="A45">
        <v>482.23771912995119</v>
      </c>
      <c r="B45" s="2">
        <f t="shared" si="0"/>
        <v>40773.528861898478</v>
      </c>
    </row>
    <row r="46" spans="1:2" x14ac:dyDescent="0.45">
      <c r="A46">
        <v>169.89721429943333</v>
      </c>
      <c r="B46" s="2">
        <f t="shared" si="0"/>
        <v>12191.680363889975</v>
      </c>
    </row>
    <row r="47" spans="1:2" x14ac:dyDescent="0.45">
      <c r="A47">
        <v>169.24970694165125</v>
      </c>
      <c r="B47" s="2">
        <f t="shared" si="0"/>
        <v>12335.089900072324</v>
      </c>
    </row>
    <row r="48" spans="1:2" x14ac:dyDescent="0.45">
      <c r="A48">
        <v>157.80896181471908</v>
      </c>
      <c r="B48" s="2">
        <f t="shared" si="0"/>
        <v>15007.277795206506</v>
      </c>
    </row>
    <row r="49" spans="1:2" x14ac:dyDescent="0.45">
      <c r="A49">
        <v>234.48900683505167</v>
      </c>
      <c r="B49" s="2">
        <f t="shared" si="0"/>
        <v>2099.8527223347864</v>
      </c>
    </row>
    <row r="50" spans="1:2" x14ac:dyDescent="0.45">
      <c r="A50">
        <v>223.62841557033812</v>
      </c>
      <c r="B50" s="2">
        <f t="shared" si="0"/>
        <v>3213.159891149412</v>
      </c>
    </row>
    <row r="51" spans="1:2" x14ac:dyDescent="0.45">
      <c r="A51">
        <v>144.59081370771773</v>
      </c>
      <c r="B51" s="2">
        <f t="shared" si="0"/>
        <v>18420.554421344532</v>
      </c>
    </row>
    <row r="52" spans="1:2" x14ac:dyDescent="0.45">
      <c r="A52">
        <v>538.7878849706276</v>
      </c>
      <c r="B52" s="2">
        <f t="shared" si="0"/>
        <v>66809.18508976711</v>
      </c>
    </row>
    <row r="53" spans="1:2" x14ac:dyDescent="0.45">
      <c r="A53">
        <v>268.51540072322712</v>
      </c>
      <c r="B53" s="2">
        <f t="shared" si="0"/>
        <v>139.18704904554536</v>
      </c>
    </row>
    <row r="54" spans="1:2" x14ac:dyDescent="0.45">
      <c r="A54">
        <v>486.36609639678198</v>
      </c>
      <c r="B54" s="2">
        <f t="shared" si="0"/>
        <v>42457.81390602178</v>
      </c>
    </row>
    <row r="55" spans="1:2" x14ac:dyDescent="0.45">
      <c r="A55">
        <v>280.20437326630719</v>
      </c>
      <c r="B55" s="2">
        <f t="shared" si="0"/>
        <v>1.183386272141131E-2</v>
      </c>
    </row>
    <row r="56" spans="1:2" x14ac:dyDescent="0.45">
      <c r="A56">
        <v>467.16073967148657</v>
      </c>
      <c r="B56" s="2">
        <f t="shared" si="0"/>
        <v>34912.019215438042</v>
      </c>
    </row>
    <row r="57" spans="1:2" x14ac:dyDescent="0.45">
      <c r="A57">
        <v>163.15559400539996</v>
      </c>
      <c r="B57" s="2">
        <f t="shared" si="0"/>
        <v>13725.894525914191</v>
      </c>
    </row>
    <row r="58" spans="1:2" x14ac:dyDescent="0.45">
      <c r="A58">
        <v>504.13069662243396</v>
      </c>
      <c r="B58" s="2">
        <f t="shared" si="0"/>
        <v>50094.29112081229</v>
      </c>
    </row>
    <row r="59" spans="1:2" x14ac:dyDescent="0.45">
      <c r="A59">
        <v>434.01183362842283</v>
      </c>
      <c r="B59" s="2">
        <f t="shared" si="0"/>
        <v>23623.283251010649</v>
      </c>
    </row>
    <row r="60" spans="1:2" x14ac:dyDescent="0.45">
      <c r="A60">
        <v>488.99389597185382</v>
      </c>
      <c r="B60" s="2">
        <f t="shared" si="0"/>
        <v>43547.650890724668</v>
      </c>
    </row>
    <row r="61" spans="1:2" x14ac:dyDescent="0.45">
      <c r="A61">
        <v>166.78355523008983</v>
      </c>
      <c r="B61" s="2">
        <f t="shared" si="0"/>
        <v>12888.970438382039</v>
      </c>
    </row>
    <row r="62" spans="1:2" x14ac:dyDescent="0.45">
      <c r="A62">
        <v>52.658388575742862</v>
      </c>
      <c r="B62" s="2">
        <f t="shared" si="0"/>
        <v>51826.69350678943</v>
      </c>
    </row>
    <row r="63" spans="1:2" x14ac:dyDescent="0.45">
      <c r="A63">
        <v>173.16219460145086</v>
      </c>
      <c r="B63" s="2">
        <f t="shared" si="0"/>
        <v>11481.328705510799</v>
      </c>
    </row>
    <row r="64" spans="1:2" x14ac:dyDescent="0.45">
      <c r="A64">
        <v>252.11587739497912</v>
      </c>
      <c r="B64" s="2">
        <f t="shared" si="0"/>
        <v>795.08656727529535</v>
      </c>
    </row>
    <row r="65" spans="1:2" x14ac:dyDescent="0.45">
      <c r="A65">
        <v>441.64480091025371</v>
      </c>
      <c r="B65" s="2">
        <f t="shared" si="0"/>
        <v>26027.899383133019</v>
      </c>
    </row>
    <row r="66" spans="1:2" x14ac:dyDescent="0.45">
      <c r="A66">
        <v>47.848498048560792</v>
      </c>
      <c r="B66" s="2">
        <f t="shared" si="0"/>
        <v>54039.81758021628</v>
      </c>
    </row>
    <row r="67" spans="1:2" x14ac:dyDescent="0.45">
      <c r="A67">
        <v>144.80469715405297</v>
      </c>
      <c r="B67" s="2">
        <f t="shared" ref="B67:B130" si="7">(A67-$G$4)*(A67-$G$4)</f>
        <v>18362.542642491757</v>
      </c>
    </row>
    <row r="68" spans="1:2" x14ac:dyDescent="0.45">
      <c r="A68">
        <v>59.869896269984665</v>
      </c>
      <c r="B68" s="2">
        <f t="shared" si="7"/>
        <v>48595.231124287551</v>
      </c>
    </row>
    <row r="69" spans="1:2" x14ac:dyDescent="0.45">
      <c r="A69">
        <v>335.82089896048655</v>
      </c>
      <c r="B69" s="2">
        <f t="shared" si="7"/>
        <v>3081.109436939083</v>
      </c>
    </row>
    <row r="70" spans="1:2" x14ac:dyDescent="0.45">
      <c r="A70">
        <v>473.80666636238794</v>
      </c>
      <c r="B70" s="2">
        <f t="shared" si="7"/>
        <v>37439.738232953765</v>
      </c>
    </row>
    <row r="71" spans="1:2" x14ac:dyDescent="0.45">
      <c r="A71">
        <v>297.27969468721159</v>
      </c>
      <c r="B71" s="2">
        <f t="shared" si="7"/>
        <v>287.86340701745405</v>
      </c>
    </row>
    <row r="72" spans="1:2" x14ac:dyDescent="0.45">
      <c r="A72">
        <v>98.255300531989789</v>
      </c>
      <c r="B72" s="2">
        <f t="shared" si="7"/>
        <v>33145.063038139466</v>
      </c>
    </row>
    <row r="73" spans="1:2" x14ac:dyDescent="0.45">
      <c r="A73">
        <v>518.62926994183226</v>
      </c>
      <c r="B73" s="2">
        <f t="shared" si="7"/>
        <v>56794.569770940543</v>
      </c>
    </row>
    <row r="74" spans="1:2" x14ac:dyDescent="0.45">
      <c r="A74">
        <v>93.97636635450155</v>
      </c>
      <c r="B74" s="2">
        <f t="shared" si="7"/>
        <v>34721.399482982684</v>
      </c>
    </row>
    <row r="75" spans="1:2" x14ac:dyDescent="0.45">
      <c r="A75">
        <v>142.43278079553824</v>
      </c>
      <c r="B75" s="2">
        <f t="shared" si="7"/>
        <v>19010.998094126586</v>
      </c>
    </row>
    <row r="76" spans="1:2" x14ac:dyDescent="0.45">
      <c r="A76">
        <v>455.82920256252265</v>
      </c>
      <c r="B76" s="2">
        <f t="shared" si="7"/>
        <v>30805.882311207813</v>
      </c>
    </row>
    <row r="77" spans="1:2" x14ac:dyDescent="0.45">
      <c r="A77">
        <v>596.23910759302396</v>
      </c>
      <c r="B77" s="2">
        <f t="shared" si="7"/>
        <v>99809.206368448911</v>
      </c>
    </row>
    <row r="78" spans="1:2" x14ac:dyDescent="0.45">
      <c r="A78">
        <v>295.96022618973575</v>
      </c>
      <c r="B78" s="2">
        <f t="shared" si="7"/>
        <v>244.83077969341144</v>
      </c>
    </row>
    <row r="79" spans="1:2" x14ac:dyDescent="0.45">
      <c r="A79">
        <v>67.942553282927193</v>
      </c>
      <c r="B79" s="2">
        <f t="shared" si="7"/>
        <v>45101.273248979553</v>
      </c>
    </row>
    <row r="80" spans="1:2" x14ac:dyDescent="0.45">
      <c r="A80">
        <v>96.558471319182118</v>
      </c>
      <c r="B80" s="2">
        <f t="shared" si="7"/>
        <v>33765.784445476398</v>
      </c>
    </row>
    <row r="81" spans="1:2" x14ac:dyDescent="0.45">
      <c r="A81">
        <v>343.86748024853443</v>
      </c>
      <c r="B81" s="2">
        <f t="shared" si="7"/>
        <v>4039.1520257767493</v>
      </c>
    </row>
    <row r="82" spans="1:2" x14ac:dyDescent="0.45">
      <c r="A82">
        <v>281.18845620463583</v>
      </c>
      <c r="B82" s="2">
        <f t="shared" si="7"/>
        <v>0.7661490033508771</v>
      </c>
    </row>
    <row r="83" spans="1:2" x14ac:dyDescent="0.45">
      <c r="A83">
        <v>917.4372022271923</v>
      </c>
      <c r="B83" s="2">
        <f t="shared" si="7"/>
        <v>405927.04922918894</v>
      </c>
    </row>
    <row r="84" spans="1:2" x14ac:dyDescent="0.45">
      <c r="A84">
        <v>262.43180773473506</v>
      </c>
      <c r="B84" s="2">
        <f t="shared" si="7"/>
        <v>319.74264530099299</v>
      </c>
    </row>
    <row r="85" spans="1:2" x14ac:dyDescent="0.45">
      <c r="A85">
        <v>524.45340443223631</v>
      </c>
      <c r="B85" s="2">
        <f t="shared" si="7"/>
        <v>59604.460501544148</v>
      </c>
    </row>
    <row r="86" spans="1:2" x14ac:dyDescent="0.45">
      <c r="A86">
        <v>134.02595032352656</v>
      </c>
      <c r="B86" s="2">
        <f t="shared" si="7"/>
        <v>21399.946786111694</v>
      </c>
    </row>
    <row r="87" spans="1:2" x14ac:dyDescent="0.45">
      <c r="A87">
        <v>396.88023212302858</v>
      </c>
      <c r="B87" s="2">
        <f t="shared" si="7"/>
        <v>13587.883043451035</v>
      </c>
    </row>
    <row r="88" spans="1:2" x14ac:dyDescent="0.45">
      <c r="A88">
        <v>141.09243653739904</v>
      </c>
      <c r="B88" s="2">
        <f t="shared" si="7"/>
        <v>19382.408957500218</v>
      </c>
    </row>
    <row r="89" spans="1:2" x14ac:dyDescent="0.45">
      <c r="A89">
        <v>218.46556492072142</v>
      </c>
      <c r="B89" s="2">
        <f t="shared" si="7"/>
        <v>3825.124624403406</v>
      </c>
    </row>
    <row r="90" spans="1:2" x14ac:dyDescent="0.45">
      <c r="A90">
        <v>44.628549494627542</v>
      </c>
      <c r="B90" s="2">
        <f t="shared" si="7"/>
        <v>55547.234132644175</v>
      </c>
    </row>
    <row r="91" spans="1:2" x14ac:dyDescent="0.45">
      <c r="A91">
        <v>71.435914829738323</v>
      </c>
      <c r="B91" s="2">
        <f t="shared" si="7"/>
        <v>43629.702223699831</v>
      </c>
    </row>
    <row r="92" spans="1:2" x14ac:dyDescent="0.45">
      <c r="A92">
        <v>76.092501582313901</v>
      </c>
      <c r="B92" s="2">
        <f t="shared" si="7"/>
        <v>41706.07602790137</v>
      </c>
    </row>
    <row r="93" spans="1:2" x14ac:dyDescent="0.45">
      <c r="A93">
        <v>228.21227440928192</v>
      </c>
      <c r="B93" s="2">
        <f t="shared" si="7"/>
        <v>2714.5019485345761</v>
      </c>
    </row>
    <row r="94" spans="1:2" x14ac:dyDescent="0.45">
      <c r="A94">
        <v>164.19817093997014</v>
      </c>
      <c r="B94" s="2">
        <f t="shared" si="7"/>
        <v>13482.689947165583</v>
      </c>
    </row>
    <row r="95" spans="1:2" x14ac:dyDescent="0.45">
      <c r="A95">
        <v>386.67439941582165</v>
      </c>
      <c r="B95" s="2">
        <f t="shared" si="7"/>
        <v>11312.713925385846</v>
      </c>
    </row>
    <row r="96" spans="1:2" x14ac:dyDescent="0.45">
      <c r="A96">
        <v>227.77808120394292</v>
      </c>
      <c r="B96" s="2">
        <f t="shared" si="7"/>
        <v>2759.9341705485976</v>
      </c>
    </row>
    <row r="97" spans="1:2" x14ac:dyDescent="0.45">
      <c r="A97">
        <v>90.238303630962534</v>
      </c>
      <c r="B97" s="2">
        <f t="shared" si="7"/>
        <v>36128.449816873865</v>
      </c>
    </row>
    <row r="98" spans="1:2" x14ac:dyDescent="0.45">
      <c r="A98">
        <v>49.362781749031946</v>
      </c>
      <c r="B98" s="2">
        <f t="shared" si="7"/>
        <v>53338.075747899195</v>
      </c>
    </row>
    <row r="99" spans="1:2" x14ac:dyDescent="0.45">
      <c r="A99">
        <v>174.2857724255922</v>
      </c>
      <c r="B99" s="2">
        <f t="shared" si="7"/>
        <v>11241.806242657309</v>
      </c>
    </row>
    <row r="100" spans="1:2" x14ac:dyDescent="0.45">
      <c r="A100">
        <v>67.204182385311015</v>
      </c>
      <c r="B100" s="2">
        <f t="shared" si="7"/>
        <v>45415.434986891829</v>
      </c>
    </row>
    <row r="101" spans="1:2" x14ac:dyDescent="0.45">
      <c r="A101">
        <v>321.74950872972528</v>
      </c>
      <c r="B101" s="2">
        <f t="shared" si="7"/>
        <v>1716.9712591419334</v>
      </c>
    </row>
    <row r="102" spans="1:2" x14ac:dyDescent="0.45">
      <c r="A102">
        <v>206.96341547082537</v>
      </c>
      <c r="B102" s="2">
        <f t="shared" si="7"/>
        <v>5380.1845567779465</v>
      </c>
    </row>
    <row r="103" spans="1:2" x14ac:dyDescent="0.45">
      <c r="A103">
        <v>475.33281283571608</v>
      </c>
      <c r="B103" s="2">
        <f t="shared" si="7"/>
        <v>38032.666230395436</v>
      </c>
    </row>
    <row r="104" spans="1:2" x14ac:dyDescent="0.45">
      <c r="A104">
        <v>562.61973907776724</v>
      </c>
      <c r="B104" s="2">
        <f t="shared" si="7"/>
        <v>79697.006383032014</v>
      </c>
    </row>
    <row r="105" spans="1:2" x14ac:dyDescent="0.45">
      <c r="A105">
        <v>135.43318257134754</v>
      </c>
      <c r="B105" s="2">
        <f t="shared" si="7"/>
        <v>20990.206939844931</v>
      </c>
    </row>
    <row r="106" spans="1:2" x14ac:dyDescent="0.45">
      <c r="A106">
        <v>502.17393063270958</v>
      </c>
      <c r="B106" s="2">
        <f t="shared" si="7"/>
        <v>49222.202954393462</v>
      </c>
    </row>
    <row r="107" spans="1:2" x14ac:dyDescent="0.45">
      <c r="A107">
        <v>70.947422021638545</v>
      </c>
      <c r="B107" s="2">
        <f t="shared" si="7"/>
        <v>43834.010909904559</v>
      </c>
    </row>
    <row r="108" spans="1:2" x14ac:dyDescent="0.45">
      <c r="A108">
        <v>318.11069672121238</v>
      </c>
      <c r="B108" s="2">
        <f t="shared" si="7"/>
        <v>1428.6540221781302</v>
      </c>
    </row>
    <row r="109" spans="1:2" x14ac:dyDescent="0.45">
      <c r="A109">
        <v>345.46758011275131</v>
      </c>
      <c r="B109" s="2">
        <f t="shared" si="7"/>
        <v>4245.0988739118311</v>
      </c>
    </row>
    <row r="110" spans="1:2" x14ac:dyDescent="0.45">
      <c r="A110">
        <v>482.09133774798386</v>
      </c>
      <c r="B110" s="2">
        <f t="shared" si="7"/>
        <v>40714.434296440872</v>
      </c>
    </row>
    <row r="111" spans="1:2" x14ac:dyDescent="0.45">
      <c r="A111">
        <v>383.75946144376746</v>
      </c>
      <c r="B111" s="2">
        <f t="shared" si="7"/>
        <v>10701.137939203194</v>
      </c>
    </row>
    <row r="112" spans="1:2" x14ac:dyDescent="0.45">
      <c r="A112">
        <v>263.58608042492097</v>
      </c>
      <c r="B112" s="2">
        <f t="shared" si="7"/>
        <v>279.79508490631122</v>
      </c>
    </row>
    <row r="113" spans="1:2" x14ac:dyDescent="0.45">
      <c r="A113">
        <v>179.10529315348955</v>
      </c>
      <c r="B113" s="2">
        <f t="shared" si="7"/>
        <v>10243.031669025044</v>
      </c>
    </row>
    <row r="114" spans="1:2" x14ac:dyDescent="0.45">
      <c r="A114">
        <v>88.938903663500952</v>
      </c>
      <c r="B114" s="2">
        <f t="shared" si="7"/>
        <v>36624.104773261453</v>
      </c>
    </row>
    <row r="115" spans="1:2" x14ac:dyDescent="0.45">
      <c r="A115">
        <v>202.1412280198237</v>
      </c>
      <c r="B115" s="2">
        <f t="shared" si="7"/>
        <v>6110.8504531787084</v>
      </c>
    </row>
    <row r="116" spans="1:2" x14ac:dyDescent="0.45">
      <c r="A116">
        <v>431.31516352368709</v>
      </c>
      <c r="B116" s="2">
        <f t="shared" si="7"/>
        <v>22801.606026919933</v>
      </c>
    </row>
    <row r="117" spans="1:2" x14ac:dyDescent="0.45">
      <c r="A117">
        <v>112.53526346467414</v>
      </c>
      <c r="B117" s="2">
        <f t="shared" si="7"/>
        <v>28149.421500551551</v>
      </c>
    </row>
    <row r="118" spans="1:2" x14ac:dyDescent="0.45">
      <c r="A118">
        <v>156.81447719544678</v>
      </c>
      <c r="B118" s="2">
        <f t="shared" si="7"/>
        <v>15251.923870333319</v>
      </c>
    </row>
    <row r="119" spans="1:2" x14ac:dyDescent="0.45">
      <c r="A119">
        <v>179.70715529775978</v>
      </c>
      <c r="B119" s="2">
        <f t="shared" si="7"/>
        <v>10121.567543372621</v>
      </c>
    </row>
    <row r="120" spans="1:2" x14ac:dyDescent="0.45">
      <c r="A120">
        <v>152.37778879923559</v>
      </c>
      <c r="B120" s="2">
        <f t="shared" si="7"/>
        <v>16367.458391981325</v>
      </c>
    </row>
    <row r="121" spans="1:2" x14ac:dyDescent="0.45">
      <c r="A121">
        <v>142.76274535358621</v>
      </c>
      <c r="B121" s="2">
        <f t="shared" si="7"/>
        <v>18920.115696055815</v>
      </c>
    </row>
    <row r="122" spans="1:2" x14ac:dyDescent="0.45">
      <c r="A122">
        <v>42.91935684307812</v>
      </c>
      <c r="B122" s="2">
        <f t="shared" si="7"/>
        <v>56355.816270030315</v>
      </c>
    </row>
    <row r="123" spans="1:2" x14ac:dyDescent="0.45">
      <c r="A123">
        <v>311.44277532247179</v>
      </c>
      <c r="B123" s="2">
        <f t="shared" si="7"/>
        <v>969.05314777537694</v>
      </c>
    </row>
    <row r="124" spans="1:2" x14ac:dyDescent="0.45">
      <c r="A124">
        <v>85.436024999419658</v>
      </c>
      <c r="B124" s="2">
        <f t="shared" si="7"/>
        <v>37977.096508707109</v>
      </c>
    </row>
    <row r="125" spans="1:2" x14ac:dyDescent="0.45">
      <c r="A125">
        <v>218.979935251662</v>
      </c>
      <c r="B125" s="2">
        <f t="shared" si="7"/>
        <v>3761.7640686090185</v>
      </c>
    </row>
    <row r="126" spans="1:2" x14ac:dyDescent="0.45">
      <c r="A126">
        <v>524.79584450048492</v>
      </c>
      <c r="B126" s="2">
        <f t="shared" si="7"/>
        <v>59771.784572849945</v>
      </c>
    </row>
    <row r="127" spans="1:2" x14ac:dyDescent="0.45">
      <c r="A127">
        <v>462.71371241146039</v>
      </c>
      <c r="B127" s="2">
        <f t="shared" si="7"/>
        <v>33269.962678116062</v>
      </c>
    </row>
    <row r="128" spans="1:2" x14ac:dyDescent="0.45">
      <c r="A128">
        <v>265.78547028910907</v>
      </c>
      <c r="B128" s="2">
        <f t="shared" si="7"/>
        <v>211.05367609572869</v>
      </c>
    </row>
    <row r="129" spans="1:2" x14ac:dyDescent="0.45">
      <c r="A129">
        <v>119.38835250673448</v>
      </c>
      <c r="B129" s="2">
        <f t="shared" si="7"/>
        <v>25896.792644989717</v>
      </c>
    </row>
    <row r="130" spans="1:2" x14ac:dyDescent="0.45">
      <c r="A130">
        <v>135.71558325092766</v>
      </c>
      <c r="B130" s="2">
        <f t="shared" si="7"/>
        <v>20908.458283614986</v>
      </c>
    </row>
    <row r="131" spans="1:2" x14ac:dyDescent="0.45">
      <c r="A131">
        <v>284.15695997124516</v>
      </c>
      <c r="B131" s="2">
        <f t="shared" ref="B131:B194" si="8">(A131-$G$4)*(A131-$G$4)</f>
        <v>14.774822624273726</v>
      </c>
    </row>
    <row r="132" spans="1:2" x14ac:dyDescent="0.45">
      <c r="A132">
        <v>454.66531258920463</v>
      </c>
      <c r="B132" s="2">
        <f t="shared" si="8"/>
        <v>30398.674219497996</v>
      </c>
    </row>
    <row r="133" spans="1:2" x14ac:dyDescent="0.45">
      <c r="A133">
        <v>275.78945460876781</v>
      </c>
      <c r="B133" s="2">
        <f t="shared" si="8"/>
        <v>20.463881744451569</v>
      </c>
    </row>
    <row r="134" spans="1:2" x14ac:dyDescent="0.45">
      <c r="A134">
        <v>92.487468892436027</v>
      </c>
      <c r="B134" s="2">
        <f t="shared" si="8"/>
        <v>35278.489047478237</v>
      </c>
    </row>
    <row r="135" spans="1:2" x14ac:dyDescent="0.45">
      <c r="A135">
        <v>265.17450290722093</v>
      </c>
      <c r="B135" s="2">
        <f t="shared" si="8"/>
        <v>229.17884245335651</v>
      </c>
    </row>
    <row r="136" spans="1:2" x14ac:dyDescent="0.45">
      <c r="A136">
        <v>307.62602749770878</v>
      </c>
      <c r="B136" s="2">
        <f t="shared" si="8"/>
        <v>745.99290436414503</v>
      </c>
    </row>
    <row r="137" spans="1:2" x14ac:dyDescent="0.45">
      <c r="A137">
        <v>371.48766362664111</v>
      </c>
      <c r="B137" s="2">
        <f t="shared" si="8"/>
        <v>8312.7906904558367</v>
      </c>
    </row>
    <row r="138" spans="1:2" x14ac:dyDescent="0.45">
      <c r="A138">
        <v>198.76256055552781</v>
      </c>
      <c r="B138" s="2">
        <f t="shared" si="8"/>
        <v>6650.4997519660774</v>
      </c>
    </row>
    <row r="139" spans="1:2" x14ac:dyDescent="0.45">
      <c r="A139">
        <v>86.968485433386348</v>
      </c>
      <c r="B139" s="2">
        <f t="shared" si="8"/>
        <v>37382.161955672433</v>
      </c>
    </row>
    <row r="140" spans="1:2" x14ac:dyDescent="0.45">
      <c r="A140">
        <v>296.4778687331397</v>
      </c>
      <c r="B140" s="2">
        <f t="shared" si="8"/>
        <v>261.29791106133439</v>
      </c>
    </row>
    <row r="141" spans="1:2" x14ac:dyDescent="0.45">
      <c r="A141">
        <v>175.11163497781669</v>
      </c>
      <c r="B141" s="2">
        <f t="shared" si="8"/>
        <v>11067.360199040306</v>
      </c>
    </row>
    <row r="142" spans="1:2" x14ac:dyDescent="0.45">
      <c r="A142">
        <v>195.5394036311836</v>
      </c>
      <c r="B142" s="2">
        <f t="shared" si="8"/>
        <v>7186.5892306280793</v>
      </c>
    </row>
    <row r="143" spans="1:2" x14ac:dyDescent="0.45">
      <c r="A143">
        <v>773.62442485022143</v>
      </c>
      <c r="B143" s="2">
        <f t="shared" si="8"/>
        <v>243356.00716029116</v>
      </c>
    </row>
    <row r="144" spans="1:2" x14ac:dyDescent="0.45">
      <c r="A144">
        <v>963.91192404331218</v>
      </c>
      <c r="B144" s="2">
        <f t="shared" si="8"/>
        <v>467307.27454189636</v>
      </c>
    </row>
    <row r="145" spans="1:2" x14ac:dyDescent="0.45">
      <c r="A145">
        <v>470.07735964383585</v>
      </c>
      <c r="B145" s="2">
        <f t="shared" si="8"/>
        <v>36010.45267132952</v>
      </c>
    </row>
    <row r="146" spans="1:2" x14ac:dyDescent="0.45">
      <c r="A146">
        <v>58.666798039845595</v>
      </c>
      <c r="B146" s="2">
        <f t="shared" si="8"/>
        <v>49127.108362879459</v>
      </c>
    </row>
    <row r="147" spans="1:2" x14ac:dyDescent="0.45">
      <c r="A147">
        <v>286.58976380434297</v>
      </c>
      <c r="B147" s="2">
        <f t="shared" si="8"/>
        <v>39.3957951685476</v>
      </c>
    </row>
    <row r="148" spans="1:2" x14ac:dyDescent="0.45">
      <c r="A148">
        <v>206.34793947422529</v>
      </c>
      <c r="B148" s="2">
        <f t="shared" si="8"/>
        <v>5470.8533778014253</v>
      </c>
    </row>
    <row r="149" spans="1:2" x14ac:dyDescent="0.45">
      <c r="A149">
        <v>304.27088457688751</v>
      </c>
      <c r="B149" s="2">
        <f t="shared" si="8"/>
        <v>573.97271901604404</v>
      </c>
    </row>
    <row r="150" spans="1:2" x14ac:dyDescent="0.45">
      <c r="A150">
        <v>104.26280419099015</v>
      </c>
      <c r="B150" s="2">
        <f t="shared" si="8"/>
        <v>30993.726662687939</v>
      </c>
    </row>
    <row r="151" spans="1:2" x14ac:dyDescent="0.45">
      <c r="A151">
        <v>41.987405013056787</v>
      </c>
      <c r="B151" s="2">
        <f t="shared" si="8"/>
        <v>56799.163976902208</v>
      </c>
    </row>
    <row r="152" spans="1:2" x14ac:dyDescent="0.45">
      <c r="A152">
        <v>283.1327490709441</v>
      </c>
      <c r="B152" s="2">
        <f t="shared" si="8"/>
        <v>7.9501004313265176</v>
      </c>
    </row>
    <row r="153" spans="1:2" x14ac:dyDescent="0.45">
      <c r="A153">
        <v>132.85573066642723</v>
      </c>
      <c r="B153" s="2">
        <f t="shared" si="8"/>
        <v>21743.692529418757</v>
      </c>
    </row>
    <row r="154" spans="1:2" x14ac:dyDescent="0.45">
      <c r="A154">
        <v>249.47330187908724</v>
      </c>
      <c r="B154" s="2">
        <f t="shared" si="8"/>
        <v>951.09665310748835</v>
      </c>
    </row>
    <row r="155" spans="1:2" x14ac:dyDescent="0.45">
      <c r="A155">
        <v>258.11916421926173</v>
      </c>
      <c r="B155" s="2">
        <f t="shared" si="8"/>
        <v>492.57330779979225</v>
      </c>
    </row>
    <row r="156" spans="1:2" x14ac:dyDescent="0.45">
      <c r="A156">
        <v>544.83169816681391</v>
      </c>
      <c r="B156" s="2">
        <f t="shared" si="8"/>
        <v>69970.058713407503</v>
      </c>
    </row>
    <row r="157" spans="1:2" x14ac:dyDescent="0.45">
      <c r="A157">
        <v>427.3316189693366</v>
      </c>
      <c r="B157" s="2">
        <f t="shared" si="8"/>
        <v>21614.428211178241</v>
      </c>
    </row>
    <row r="158" spans="1:2" x14ac:dyDescent="0.45">
      <c r="A158">
        <v>111.21298400891638</v>
      </c>
      <c r="B158" s="2">
        <f t="shared" si="8"/>
        <v>28594.868446552984</v>
      </c>
    </row>
    <row r="159" spans="1:2" x14ac:dyDescent="0.45">
      <c r="A159">
        <v>516.60930724462185</v>
      </c>
      <c r="B159" s="2">
        <f t="shared" si="8"/>
        <v>55835.870702959779</v>
      </c>
    </row>
    <row r="160" spans="1:2" x14ac:dyDescent="0.45">
      <c r="A160">
        <v>422.49552308820171</v>
      </c>
      <c r="B160" s="2">
        <f t="shared" si="8"/>
        <v>20215.82527609928</v>
      </c>
    </row>
    <row r="161" spans="1:2" x14ac:dyDescent="0.45">
      <c r="A161">
        <v>64.449753103583717</v>
      </c>
      <c r="B161" s="2">
        <f t="shared" si="8"/>
        <v>46597.009066352992</v>
      </c>
    </row>
    <row r="162" spans="1:2" x14ac:dyDescent="0.45">
      <c r="A162">
        <v>330.64674018688521</v>
      </c>
      <c r="B162" s="2">
        <f t="shared" si="8"/>
        <v>2533.4696140110455</v>
      </c>
    </row>
    <row r="163" spans="1:2" x14ac:dyDescent="0.45">
      <c r="A163">
        <v>225.75968930738185</v>
      </c>
      <c r="B163" s="2">
        <f t="shared" si="8"/>
        <v>2976.0808182357064</v>
      </c>
    </row>
    <row r="164" spans="1:2" x14ac:dyDescent="0.45">
      <c r="A164">
        <v>464.29149854897616</v>
      </c>
      <c r="B164" s="2">
        <f t="shared" si="8"/>
        <v>33848.030223369627</v>
      </c>
    </row>
    <row r="165" spans="1:2" x14ac:dyDescent="0.45">
      <c r="A165">
        <v>448.35954772690258</v>
      </c>
      <c r="B165" s="2">
        <f t="shared" si="8"/>
        <v>28239.589495032174</v>
      </c>
    </row>
    <row r="166" spans="1:2" x14ac:dyDescent="0.45">
      <c r="A166">
        <v>82.518026953077907</v>
      </c>
      <c r="B166" s="2">
        <f t="shared" si="8"/>
        <v>39122.913401195146</v>
      </c>
    </row>
    <row r="167" spans="1:2" x14ac:dyDescent="0.45">
      <c r="A167">
        <v>324.72883545157691</v>
      </c>
      <c r="B167" s="2">
        <f t="shared" si="8"/>
        <v>1972.7525078268861</v>
      </c>
    </row>
    <row r="168" spans="1:2" x14ac:dyDescent="0.45">
      <c r="A168">
        <v>493.69109607150557</v>
      </c>
      <c r="B168" s="2">
        <f t="shared" si="8"/>
        <v>45530.144956929405</v>
      </c>
    </row>
    <row r="169" spans="1:2" x14ac:dyDescent="0.45">
      <c r="A169">
        <v>80.529610511574333</v>
      </c>
      <c r="B169" s="2">
        <f t="shared" si="8"/>
        <v>39913.465377714776</v>
      </c>
    </row>
    <row r="170" spans="1:2" x14ac:dyDescent="0.45">
      <c r="A170">
        <v>335.89937217365878</v>
      </c>
      <c r="B170" s="2">
        <f t="shared" si="8"/>
        <v>3089.8273367468259</v>
      </c>
    </row>
    <row r="171" spans="1:2" x14ac:dyDescent="0.45">
      <c r="A171">
        <v>204.55976274179119</v>
      </c>
      <c r="B171" s="2">
        <f t="shared" si="8"/>
        <v>5738.5767151813234</v>
      </c>
    </row>
    <row r="172" spans="1:2" x14ac:dyDescent="0.45">
      <c r="A172">
        <v>78.325475383001191</v>
      </c>
      <c r="B172" s="2">
        <f t="shared" si="8"/>
        <v>40799.023454462076</v>
      </c>
    </row>
    <row r="173" spans="1:2" x14ac:dyDescent="0.45">
      <c r="A173">
        <v>356.27238143444515</v>
      </c>
      <c r="B173" s="2">
        <f t="shared" si="8"/>
        <v>5769.8038032125996</v>
      </c>
    </row>
    <row r="174" spans="1:2" x14ac:dyDescent="0.45">
      <c r="A174">
        <v>395.48589754866902</v>
      </c>
      <c r="B174" s="2">
        <f t="shared" si="8"/>
        <v>13264.760205717277</v>
      </c>
    </row>
    <row r="175" spans="1:2" x14ac:dyDescent="0.45">
      <c r="A175">
        <v>294.97635750957465</v>
      </c>
      <c r="B175" s="2">
        <f t="shared" si="8"/>
        <v>215.00945430538943</v>
      </c>
    </row>
    <row r="176" spans="1:2" x14ac:dyDescent="0.45">
      <c r="A176">
        <v>231.62224838345102</v>
      </c>
      <c r="B176" s="2">
        <f t="shared" si="8"/>
        <v>2370.8045648989064</v>
      </c>
    </row>
    <row r="177" spans="1:2" x14ac:dyDescent="0.45">
      <c r="A177">
        <v>103.57061510226495</v>
      </c>
      <c r="B177" s="2">
        <f t="shared" si="8"/>
        <v>31237.926054741965</v>
      </c>
    </row>
    <row r="178" spans="1:2" x14ac:dyDescent="0.45">
      <c r="A178">
        <v>184.14259733673293</v>
      </c>
      <c r="B178" s="2">
        <f t="shared" si="8"/>
        <v>9248.7765123566314</v>
      </c>
    </row>
    <row r="179" spans="1:2" x14ac:dyDescent="0.45">
      <c r="A179">
        <v>507.88319238193316</v>
      </c>
      <c r="B179" s="2">
        <f t="shared" si="8"/>
        <v>51788.121083217433</v>
      </c>
    </row>
    <row r="180" spans="1:2" x14ac:dyDescent="0.45">
      <c r="A180">
        <v>279.1971619750118</v>
      </c>
      <c r="B180" s="2">
        <f t="shared" si="8"/>
        <v>1.2454445060161696</v>
      </c>
    </row>
    <row r="181" spans="1:2" x14ac:dyDescent="0.45">
      <c r="A181">
        <v>576.58009754434784</v>
      </c>
      <c r="B181" s="2">
        <f t="shared" si="8"/>
        <v>87774.100162984949</v>
      </c>
    </row>
    <row r="182" spans="1:2" x14ac:dyDescent="0.45">
      <c r="A182">
        <v>365.02436945535311</v>
      </c>
      <c r="B182" s="2">
        <f t="shared" si="8"/>
        <v>7175.9895452429582</v>
      </c>
    </row>
    <row r="183" spans="1:2" x14ac:dyDescent="0.45">
      <c r="A183">
        <v>219.75800015658763</v>
      </c>
      <c r="B183" s="2">
        <f t="shared" si="8"/>
        <v>3666.926999180243</v>
      </c>
    </row>
    <row r="184" spans="1:2" x14ac:dyDescent="0.45">
      <c r="A184">
        <v>59.440039871478987</v>
      </c>
      <c r="B184" s="2">
        <f t="shared" si="8"/>
        <v>48784.933792925272</v>
      </c>
    </row>
    <row r="185" spans="1:2" x14ac:dyDescent="0.45">
      <c r="A185">
        <v>237.5606331091339</v>
      </c>
      <c r="B185" s="2">
        <f t="shared" si="8"/>
        <v>1827.778284106952</v>
      </c>
    </row>
    <row r="186" spans="1:2" x14ac:dyDescent="0.45">
      <c r="A186">
        <v>270.07299172374866</v>
      </c>
      <c r="B186" s="2">
        <f t="shared" si="8"/>
        <v>104.86098130837314</v>
      </c>
    </row>
    <row r="187" spans="1:2" x14ac:dyDescent="0.45">
      <c r="A187">
        <v>143.14884956100119</v>
      </c>
      <c r="B187" s="2">
        <f t="shared" si="8"/>
        <v>18814.047187312968</v>
      </c>
    </row>
    <row r="188" spans="1:2" x14ac:dyDescent="0.45">
      <c r="A188">
        <v>206.76645885639016</v>
      </c>
      <c r="B188" s="2">
        <f t="shared" si="8"/>
        <v>5409.1167821396939</v>
      </c>
    </row>
    <row r="189" spans="1:2" x14ac:dyDescent="0.45">
      <c r="A189">
        <v>386.94903008010562</v>
      </c>
      <c r="B189" s="2">
        <f t="shared" si="8"/>
        <v>11371.209464800981</v>
      </c>
    </row>
    <row r="190" spans="1:2" x14ac:dyDescent="0.45">
      <c r="A190">
        <v>357.61336637106939</v>
      </c>
      <c r="B190" s="2">
        <f t="shared" si="8"/>
        <v>5975.3223958097178</v>
      </c>
    </row>
    <row r="191" spans="1:2" x14ac:dyDescent="0.45">
      <c r="A191">
        <v>171.95968111762033</v>
      </c>
      <c r="B191" s="2">
        <f t="shared" si="8"/>
        <v>11740.475697948939</v>
      </c>
    </row>
    <row r="192" spans="1:2" x14ac:dyDescent="0.45">
      <c r="A192">
        <v>430.30290295743788</v>
      </c>
      <c r="B192" s="2">
        <f t="shared" si="8"/>
        <v>22496.923944763497</v>
      </c>
    </row>
    <row r="193" spans="1:2" x14ac:dyDescent="0.45">
      <c r="A193">
        <v>71.478945642640696</v>
      </c>
      <c r="B193" s="2">
        <f t="shared" si="8"/>
        <v>43611.727760310932</v>
      </c>
    </row>
    <row r="194" spans="1:2" x14ac:dyDescent="0.45">
      <c r="A194">
        <v>440.99713593209384</v>
      </c>
      <c r="B194" s="2">
        <f t="shared" si="8"/>
        <v>25819.341141571484</v>
      </c>
    </row>
    <row r="195" spans="1:2" x14ac:dyDescent="0.45">
      <c r="A195">
        <v>122.41692606926023</v>
      </c>
      <c r="B195" s="2">
        <f t="shared" ref="B195:B201" si="9">(A195-$G$4)*(A195-$G$4)</f>
        <v>24931.219686985271</v>
      </c>
    </row>
    <row r="196" spans="1:2" x14ac:dyDescent="0.45">
      <c r="A196">
        <v>374.76849837459224</v>
      </c>
      <c r="B196" s="2">
        <f t="shared" si="9"/>
        <v>8921.8115471810634</v>
      </c>
    </row>
    <row r="197" spans="1:2" x14ac:dyDescent="0.45">
      <c r="A197">
        <v>496.32009415987784</v>
      </c>
      <c r="B197" s="2">
        <f t="shared" si="9"/>
        <v>46658.996976635906</v>
      </c>
    </row>
    <row r="198" spans="1:2" x14ac:dyDescent="0.45">
      <c r="A198">
        <v>419.42535315511856</v>
      </c>
      <c r="B198" s="2">
        <f t="shared" si="9"/>
        <v>19352.203167687738</v>
      </c>
    </row>
    <row r="199" spans="1:2" x14ac:dyDescent="0.45">
      <c r="A199">
        <v>426.42870198813068</v>
      </c>
      <c r="B199" s="2">
        <f t="shared" si="9"/>
        <v>21349.752538212048</v>
      </c>
    </row>
    <row r="200" spans="1:2" x14ac:dyDescent="0.45">
      <c r="A200">
        <v>692.93494021757647</v>
      </c>
      <c r="B200" s="2">
        <f t="shared" si="9"/>
        <v>170256.7361297686</v>
      </c>
    </row>
    <row r="201" spans="1:2" x14ac:dyDescent="0.45">
      <c r="A201">
        <v>364.09253924617246</v>
      </c>
      <c r="B201" s="2">
        <f t="shared" si="9"/>
        <v>7018.9849188118051</v>
      </c>
    </row>
    <row r="202" spans="1:2" x14ac:dyDescent="0.45">
      <c r="A202"/>
      <c r="B202" s="1"/>
    </row>
    <row r="203" spans="1:2" x14ac:dyDescent="0.45">
      <c r="A203"/>
      <c r="B203" s="1"/>
    </row>
    <row r="204" spans="1:2" x14ac:dyDescent="0.45">
      <c r="A204"/>
      <c r="B204" s="1"/>
    </row>
    <row r="205" spans="1:2" x14ac:dyDescent="0.45">
      <c r="A205"/>
      <c r="B205" s="1"/>
    </row>
    <row r="206" spans="1:2" x14ac:dyDescent="0.45">
      <c r="A206"/>
      <c r="B206" s="1"/>
    </row>
    <row r="207" spans="1:2" x14ac:dyDescent="0.45">
      <c r="A207"/>
      <c r="B207" s="1"/>
    </row>
    <row r="208" spans="1:2" x14ac:dyDescent="0.45">
      <c r="A208"/>
      <c r="B208" s="1"/>
    </row>
    <row r="209" spans="1:2" x14ac:dyDescent="0.45">
      <c r="A209"/>
      <c r="B209" s="1"/>
    </row>
    <row r="210" spans="1:2" x14ac:dyDescent="0.45">
      <c r="A210"/>
      <c r="B210" s="1"/>
    </row>
    <row r="211" spans="1:2" x14ac:dyDescent="0.45">
      <c r="A211"/>
      <c r="B211" s="1"/>
    </row>
    <row r="212" spans="1:2" x14ac:dyDescent="0.45">
      <c r="A212"/>
      <c r="B212" s="1"/>
    </row>
    <row r="213" spans="1:2" x14ac:dyDescent="0.45">
      <c r="A213"/>
      <c r="B213" s="1"/>
    </row>
    <row r="214" spans="1:2" x14ac:dyDescent="0.45">
      <c r="A214"/>
      <c r="B214" s="1"/>
    </row>
    <row r="215" spans="1:2" x14ac:dyDescent="0.45">
      <c r="A215"/>
      <c r="B215" s="1"/>
    </row>
    <row r="216" spans="1:2" x14ac:dyDescent="0.45">
      <c r="A216"/>
      <c r="B216" s="1"/>
    </row>
    <row r="217" spans="1:2" x14ac:dyDescent="0.45">
      <c r="A217"/>
      <c r="B217" s="1"/>
    </row>
    <row r="218" spans="1:2" x14ac:dyDescent="0.45">
      <c r="A218"/>
      <c r="B218" s="1"/>
    </row>
    <row r="219" spans="1:2" x14ac:dyDescent="0.45">
      <c r="A219"/>
      <c r="B219" s="1"/>
    </row>
    <row r="220" spans="1:2" x14ac:dyDescent="0.45">
      <c r="A220"/>
      <c r="B220" s="1"/>
    </row>
    <row r="221" spans="1:2" x14ac:dyDescent="0.45">
      <c r="A221"/>
      <c r="B221" s="1"/>
    </row>
    <row r="222" spans="1:2" x14ac:dyDescent="0.45">
      <c r="A222"/>
      <c r="B222" s="1"/>
    </row>
    <row r="223" spans="1:2" x14ac:dyDescent="0.45">
      <c r="A223"/>
      <c r="B223" s="1"/>
    </row>
    <row r="224" spans="1:2" x14ac:dyDescent="0.45">
      <c r="A224"/>
      <c r="B224" s="1"/>
    </row>
    <row r="225" spans="1:2" x14ac:dyDescent="0.45">
      <c r="A225"/>
      <c r="B225" s="1"/>
    </row>
    <row r="226" spans="1:2" x14ac:dyDescent="0.45">
      <c r="A226"/>
      <c r="B226" s="1"/>
    </row>
    <row r="227" spans="1:2" x14ac:dyDescent="0.45">
      <c r="A227"/>
      <c r="B227" s="1"/>
    </row>
    <row r="228" spans="1:2" x14ac:dyDescent="0.45">
      <c r="A228"/>
      <c r="B228" s="1"/>
    </row>
    <row r="229" spans="1:2" x14ac:dyDescent="0.45">
      <c r="A229"/>
      <c r="B229" s="1"/>
    </row>
    <row r="230" spans="1:2" x14ac:dyDescent="0.45">
      <c r="A230"/>
      <c r="B230" s="1"/>
    </row>
    <row r="231" spans="1:2" x14ac:dyDescent="0.45">
      <c r="A231"/>
      <c r="B231" s="1"/>
    </row>
    <row r="232" spans="1:2" x14ac:dyDescent="0.45">
      <c r="A232"/>
      <c r="B232" s="1"/>
    </row>
    <row r="233" spans="1:2" x14ac:dyDescent="0.45">
      <c r="A233"/>
      <c r="B233" s="1"/>
    </row>
    <row r="234" spans="1:2" x14ac:dyDescent="0.45">
      <c r="A234"/>
      <c r="B234" s="1"/>
    </row>
    <row r="235" spans="1:2" x14ac:dyDescent="0.45">
      <c r="A235"/>
      <c r="B235" s="1"/>
    </row>
    <row r="236" spans="1:2" x14ac:dyDescent="0.45">
      <c r="A236"/>
      <c r="B236" s="1"/>
    </row>
    <row r="237" spans="1:2" x14ac:dyDescent="0.45">
      <c r="A237"/>
      <c r="B237" s="1"/>
    </row>
    <row r="238" spans="1:2" x14ac:dyDescent="0.45">
      <c r="A238"/>
      <c r="B238" s="1"/>
    </row>
    <row r="239" spans="1:2" x14ac:dyDescent="0.45">
      <c r="A239"/>
      <c r="B239" s="1"/>
    </row>
    <row r="240" spans="1:2" x14ac:dyDescent="0.45">
      <c r="A240"/>
      <c r="B240" s="1"/>
    </row>
    <row r="241" spans="1:2" x14ac:dyDescent="0.45">
      <c r="A241"/>
      <c r="B241" s="1"/>
    </row>
    <row r="242" spans="1:2" x14ac:dyDescent="0.45">
      <c r="A242"/>
      <c r="B242" s="1"/>
    </row>
    <row r="243" spans="1:2" x14ac:dyDescent="0.45">
      <c r="A243"/>
      <c r="B243" s="1"/>
    </row>
    <row r="244" spans="1:2" x14ac:dyDescent="0.45">
      <c r="A244"/>
      <c r="B244" s="1"/>
    </row>
    <row r="245" spans="1:2" x14ac:dyDescent="0.45">
      <c r="A245"/>
      <c r="B245" s="1"/>
    </row>
    <row r="246" spans="1:2" x14ac:dyDescent="0.45">
      <c r="A246"/>
      <c r="B246" s="1"/>
    </row>
    <row r="247" spans="1:2" x14ac:dyDescent="0.45">
      <c r="A247"/>
      <c r="B247" s="1"/>
    </row>
    <row r="248" spans="1:2" x14ac:dyDescent="0.45">
      <c r="A248"/>
      <c r="B248" s="1"/>
    </row>
    <row r="249" spans="1:2" x14ac:dyDescent="0.45">
      <c r="A249"/>
      <c r="B249" s="1"/>
    </row>
    <row r="250" spans="1:2" x14ac:dyDescent="0.45">
      <c r="A250"/>
      <c r="B250" s="1"/>
    </row>
    <row r="251" spans="1:2" x14ac:dyDescent="0.45">
      <c r="A251"/>
      <c r="B251" s="1"/>
    </row>
    <row r="252" spans="1:2" x14ac:dyDescent="0.45">
      <c r="A252"/>
      <c r="B252" s="1"/>
    </row>
    <row r="253" spans="1:2" x14ac:dyDescent="0.45">
      <c r="A253"/>
      <c r="B253" s="1"/>
    </row>
    <row r="254" spans="1:2" x14ac:dyDescent="0.45">
      <c r="A254"/>
      <c r="B254" s="1"/>
    </row>
    <row r="255" spans="1:2" x14ac:dyDescent="0.45">
      <c r="A255"/>
      <c r="B255" s="1"/>
    </row>
    <row r="256" spans="1:2" x14ac:dyDescent="0.45">
      <c r="A256"/>
      <c r="B256" s="1"/>
    </row>
    <row r="257" spans="1:2" x14ac:dyDescent="0.45">
      <c r="A257"/>
      <c r="B257" s="1"/>
    </row>
    <row r="258" spans="1:2" x14ac:dyDescent="0.45">
      <c r="A258"/>
      <c r="B258" s="1"/>
    </row>
    <row r="259" spans="1:2" x14ac:dyDescent="0.45">
      <c r="A259"/>
      <c r="B259" s="1"/>
    </row>
    <row r="260" spans="1:2" x14ac:dyDescent="0.45">
      <c r="A260"/>
      <c r="B260" s="1"/>
    </row>
    <row r="261" spans="1:2" x14ac:dyDescent="0.45">
      <c r="A261"/>
      <c r="B261" s="1"/>
    </row>
    <row r="262" spans="1:2" x14ac:dyDescent="0.45">
      <c r="A262"/>
      <c r="B262" s="1"/>
    </row>
    <row r="263" spans="1:2" x14ac:dyDescent="0.45">
      <c r="A263"/>
      <c r="B263" s="1"/>
    </row>
    <row r="264" spans="1:2" x14ac:dyDescent="0.45">
      <c r="A264"/>
      <c r="B264" s="1"/>
    </row>
    <row r="265" spans="1:2" x14ac:dyDescent="0.45">
      <c r="A265"/>
      <c r="B265" s="1"/>
    </row>
    <row r="266" spans="1:2" x14ac:dyDescent="0.45">
      <c r="A266"/>
      <c r="B266" s="1"/>
    </row>
    <row r="267" spans="1:2" x14ac:dyDescent="0.45">
      <c r="A267"/>
      <c r="B267" s="1"/>
    </row>
    <row r="268" spans="1:2" x14ac:dyDescent="0.45">
      <c r="A268"/>
      <c r="B268" s="1"/>
    </row>
    <row r="269" spans="1:2" x14ac:dyDescent="0.45">
      <c r="A269"/>
      <c r="B269" s="1"/>
    </row>
    <row r="270" spans="1:2" x14ac:dyDescent="0.45">
      <c r="A270"/>
      <c r="B270" s="1"/>
    </row>
    <row r="271" spans="1:2" x14ac:dyDescent="0.45">
      <c r="A271"/>
      <c r="B271" s="1"/>
    </row>
    <row r="272" spans="1:2" x14ac:dyDescent="0.45">
      <c r="A272"/>
      <c r="B272" s="1"/>
    </row>
    <row r="273" spans="1:2" x14ac:dyDescent="0.45">
      <c r="A273"/>
      <c r="B273" s="1"/>
    </row>
    <row r="274" spans="1:2" x14ac:dyDescent="0.45">
      <c r="A274"/>
      <c r="B274" s="1"/>
    </row>
    <row r="275" spans="1:2" x14ac:dyDescent="0.45">
      <c r="A275"/>
      <c r="B275" s="1"/>
    </row>
    <row r="276" spans="1:2" x14ac:dyDescent="0.45">
      <c r="A276"/>
      <c r="B276" s="1"/>
    </row>
    <row r="277" spans="1:2" x14ac:dyDescent="0.45">
      <c r="A277"/>
      <c r="B277" s="1"/>
    </row>
    <row r="278" spans="1:2" x14ac:dyDescent="0.45">
      <c r="A278"/>
      <c r="B278" s="1"/>
    </row>
    <row r="279" spans="1:2" x14ac:dyDescent="0.45">
      <c r="A279"/>
      <c r="B279" s="1"/>
    </row>
    <row r="280" spans="1:2" x14ac:dyDescent="0.45">
      <c r="A280"/>
      <c r="B280" s="1"/>
    </row>
    <row r="281" spans="1:2" x14ac:dyDescent="0.45">
      <c r="A281"/>
      <c r="B281" s="1"/>
    </row>
    <row r="282" spans="1:2" x14ac:dyDescent="0.45">
      <c r="A282"/>
      <c r="B282" s="1"/>
    </row>
    <row r="283" spans="1:2" x14ac:dyDescent="0.45">
      <c r="A283"/>
      <c r="B283" s="1"/>
    </row>
    <row r="284" spans="1:2" x14ac:dyDescent="0.45">
      <c r="A284"/>
      <c r="B284" s="1"/>
    </row>
    <row r="285" spans="1:2" x14ac:dyDescent="0.45">
      <c r="A285"/>
      <c r="B285" s="1"/>
    </row>
    <row r="286" spans="1:2" x14ac:dyDescent="0.45">
      <c r="A286"/>
      <c r="B286" s="1"/>
    </row>
    <row r="287" spans="1:2" x14ac:dyDescent="0.45">
      <c r="A287"/>
      <c r="B287" s="1"/>
    </row>
    <row r="288" spans="1:2" x14ac:dyDescent="0.45">
      <c r="A288"/>
      <c r="B288" s="1"/>
    </row>
    <row r="289" spans="1:2" x14ac:dyDescent="0.45">
      <c r="A289"/>
      <c r="B289" s="1"/>
    </row>
    <row r="290" spans="1:2" x14ac:dyDescent="0.45">
      <c r="A290"/>
      <c r="B290" s="1"/>
    </row>
    <row r="291" spans="1:2" x14ac:dyDescent="0.45">
      <c r="A291"/>
      <c r="B291" s="1"/>
    </row>
    <row r="292" spans="1:2" x14ac:dyDescent="0.45">
      <c r="A292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F6C5-28F0-4338-AF59-410D4F4D097C}">
  <sheetPr codeName="Лист8"/>
  <dimension ref="A1:P301"/>
  <sheetViews>
    <sheetView workbookViewId="0">
      <selection activeCell="G10" sqref="G10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>
        <v>209.5288109206173</v>
      </c>
      <c r="B2" s="2">
        <f>(A2-$G$4)*(A2-$G$4)</f>
        <v>4816.8240100873563</v>
      </c>
      <c r="F2" t="s">
        <v>9</v>
      </c>
      <c r="G2" s="2">
        <f>G3</f>
        <v>300</v>
      </c>
      <c r="O2" t="s">
        <v>11</v>
      </c>
    </row>
    <row r="3" spans="1:16" x14ac:dyDescent="0.45">
      <c r="A3">
        <v>234.92815281748139</v>
      </c>
      <c r="B3" s="2">
        <f t="shared" ref="B3:B66" si="0">(A3-$G$4)*(A3-$G$4)</f>
        <v>1936.3521070688971</v>
      </c>
      <c r="E3" t="s">
        <v>6</v>
      </c>
      <c r="G3" s="2">
        <f>COUNT(A:A)</f>
        <v>300</v>
      </c>
      <c r="O3" s="4"/>
    </row>
    <row r="4" spans="1:16" x14ac:dyDescent="0.45">
      <c r="A4">
        <v>70.260555548940616</v>
      </c>
      <c r="B4" s="2">
        <f t="shared" si="0"/>
        <v>43543.835938462369</v>
      </c>
      <c r="E4" t="s">
        <v>0</v>
      </c>
      <c r="F4" s="2"/>
      <c r="G4" s="2">
        <f>SUM(A:A)/G2</f>
        <v>278.93215385226114</v>
      </c>
      <c r="O4" s="5">
        <f>(P4-G4)/G4</f>
        <v>-8.7976644549815197E-3</v>
      </c>
      <c r="P4">
        <f>'300'!G4</f>
        <v>276.47820235696366</v>
      </c>
    </row>
    <row r="5" spans="1:16" x14ac:dyDescent="0.45">
      <c r="A5">
        <v>369.86281739777667</v>
      </c>
      <c r="B5" s="2">
        <f t="shared" si="0"/>
        <v>8268.3855728277467</v>
      </c>
      <c r="E5" t="s">
        <v>1</v>
      </c>
      <c r="F5" s="2"/>
      <c r="G5" s="2">
        <f>SUM(B:B)/(G2-1)</f>
        <v>30843.424057520035</v>
      </c>
      <c r="O5" s="5">
        <f t="shared" ref="O5:O10" si="1">(P5-G5)/G5</f>
        <v>-5.0099852848288211E-2</v>
      </c>
      <c r="P5">
        <f>'300'!G5</f>
        <v>29298.173050900929</v>
      </c>
    </row>
    <row r="6" spans="1:16" x14ac:dyDescent="0.45">
      <c r="A6">
        <v>332.22945392144737</v>
      </c>
      <c r="B6" s="2">
        <f t="shared" si="0"/>
        <v>2840.6021946648789</v>
      </c>
      <c r="E6" t="s">
        <v>2</v>
      </c>
      <c r="F6" s="2"/>
      <c r="G6" s="2">
        <f>SQRT(G5)</f>
        <v>175.62295993838629</v>
      </c>
      <c r="J6" s="3"/>
      <c r="O6" s="5">
        <f t="shared" si="1"/>
        <v>-2.5371790295544594E-2</v>
      </c>
      <c r="P6">
        <f>'300'!G6</f>
        <v>171.16709102774672</v>
      </c>
    </row>
    <row r="7" spans="1:16" ht="14.25" customHeight="1" x14ac:dyDescent="0.45">
      <c r="A7">
        <v>130.66504585089956</v>
      </c>
      <c r="B7" s="2">
        <f t="shared" si="0"/>
        <v>21983.13531508742</v>
      </c>
      <c r="E7" t="s">
        <v>3</v>
      </c>
      <c r="F7" s="2"/>
      <c r="G7" s="2">
        <f>G6/G4</f>
        <v>0.62962608474104609</v>
      </c>
      <c r="J7" s="3"/>
      <c r="O7" s="5">
        <f t="shared" si="1"/>
        <v>-1.6721233643431276E-2</v>
      </c>
      <c r="P7">
        <f>'300'!G7</f>
        <v>0.6190979598700922</v>
      </c>
    </row>
    <row r="8" spans="1:16" x14ac:dyDescent="0.45">
      <c r="A8">
        <v>107.26249292252238</v>
      </c>
      <c r="B8" s="2">
        <f t="shared" si="0"/>
        <v>29470.472483731479</v>
      </c>
      <c r="D8" s="7" t="s">
        <v>4</v>
      </c>
      <c r="E8">
        <v>0.9</v>
      </c>
      <c r="F8" s="2">
        <v>1.6839999999999999</v>
      </c>
      <c r="G8" s="2">
        <f>$G$13*F8</f>
        <v>17.075080202257961</v>
      </c>
      <c r="I8">
        <f>K8-G8</f>
        <v>261.8570736500032</v>
      </c>
      <c r="J8" s="3" t="s">
        <v>10</v>
      </c>
      <c r="K8">
        <f>$G$4</f>
        <v>278.93215385226114</v>
      </c>
      <c r="L8" s="3" t="s">
        <v>10</v>
      </c>
      <c r="M8">
        <f>K8+G8</f>
        <v>296.00723405451907</v>
      </c>
      <c r="O8" s="5">
        <f t="shared" si="1"/>
        <v>-2.5371790295544653E-2</v>
      </c>
      <c r="P8">
        <f>'300'!G8</f>
        <v>16.641854848086666</v>
      </c>
    </row>
    <row r="9" spans="1:16" x14ac:dyDescent="0.45">
      <c r="A9">
        <v>304.89436045962498</v>
      </c>
      <c r="B9" s="2">
        <f t="shared" si="0"/>
        <v>674.03617192344655</v>
      </c>
      <c r="D9" s="7"/>
      <c r="E9">
        <v>0.95</v>
      </c>
      <c r="F9" s="2">
        <v>1.96</v>
      </c>
      <c r="G9" s="2">
        <f t="shared" ref="G9:G10" si="2">$G$13*F9</f>
        <v>19.873608786476012</v>
      </c>
      <c r="I9">
        <f t="shared" ref="I9:I10" si="3">K9-G9</f>
        <v>259.0585450657851</v>
      </c>
      <c r="J9" s="3" t="s">
        <v>10</v>
      </c>
      <c r="K9">
        <f t="shared" ref="K9:K10" si="4">$G$4</f>
        <v>278.93215385226114</v>
      </c>
      <c r="L9" s="3" t="s">
        <v>10</v>
      </c>
      <c r="M9">
        <f t="shared" ref="M9:M10" si="5">K9+G9</f>
        <v>298.80576263873718</v>
      </c>
      <c r="O9" s="5">
        <f t="shared" si="1"/>
        <v>-2.5371790295544688E-2</v>
      </c>
      <c r="P9">
        <f>'300'!G9</f>
        <v>19.369379751929849</v>
      </c>
    </row>
    <row r="10" spans="1:16" x14ac:dyDescent="0.45">
      <c r="A10">
        <v>220.47323459778454</v>
      </c>
      <c r="B10" s="2">
        <f t="shared" si="0"/>
        <v>3417.4452404014146</v>
      </c>
      <c r="D10" s="7"/>
      <c r="E10">
        <v>0.99</v>
      </c>
      <c r="F10" s="2">
        <v>2.5790000000000002</v>
      </c>
      <c r="G10" s="2">
        <f t="shared" si="2"/>
        <v>26.150018908327365</v>
      </c>
      <c r="I10">
        <f t="shared" si="3"/>
        <v>252.78213494393378</v>
      </c>
      <c r="J10" s="3" t="s">
        <v>10</v>
      </c>
      <c r="K10">
        <f t="shared" si="4"/>
        <v>278.93215385226114</v>
      </c>
      <c r="L10" s="3" t="s">
        <v>10</v>
      </c>
      <c r="M10">
        <f t="shared" si="5"/>
        <v>305.08217276058849</v>
      </c>
      <c r="O10" s="5">
        <f t="shared" si="1"/>
        <v>-2.5371790295544625E-2</v>
      </c>
      <c r="P10">
        <f>'300'!G10</f>
        <v>25.486546112360756</v>
      </c>
    </row>
    <row r="11" spans="1:16" x14ac:dyDescent="0.45">
      <c r="A11">
        <v>681.11685365201038</v>
      </c>
      <c r="B11" s="2">
        <f t="shared" si="0"/>
        <v>161752.53275301441</v>
      </c>
      <c r="E11" t="s">
        <v>5</v>
      </c>
      <c r="F11" s="2"/>
      <c r="G11" s="2"/>
      <c r="O11" s="4"/>
    </row>
    <row r="12" spans="1:16" x14ac:dyDescent="0.45">
      <c r="A12">
        <v>254.72990256535178</v>
      </c>
      <c r="B12" s="2">
        <f t="shared" si="0"/>
        <v>585.74896735470577</v>
      </c>
      <c r="F12" s="2"/>
    </row>
    <row r="13" spans="1:16" x14ac:dyDescent="0.45">
      <c r="A13">
        <v>235.08798478663388</v>
      </c>
      <c r="B13" s="2">
        <f t="shared" si="0"/>
        <v>1922.311161055306</v>
      </c>
      <c r="E13" t="s">
        <v>8</v>
      </c>
      <c r="F13" s="2"/>
      <c r="G13">
        <f>SQRT(G5/G2)</f>
        <v>10.139596319630618</v>
      </c>
    </row>
    <row r="14" spans="1:16" x14ac:dyDescent="0.45">
      <c r="A14">
        <v>121.42862981203696</v>
      </c>
      <c r="B14" s="2">
        <f t="shared" si="0"/>
        <v>24807.36008508948</v>
      </c>
      <c r="F14" s="2"/>
    </row>
    <row r="15" spans="1:16" x14ac:dyDescent="0.45">
      <c r="A15">
        <v>105.02894169849054</v>
      </c>
      <c r="B15" s="2">
        <f t="shared" si="0"/>
        <v>30242.327197399347</v>
      </c>
      <c r="F15" s="2"/>
    </row>
    <row r="16" spans="1:16" x14ac:dyDescent="0.45">
      <c r="A16">
        <v>443.57479891176058</v>
      </c>
      <c r="B16" s="2">
        <f t="shared" si="0"/>
        <v>27107.200572188318</v>
      </c>
    </row>
    <row r="17" spans="1:8" x14ac:dyDescent="0.45">
      <c r="A17">
        <v>267.03746963636996</v>
      </c>
      <c r="B17" s="2">
        <f t="shared" si="0"/>
        <v>141.48351259577066</v>
      </c>
    </row>
    <row r="18" spans="1:8" x14ac:dyDescent="0.45">
      <c r="A18">
        <v>401.70769464597328</v>
      </c>
      <c r="B18" s="2">
        <f t="shared" si="0"/>
        <v>15073.833417188474</v>
      </c>
      <c r="G18">
        <f>_xlfn.CONFIDENCE.T(0.01,G6,G3)</f>
        <v>26.285604415331751</v>
      </c>
      <c r="H18">
        <f>G18/G13</f>
        <v>2.5923718841194781</v>
      </c>
    </row>
    <row r="19" spans="1:8" x14ac:dyDescent="0.45">
      <c r="A19">
        <v>59.379924321729256</v>
      </c>
      <c r="B19" s="2">
        <f t="shared" si="0"/>
        <v>48203.181491827359</v>
      </c>
    </row>
    <row r="20" spans="1:8" x14ac:dyDescent="0.45">
      <c r="A20">
        <v>774.96763544059399</v>
      </c>
      <c r="B20" s="2">
        <f t="shared" si="0"/>
        <v>246051.19899456931</v>
      </c>
    </row>
    <row r="21" spans="1:8" x14ac:dyDescent="0.45">
      <c r="A21">
        <v>169.47108847850711</v>
      </c>
      <c r="B21" s="2">
        <f t="shared" si="0"/>
        <v>11981.724832757252</v>
      </c>
    </row>
    <row r="22" spans="1:8" x14ac:dyDescent="0.45">
      <c r="A22">
        <v>615.23664584887263</v>
      </c>
      <c r="B22" s="2">
        <f t="shared" si="0"/>
        <v>113100.71133709892</v>
      </c>
    </row>
    <row r="23" spans="1:8" x14ac:dyDescent="0.45">
      <c r="A23">
        <v>80.798660467993969</v>
      </c>
      <c r="B23" s="2">
        <f t="shared" si="0"/>
        <v>39256.88120065345</v>
      </c>
    </row>
    <row r="24" spans="1:8" x14ac:dyDescent="0.45">
      <c r="A24">
        <v>368.01975475886582</v>
      </c>
      <c r="B24" s="2">
        <f t="shared" si="0"/>
        <v>7936.6006352944705</v>
      </c>
    </row>
    <row r="25" spans="1:8" x14ac:dyDescent="0.45">
      <c r="A25">
        <v>259.37419471341775</v>
      </c>
      <c r="B25" s="2">
        <f t="shared" si="0"/>
        <v>382.51376567666756</v>
      </c>
    </row>
    <row r="26" spans="1:8" x14ac:dyDescent="0.45">
      <c r="A26">
        <v>164.98614481728714</v>
      </c>
      <c r="B26" s="2">
        <f t="shared" si="0"/>
        <v>12983.692974998376</v>
      </c>
    </row>
    <row r="27" spans="1:8" x14ac:dyDescent="0.45">
      <c r="A27">
        <v>326.93468592479508</v>
      </c>
      <c r="B27" s="2">
        <f t="shared" si="0"/>
        <v>2304.2430853746496</v>
      </c>
    </row>
    <row r="28" spans="1:8" x14ac:dyDescent="0.45">
      <c r="A28">
        <v>594.28891545738736</v>
      </c>
      <c r="B28" s="2">
        <f t="shared" si="0"/>
        <v>99449.887090072414</v>
      </c>
    </row>
    <row r="29" spans="1:8" x14ac:dyDescent="0.45">
      <c r="A29">
        <v>67.642177200888</v>
      </c>
      <c r="B29" s="2">
        <f t="shared" si="0"/>
        <v>44643.454233337805</v>
      </c>
    </row>
    <row r="30" spans="1:8" x14ac:dyDescent="0.45">
      <c r="A30">
        <v>327.53880603093648</v>
      </c>
      <c r="B30" s="2">
        <f t="shared" si="0"/>
        <v>2362.6066360187247</v>
      </c>
    </row>
    <row r="31" spans="1:8" x14ac:dyDescent="0.45">
      <c r="A31">
        <v>244.11185637314551</v>
      </c>
      <c r="B31" s="2">
        <f t="shared" si="0"/>
        <v>1212.4531165341059</v>
      </c>
    </row>
    <row r="32" spans="1:8" x14ac:dyDescent="0.45">
      <c r="A32">
        <v>341.49190856028713</v>
      </c>
      <c r="B32" s="2">
        <f t="shared" si="0"/>
        <v>3913.7229091283803</v>
      </c>
    </row>
    <row r="33" spans="1:2" x14ac:dyDescent="0.45">
      <c r="A33">
        <v>245.6669964273672</v>
      </c>
      <c r="B33" s="2">
        <f t="shared" si="0"/>
        <v>1106.5706985029765</v>
      </c>
    </row>
    <row r="34" spans="1:2" x14ac:dyDescent="0.45">
      <c r="A34">
        <v>90.522743756656411</v>
      </c>
      <c r="B34" s="2">
        <f t="shared" si="0"/>
        <v>35498.105812573762</v>
      </c>
    </row>
    <row r="35" spans="1:2" x14ac:dyDescent="0.45">
      <c r="A35">
        <v>372.04227444802433</v>
      </c>
      <c r="B35" s="2">
        <f t="shared" si="0"/>
        <v>8669.4945573575642</v>
      </c>
    </row>
    <row r="36" spans="1:2" x14ac:dyDescent="0.45">
      <c r="A36">
        <v>234.50838155808407</v>
      </c>
      <c r="B36" s="2">
        <f t="shared" si="0"/>
        <v>1973.4715448448942</v>
      </c>
    </row>
    <row r="37" spans="1:2" x14ac:dyDescent="0.45">
      <c r="A37">
        <v>271.38612176538788</v>
      </c>
      <c r="B37" s="2">
        <f t="shared" si="0"/>
        <v>56.942600256120713</v>
      </c>
    </row>
    <row r="38" spans="1:2" x14ac:dyDescent="0.45">
      <c r="A38">
        <v>276.61619037549502</v>
      </c>
      <c r="B38" s="2">
        <f t="shared" si="0"/>
        <v>5.3636868257145895</v>
      </c>
    </row>
    <row r="39" spans="1:2" x14ac:dyDescent="0.45">
      <c r="A39">
        <v>305.02362963278551</v>
      </c>
      <c r="B39" s="2">
        <f t="shared" si="0"/>
        <v>680.76510840569017</v>
      </c>
    </row>
    <row r="40" spans="1:2" x14ac:dyDescent="0.45">
      <c r="A40">
        <v>132.36814076666116</v>
      </c>
      <c r="B40" s="2">
        <f t="shared" si="0"/>
        <v>21481.009931755922</v>
      </c>
    </row>
    <row r="41" spans="1:2" x14ac:dyDescent="0.45">
      <c r="A41">
        <v>315.68165521645199</v>
      </c>
      <c r="B41" s="2">
        <f t="shared" si="0"/>
        <v>1350.5258505166651</v>
      </c>
    </row>
    <row r="42" spans="1:2" x14ac:dyDescent="0.45">
      <c r="A42">
        <v>190.90805625163031</v>
      </c>
      <c r="B42" s="2">
        <f t="shared" si="0"/>
        <v>7748.241758405381</v>
      </c>
    </row>
    <row r="43" spans="1:2" x14ac:dyDescent="0.45">
      <c r="A43">
        <v>169.49679909189314</v>
      </c>
      <c r="B43" s="2">
        <f t="shared" si="0"/>
        <v>11976.096871527599</v>
      </c>
    </row>
    <row r="44" spans="1:2" x14ac:dyDescent="0.45">
      <c r="A44">
        <v>387.44212866851188</v>
      </c>
      <c r="B44" s="2">
        <f t="shared" si="0"/>
        <v>11774.414634623372</v>
      </c>
    </row>
    <row r="45" spans="1:2" x14ac:dyDescent="0.45">
      <c r="A45">
        <v>482.23771912995119</v>
      </c>
      <c r="B45" s="2">
        <f t="shared" si="0"/>
        <v>41333.152872881088</v>
      </c>
    </row>
    <row r="46" spans="1:2" x14ac:dyDescent="0.45">
      <c r="A46">
        <v>169.89721429943333</v>
      </c>
      <c r="B46" s="2">
        <f t="shared" si="0"/>
        <v>11888.618043288814</v>
      </c>
    </row>
    <row r="47" spans="1:2" x14ac:dyDescent="0.45">
      <c r="A47">
        <v>169.24970694165125</v>
      </c>
      <c r="B47" s="2">
        <f t="shared" si="0"/>
        <v>12030.239160298755</v>
      </c>
    </row>
    <row r="48" spans="1:2" x14ac:dyDescent="0.45">
      <c r="A48">
        <v>157.80896181471908</v>
      </c>
      <c r="B48" s="2">
        <f t="shared" si="0"/>
        <v>14670.827649363291</v>
      </c>
    </row>
    <row r="49" spans="1:2" x14ac:dyDescent="0.45">
      <c r="A49">
        <v>234.48900683505167</v>
      </c>
      <c r="B49" s="2">
        <f t="shared" si="0"/>
        <v>1975.193316793295</v>
      </c>
    </row>
    <row r="50" spans="1:2" x14ac:dyDescent="0.45">
      <c r="A50">
        <v>223.62841557033812</v>
      </c>
      <c r="B50" s="2">
        <f t="shared" si="0"/>
        <v>3058.5034679554374</v>
      </c>
    </row>
    <row r="51" spans="1:2" x14ac:dyDescent="0.45">
      <c r="A51">
        <v>144.59081370771773</v>
      </c>
      <c r="B51" s="2">
        <f t="shared" si="0"/>
        <v>18047.59567183191</v>
      </c>
    </row>
    <row r="52" spans="1:2" x14ac:dyDescent="0.45">
      <c r="A52">
        <v>538.7878849706276</v>
      </c>
      <c r="B52" s="2">
        <f t="shared" si="0"/>
        <v>67525.000995060764</v>
      </c>
    </row>
    <row r="53" spans="1:2" x14ac:dyDescent="0.45">
      <c r="A53">
        <v>268.51540072322712</v>
      </c>
      <c r="B53" s="2">
        <f t="shared" si="0"/>
        <v>108.50874575124006</v>
      </c>
    </row>
    <row r="54" spans="1:2" x14ac:dyDescent="0.45">
      <c r="A54">
        <v>486.36609639678198</v>
      </c>
      <c r="B54" s="2">
        <f t="shared" si="0"/>
        <v>43028.840519563579</v>
      </c>
    </row>
    <row r="55" spans="1:2" x14ac:dyDescent="0.45">
      <c r="A55">
        <v>280.20437326630719</v>
      </c>
      <c r="B55" s="2">
        <f t="shared" si="0"/>
        <v>1.6185422374756717</v>
      </c>
    </row>
    <row r="56" spans="1:2" x14ac:dyDescent="0.45">
      <c r="A56">
        <v>467.16073967148657</v>
      </c>
      <c r="B56" s="2">
        <f t="shared" si="0"/>
        <v>35430.000519505513</v>
      </c>
    </row>
    <row r="57" spans="1:2" x14ac:dyDescent="0.45">
      <c r="A57">
        <v>163.15559400539996</v>
      </c>
      <c r="B57" s="2">
        <f t="shared" si="0"/>
        <v>13404.211809973827</v>
      </c>
    </row>
    <row r="58" spans="1:2" x14ac:dyDescent="0.45">
      <c r="A58">
        <v>504.13069662243396</v>
      </c>
      <c r="B58" s="2">
        <f t="shared" si="0"/>
        <v>50714.383665809357</v>
      </c>
    </row>
    <row r="59" spans="1:2" x14ac:dyDescent="0.45">
      <c r="A59">
        <v>434.01183362842283</v>
      </c>
      <c r="B59" s="2">
        <f t="shared" si="0"/>
        <v>24049.707079476855</v>
      </c>
    </row>
    <row r="60" spans="1:2" x14ac:dyDescent="0.45">
      <c r="A60">
        <v>488.99389597185382</v>
      </c>
      <c r="B60" s="2">
        <f t="shared" si="0"/>
        <v>44125.935502318258</v>
      </c>
    </row>
    <row r="61" spans="1:2" x14ac:dyDescent="0.45">
      <c r="A61">
        <v>166.78355523008983</v>
      </c>
      <c r="B61" s="2">
        <f t="shared" si="0"/>
        <v>12577.308172916884</v>
      </c>
    </row>
    <row r="62" spans="1:2" x14ac:dyDescent="0.45">
      <c r="A62">
        <v>52.658388575742862</v>
      </c>
      <c r="B62" s="2">
        <f t="shared" si="0"/>
        <v>51199.816852412885</v>
      </c>
    </row>
    <row r="63" spans="1:2" x14ac:dyDescent="0.45">
      <c r="A63">
        <v>173.16219460145086</v>
      </c>
      <c r="B63" s="2">
        <f t="shared" si="0"/>
        <v>11187.284279918065</v>
      </c>
    </row>
    <row r="64" spans="1:2" x14ac:dyDescent="0.45">
      <c r="A64">
        <v>252.11587739497912</v>
      </c>
      <c r="B64" s="2">
        <f t="shared" si="0"/>
        <v>719.11268303337772</v>
      </c>
    </row>
    <row r="65" spans="1:2" x14ac:dyDescent="0.45">
      <c r="A65">
        <v>441.64480091025371</v>
      </c>
      <c r="B65" s="2">
        <f t="shared" si="0"/>
        <v>26475.405512618858</v>
      </c>
    </row>
    <row r="66" spans="1:2" x14ac:dyDescent="0.45">
      <c r="A66">
        <v>47.848498048560792</v>
      </c>
      <c r="B66" s="2">
        <f t="shared" si="0"/>
        <v>53399.655979603049</v>
      </c>
    </row>
    <row r="67" spans="1:2" x14ac:dyDescent="0.45">
      <c r="A67">
        <v>144.80469715405297</v>
      </c>
      <c r="B67" s="2">
        <f t="shared" ref="B67:B130" si="6">(A67-$G$4)*(A67-$G$4)</f>
        <v>17990.174640329707</v>
      </c>
    </row>
    <row r="68" spans="1:2" x14ac:dyDescent="0.45">
      <c r="A68">
        <v>59.869896269984665</v>
      </c>
      <c r="B68" s="2">
        <f t="shared" si="6"/>
        <v>47988.272697043642</v>
      </c>
    </row>
    <row r="69" spans="1:2" x14ac:dyDescent="0.45">
      <c r="A69">
        <v>335.82089896048655</v>
      </c>
      <c r="B69" s="2">
        <f t="shared" si="6"/>
        <v>3236.3293199886402</v>
      </c>
    </row>
    <row r="70" spans="1:2" x14ac:dyDescent="0.45">
      <c r="A70">
        <v>473.80666636238794</v>
      </c>
      <c r="B70" s="2">
        <f t="shared" si="6"/>
        <v>37976.075626059566</v>
      </c>
    </row>
    <row r="71" spans="1:2" x14ac:dyDescent="0.45">
      <c r="A71">
        <v>297.27969468721159</v>
      </c>
      <c r="B71" s="2">
        <f t="shared" si="6"/>
        <v>336.63225469017425</v>
      </c>
    </row>
    <row r="72" spans="1:2" x14ac:dyDescent="0.45">
      <c r="A72">
        <v>98.255300531989789</v>
      </c>
      <c r="B72" s="2">
        <f t="shared" si="6"/>
        <v>32644.125325714842</v>
      </c>
    </row>
    <row r="73" spans="1:2" x14ac:dyDescent="0.45">
      <c r="A73">
        <v>518.62926994183226</v>
      </c>
      <c r="B73" s="2">
        <f t="shared" si="6"/>
        <v>57454.707461657337</v>
      </c>
    </row>
    <row r="74" spans="1:2" x14ac:dyDescent="0.45">
      <c r="A74">
        <v>93.97636635450155</v>
      </c>
      <c r="B74" s="2">
        <f t="shared" si="6"/>
        <v>34208.643328916405</v>
      </c>
    </row>
    <row r="75" spans="1:2" x14ac:dyDescent="0.45">
      <c r="A75">
        <v>142.43278079553824</v>
      </c>
      <c r="B75" s="2">
        <f t="shared" si="6"/>
        <v>18632.078844878411</v>
      </c>
    </row>
    <row r="76" spans="1:2" x14ac:dyDescent="0.45">
      <c r="A76">
        <v>455.82920256252265</v>
      </c>
      <c r="B76" s="2">
        <f t="shared" si="6"/>
        <v>31292.565842400636</v>
      </c>
    </row>
    <row r="77" spans="1:2" x14ac:dyDescent="0.45">
      <c r="A77">
        <v>596.23910759302396</v>
      </c>
      <c r="B77" s="2">
        <f t="shared" si="6"/>
        <v>100683.7028922426</v>
      </c>
    </row>
    <row r="78" spans="1:2" x14ac:dyDescent="0.45">
      <c r="A78">
        <v>295.96022618973575</v>
      </c>
      <c r="B78" s="2">
        <f t="shared" si="6"/>
        <v>289.95524753026808</v>
      </c>
    </row>
    <row r="79" spans="1:2" x14ac:dyDescent="0.45">
      <c r="A79">
        <v>67.942553282927193</v>
      </c>
      <c r="B79" s="2">
        <f t="shared" si="6"/>
        <v>44516.611548407091</v>
      </c>
    </row>
    <row r="80" spans="1:2" x14ac:dyDescent="0.45">
      <c r="A80">
        <v>96.558471319182118</v>
      </c>
      <c r="B80" s="2">
        <f t="shared" si="6"/>
        <v>33260.160080676294</v>
      </c>
    </row>
    <row r="81" spans="1:2" x14ac:dyDescent="0.45">
      <c r="A81">
        <v>343.86748024853443</v>
      </c>
      <c r="B81" s="2">
        <f t="shared" si="6"/>
        <v>4216.5966141905474</v>
      </c>
    </row>
    <row r="82" spans="1:2" x14ac:dyDescent="0.45">
      <c r="A82">
        <v>281.18845620463583</v>
      </c>
      <c r="B82" s="2">
        <f t="shared" si="6"/>
        <v>5.090900305331556</v>
      </c>
    </row>
    <row r="83" spans="1:2" x14ac:dyDescent="0.45">
      <c r="A83">
        <v>917.4372022271923</v>
      </c>
      <c r="B83" s="2">
        <f t="shared" si="6"/>
        <v>407688.69680027326</v>
      </c>
    </row>
    <row r="84" spans="1:2" x14ac:dyDescent="0.45">
      <c r="A84">
        <v>262.43180773473506</v>
      </c>
      <c r="B84" s="2">
        <f t="shared" si="6"/>
        <v>272.26142199815791</v>
      </c>
    </row>
    <row r="85" spans="1:2" x14ac:dyDescent="0.45">
      <c r="A85">
        <v>524.45340443223631</v>
      </c>
      <c r="B85" s="2">
        <f t="shared" si="6"/>
        <v>60280.684486354963</v>
      </c>
    </row>
    <row r="86" spans="1:2" x14ac:dyDescent="0.45">
      <c r="A86">
        <v>134.02595032352656</v>
      </c>
      <c r="B86" s="2">
        <f t="shared" si="6"/>
        <v>20997.807821111051</v>
      </c>
    </row>
    <row r="87" spans="1:2" x14ac:dyDescent="0.45">
      <c r="A87">
        <v>396.88023212302858</v>
      </c>
      <c r="B87" s="2">
        <f t="shared" si="6"/>
        <v>13911.749167767082</v>
      </c>
    </row>
    <row r="88" spans="1:2" x14ac:dyDescent="0.45">
      <c r="A88">
        <v>141.09243653739904</v>
      </c>
      <c r="B88" s="2">
        <f t="shared" si="6"/>
        <v>18999.787669441095</v>
      </c>
    </row>
    <row r="89" spans="1:2" x14ac:dyDescent="0.45">
      <c r="A89">
        <v>218.46556492072142</v>
      </c>
      <c r="B89" s="2">
        <f t="shared" si="6"/>
        <v>3656.2083770158015</v>
      </c>
    </row>
    <row r="90" spans="1:2" x14ac:dyDescent="0.45">
      <c r="A90">
        <v>44.628549494627542</v>
      </c>
      <c r="B90" s="2">
        <f t="shared" si="6"/>
        <v>54898.179014978494</v>
      </c>
    </row>
    <row r="91" spans="1:2" x14ac:dyDescent="0.45">
      <c r="A91">
        <v>71.435914829738323</v>
      </c>
      <c r="B91" s="2">
        <f t="shared" si="6"/>
        <v>43054.689208491916</v>
      </c>
    </row>
    <row r="92" spans="1:2" x14ac:dyDescent="0.45">
      <c r="A92">
        <v>76.092501582313901</v>
      </c>
      <c r="B92" s="2">
        <f t="shared" si="6"/>
        <v>41143.924532993115</v>
      </c>
    </row>
    <row r="93" spans="1:2" x14ac:dyDescent="0.45">
      <c r="A93">
        <v>228.21227440928192</v>
      </c>
      <c r="B93" s="2">
        <f t="shared" si="6"/>
        <v>2572.5061707103459</v>
      </c>
    </row>
    <row r="94" spans="1:2" x14ac:dyDescent="0.45">
      <c r="A94">
        <v>164.19817093997014</v>
      </c>
      <c r="B94" s="2">
        <f t="shared" si="6"/>
        <v>13163.886834917883</v>
      </c>
    </row>
    <row r="95" spans="1:2" x14ac:dyDescent="0.45">
      <c r="A95">
        <v>386.67439941582165</v>
      </c>
      <c r="B95" s="2">
        <f t="shared" si="6"/>
        <v>11608.391479078577</v>
      </c>
    </row>
    <row r="96" spans="1:2" x14ac:dyDescent="0.45">
      <c r="A96">
        <v>227.77808120394292</v>
      </c>
      <c r="B96" s="2">
        <f t="shared" si="6"/>
        <v>2616.7391485094181</v>
      </c>
    </row>
    <row r="97" spans="1:2" x14ac:dyDescent="0.45">
      <c r="A97">
        <v>90.238303630962534</v>
      </c>
      <c r="B97" s="2">
        <f t="shared" si="6"/>
        <v>35605.369111337866</v>
      </c>
    </row>
    <row r="98" spans="1:2" x14ac:dyDescent="0.45">
      <c r="A98">
        <v>49.362781749031946</v>
      </c>
      <c r="B98" s="2">
        <f t="shared" si="6"/>
        <v>52702.09660787091</v>
      </c>
    </row>
    <row r="99" spans="1:2" x14ac:dyDescent="0.45">
      <c r="A99">
        <v>174.2857724255922</v>
      </c>
      <c r="B99" s="2">
        <f t="shared" si="6"/>
        <v>10950.865145695881</v>
      </c>
    </row>
    <row r="100" spans="1:2" x14ac:dyDescent="0.45">
      <c r="A100">
        <v>67.204182385311015</v>
      </c>
      <c r="B100" s="2">
        <f t="shared" si="6"/>
        <v>44828.733901509644</v>
      </c>
    </row>
    <row r="101" spans="1:2" x14ac:dyDescent="0.45">
      <c r="A101">
        <v>321.74950872972528</v>
      </c>
      <c r="B101" s="2">
        <f t="shared" si="6"/>
        <v>1833.3258787027023</v>
      </c>
    </row>
    <row r="102" spans="1:2" x14ac:dyDescent="0.45">
      <c r="A102">
        <v>206.96341547082537</v>
      </c>
      <c r="B102" s="2">
        <f t="shared" si="6"/>
        <v>5179.4993042155465</v>
      </c>
    </row>
    <row r="103" spans="1:2" x14ac:dyDescent="0.45">
      <c r="A103">
        <v>475.33281283571608</v>
      </c>
      <c r="B103" s="2">
        <f t="shared" si="6"/>
        <v>38573.218849135359</v>
      </c>
    </row>
    <row r="104" spans="1:2" x14ac:dyDescent="0.45">
      <c r="A104">
        <v>562.61973907776724</v>
      </c>
      <c r="B104" s="2">
        <f t="shared" si="6"/>
        <v>80478.646011078788</v>
      </c>
    </row>
    <row r="105" spans="1:2" x14ac:dyDescent="0.45">
      <c r="A105">
        <v>135.43318257134754</v>
      </c>
      <c r="B105" s="2">
        <f t="shared" si="6"/>
        <v>20591.954758680466</v>
      </c>
    </row>
    <row r="106" spans="1:2" x14ac:dyDescent="0.45">
      <c r="A106">
        <v>502.17393063270958</v>
      </c>
      <c r="B106" s="2">
        <f t="shared" si="6"/>
        <v>49836.890900091574</v>
      </c>
    </row>
    <row r="107" spans="1:2" x14ac:dyDescent="0.45">
      <c r="A107">
        <v>70.947422021638545</v>
      </c>
      <c r="B107" s="2">
        <f t="shared" si="6"/>
        <v>43257.648674655997</v>
      </c>
    </row>
    <row r="108" spans="1:2" x14ac:dyDescent="0.45">
      <c r="A108">
        <v>318.11069672121238</v>
      </c>
      <c r="B108" s="2">
        <f t="shared" si="6"/>
        <v>1534.9582213342501</v>
      </c>
    </row>
    <row r="109" spans="1:2" x14ac:dyDescent="0.45">
      <c r="A109">
        <v>345.46758011275131</v>
      </c>
      <c r="B109" s="2">
        <f t="shared" si="6"/>
        <v>4426.9629476651244</v>
      </c>
    </row>
    <row r="110" spans="1:2" x14ac:dyDescent="0.45">
      <c r="A110">
        <v>482.09133774798386</v>
      </c>
      <c r="B110" s="2">
        <f t="shared" si="6"/>
        <v>41273.654001176081</v>
      </c>
    </row>
    <row r="111" spans="1:2" x14ac:dyDescent="0.45">
      <c r="A111">
        <v>383.75946144376746</v>
      </c>
      <c r="B111" s="2">
        <f t="shared" si="6"/>
        <v>10988.76441688428</v>
      </c>
    </row>
    <row r="112" spans="1:2" x14ac:dyDescent="0.45">
      <c r="A112">
        <v>263.58608042492097</v>
      </c>
      <c r="B112" s="2">
        <f t="shared" si="6"/>
        <v>235.50196963731617</v>
      </c>
    </row>
    <row r="113" spans="1:2" x14ac:dyDescent="0.45">
      <c r="A113">
        <v>179.10529315348955</v>
      </c>
      <c r="B113" s="2">
        <f t="shared" si="6"/>
        <v>9965.4021169719472</v>
      </c>
    </row>
    <row r="114" spans="1:2" x14ac:dyDescent="0.45">
      <c r="A114">
        <v>88.938903663500952</v>
      </c>
      <c r="B114" s="2">
        <f t="shared" si="6"/>
        <v>36097.43511728882</v>
      </c>
    </row>
    <row r="115" spans="1:2" x14ac:dyDescent="0.45">
      <c r="A115">
        <v>202.1412280198237</v>
      </c>
      <c r="B115" s="2">
        <f t="shared" si="6"/>
        <v>5896.8462902029078</v>
      </c>
    </row>
    <row r="116" spans="1:2" x14ac:dyDescent="0.45">
      <c r="A116">
        <v>431.31516352368709</v>
      </c>
      <c r="B116" s="2">
        <f t="shared" si="6"/>
        <v>23220.581636521896</v>
      </c>
    </row>
    <row r="117" spans="1:2" x14ac:dyDescent="0.45">
      <c r="A117">
        <v>112.53526346467414</v>
      </c>
      <c r="B117" s="2">
        <f t="shared" si="6"/>
        <v>27687.925130658645</v>
      </c>
    </row>
    <row r="118" spans="1:2" x14ac:dyDescent="0.45">
      <c r="A118">
        <v>156.81447719544678</v>
      </c>
      <c r="B118" s="2">
        <f t="shared" si="6"/>
        <v>14912.726952058261</v>
      </c>
    </row>
    <row r="119" spans="1:2" x14ac:dyDescent="0.45">
      <c r="A119">
        <v>179.70715529775978</v>
      </c>
      <c r="B119" s="2">
        <f t="shared" si="6"/>
        <v>9845.6003381407954</v>
      </c>
    </row>
    <row r="120" spans="1:2" x14ac:dyDescent="0.45">
      <c r="A120">
        <v>152.37778879923559</v>
      </c>
      <c r="B120" s="2">
        <f t="shared" si="6"/>
        <v>16016.007313974455</v>
      </c>
    </row>
    <row r="121" spans="1:2" x14ac:dyDescent="0.45">
      <c r="A121">
        <v>142.76274535358621</v>
      </c>
      <c r="B121" s="2">
        <f t="shared" si="6"/>
        <v>18542.107810879002</v>
      </c>
    </row>
    <row r="122" spans="1:2" x14ac:dyDescent="0.45">
      <c r="A122">
        <v>42.91935684307812</v>
      </c>
      <c r="B122" s="2">
        <f t="shared" si="6"/>
        <v>55702.040352097836</v>
      </c>
    </row>
    <row r="123" spans="1:2" x14ac:dyDescent="0.45">
      <c r="A123">
        <v>311.44277532247179</v>
      </c>
      <c r="B123" s="2">
        <f t="shared" si="6"/>
        <v>1056.9405083793217</v>
      </c>
    </row>
    <row r="124" spans="1:2" x14ac:dyDescent="0.45">
      <c r="A124">
        <v>85.436024999419658</v>
      </c>
      <c r="B124" s="2">
        <f t="shared" si="6"/>
        <v>37440.75188103543</v>
      </c>
    </row>
    <row r="125" spans="1:2" x14ac:dyDescent="0.45">
      <c r="A125">
        <v>218.979935251662</v>
      </c>
      <c r="B125" s="2">
        <f t="shared" si="6"/>
        <v>3594.2685151340252</v>
      </c>
    </row>
    <row r="126" spans="1:2" x14ac:dyDescent="0.45">
      <c r="A126">
        <v>524.79584450048492</v>
      </c>
      <c r="B126" s="2">
        <f t="shared" si="6"/>
        <v>60448.95437916548</v>
      </c>
    </row>
    <row r="127" spans="1:2" x14ac:dyDescent="0.45">
      <c r="A127">
        <v>462.71371241146039</v>
      </c>
      <c r="B127" s="2">
        <f t="shared" si="6"/>
        <v>33775.661266448384</v>
      </c>
    </row>
    <row r="128" spans="1:2" x14ac:dyDescent="0.45">
      <c r="A128">
        <v>265.78547028910907</v>
      </c>
      <c r="B128" s="2">
        <f t="shared" si="6"/>
        <v>172.83528870965273</v>
      </c>
    </row>
    <row r="129" spans="1:2" x14ac:dyDescent="0.45">
      <c r="A129">
        <v>119.38835250673448</v>
      </c>
      <c r="B129" s="2">
        <f t="shared" si="6"/>
        <v>25454.224547780879</v>
      </c>
    </row>
    <row r="130" spans="1:2" x14ac:dyDescent="0.45">
      <c r="A130">
        <v>135.71558325092766</v>
      </c>
      <c r="B130" s="2">
        <f t="shared" si="6"/>
        <v>20510.986094806736</v>
      </c>
    </row>
    <row r="131" spans="1:2" x14ac:dyDescent="0.45">
      <c r="A131">
        <v>284.15695997124516</v>
      </c>
      <c r="B131" s="2">
        <f t="shared" ref="B131:B194" si="7">(A131-$G$4)*(A131-$G$4)</f>
        <v>27.298598980972859</v>
      </c>
    </row>
    <row r="132" spans="1:2" x14ac:dyDescent="0.45">
      <c r="A132">
        <v>454.66531258920463</v>
      </c>
      <c r="B132" s="2">
        <f t="shared" si="7"/>
        <v>30882.14307966378</v>
      </c>
    </row>
    <row r="133" spans="1:2" x14ac:dyDescent="0.45">
      <c r="A133">
        <v>275.78945460876781</v>
      </c>
      <c r="B133" s="2">
        <f t="shared" si="7"/>
        <v>9.876558535053519</v>
      </c>
    </row>
    <row r="134" spans="1:2" x14ac:dyDescent="0.45">
      <c r="A134">
        <v>92.487468892436027</v>
      </c>
      <c r="B134" s="2">
        <f t="shared" si="7"/>
        <v>34761.620549768435</v>
      </c>
    </row>
    <row r="135" spans="1:2" x14ac:dyDescent="0.45">
      <c r="A135">
        <v>265.17450290722093</v>
      </c>
      <c r="B135" s="2">
        <f t="shared" si="7"/>
        <v>189.27295952556582</v>
      </c>
    </row>
    <row r="136" spans="1:2" x14ac:dyDescent="0.45">
      <c r="A136">
        <v>307.62602749770878</v>
      </c>
      <c r="B136" s="2">
        <f t="shared" si="7"/>
        <v>823.33838478091457</v>
      </c>
    </row>
    <row r="137" spans="1:2" x14ac:dyDescent="0.45">
      <c r="A137">
        <v>371.48766362664111</v>
      </c>
      <c r="B137" s="2">
        <f t="shared" si="7"/>
        <v>8566.5223895953459</v>
      </c>
    </row>
    <row r="138" spans="1:2" x14ac:dyDescent="0.45">
      <c r="A138">
        <v>198.76256055552781</v>
      </c>
      <c r="B138" s="2">
        <f t="shared" si="7"/>
        <v>6427.1636893636287</v>
      </c>
    </row>
    <row r="139" spans="1:2" x14ac:dyDescent="0.45">
      <c r="A139">
        <v>86.968485433386348</v>
      </c>
      <c r="B139" s="2">
        <f t="shared" si="7"/>
        <v>36850.049992831708</v>
      </c>
    </row>
    <row r="140" spans="1:2" x14ac:dyDescent="0.45">
      <c r="A140">
        <v>296.4778687331397</v>
      </c>
      <c r="B140" s="2">
        <f t="shared" si="7"/>
        <v>307.85211068108345</v>
      </c>
    </row>
    <row r="141" spans="1:2" x14ac:dyDescent="0.45">
      <c r="A141">
        <v>175.11163497781669</v>
      </c>
      <c r="B141" s="2">
        <f t="shared" si="7"/>
        <v>10778.700139358876</v>
      </c>
    </row>
    <row r="142" spans="1:2" x14ac:dyDescent="0.45">
      <c r="A142">
        <v>195.5394036311836</v>
      </c>
      <c r="B142" s="2">
        <f t="shared" si="7"/>
        <v>6954.3507894350269</v>
      </c>
    </row>
    <row r="143" spans="1:2" x14ac:dyDescent="0.45">
      <c r="A143">
        <v>773.62442485022143</v>
      </c>
      <c r="B143" s="2">
        <f t="shared" si="7"/>
        <v>244720.44298511939</v>
      </c>
    </row>
    <row r="144" spans="1:2" x14ac:dyDescent="0.45">
      <c r="A144">
        <v>963.91192404331218</v>
      </c>
      <c r="B144" s="2">
        <f t="shared" si="7"/>
        <v>469197.28557098517</v>
      </c>
    </row>
    <row r="145" spans="1:2" x14ac:dyDescent="0.45">
      <c r="A145">
        <v>470.07735964383585</v>
      </c>
      <c r="B145" s="2">
        <f t="shared" si="7"/>
        <v>36536.489697103447</v>
      </c>
    </row>
    <row r="146" spans="1:2" x14ac:dyDescent="0.45">
      <c r="A146">
        <v>58.666798039845595</v>
      </c>
      <c r="B146" s="2">
        <f t="shared" si="7"/>
        <v>48516.826971170027</v>
      </c>
    </row>
    <row r="147" spans="1:2" x14ac:dyDescent="0.45">
      <c r="A147">
        <v>286.58976380434297</v>
      </c>
      <c r="B147" s="2">
        <f t="shared" si="7"/>
        <v>58.638990178222649</v>
      </c>
    </row>
    <row r="148" spans="1:2" x14ac:dyDescent="0.45">
      <c r="A148">
        <v>206.34793947422529</v>
      </c>
      <c r="B148" s="2">
        <f t="shared" si="7"/>
        <v>5268.4681768766668</v>
      </c>
    </row>
    <row r="149" spans="1:2" x14ac:dyDescent="0.45">
      <c r="A149">
        <v>304.27088457688751</v>
      </c>
      <c r="B149" s="2">
        <f t="shared" si="7"/>
        <v>642.05127473512459</v>
      </c>
    </row>
    <row r="150" spans="1:2" x14ac:dyDescent="0.45">
      <c r="A150">
        <v>104.26280419099015</v>
      </c>
      <c r="B150" s="2">
        <f t="shared" si="7"/>
        <v>30509.381711091348</v>
      </c>
    </row>
    <row r="151" spans="1:2" x14ac:dyDescent="0.45">
      <c r="A151">
        <v>41.987405013056787</v>
      </c>
      <c r="B151" s="2">
        <f t="shared" si="7"/>
        <v>56142.814002473635</v>
      </c>
    </row>
    <row r="152" spans="1:2" x14ac:dyDescent="0.45">
      <c r="A152">
        <v>283.1327490709441</v>
      </c>
      <c r="B152" s="2">
        <f t="shared" si="7"/>
        <v>17.64500019122217</v>
      </c>
    </row>
    <row r="153" spans="1:2" x14ac:dyDescent="0.45">
      <c r="A153">
        <v>132.85573066642723</v>
      </c>
      <c r="B153" s="2">
        <f t="shared" si="7"/>
        <v>21338.321410766832</v>
      </c>
    </row>
    <row r="154" spans="1:2" x14ac:dyDescent="0.45">
      <c r="A154">
        <v>249.47330187908724</v>
      </c>
      <c r="B154" s="2">
        <f t="shared" si="7"/>
        <v>867.8239595773714</v>
      </c>
    </row>
    <row r="155" spans="1:2" x14ac:dyDescent="0.45">
      <c r="A155">
        <v>258.11916421926173</v>
      </c>
      <c r="B155" s="2">
        <f t="shared" si="7"/>
        <v>433.18053746334067</v>
      </c>
    </row>
    <row r="156" spans="1:2" x14ac:dyDescent="0.45">
      <c r="A156">
        <v>544.83169816681391</v>
      </c>
      <c r="B156" s="2">
        <f t="shared" si="7"/>
        <v>70702.567666686809</v>
      </c>
    </row>
    <row r="157" spans="1:2" x14ac:dyDescent="0.45">
      <c r="A157">
        <v>427.3316189693366</v>
      </c>
      <c r="B157" s="2">
        <f t="shared" si="7"/>
        <v>22022.401247034097</v>
      </c>
    </row>
    <row r="158" spans="1:2" x14ac:dyDescent="0.45">
      <c r="A158">
        <v>111.21298400891638</v>
      </c>
      <c r="B158" s="2">
        <f t="shared" si="7"/>
        <v>28129.719932940727</v>
      </c>
    </row>
    <row r="159" spans="1:2" x14ac:dyDescent="0.45">
      <c r="A159">
        <v>516.60930724462185</v>
      </c>
      <c r="B159" s="2">
        <f t="shared" si="7"/>
        <v>56490.429244695762</v>
      </c>
    </row>
    <row r="160" spans="1:2" x14ac:dyDescent="0.45">
      <c r="A160">
        <v>422.49552308820171</v>
      </c>
      <c r="B160" s="2">
        <f t="shared" si="7"/>
        <v>20610.440986375008</v>
      </c>
    </row>
    <row r="161" spans="1:2" x14ac:dyDescent="0.45">
      <c r="A161">
        <v>64.449753103583717</v>
      </c>
      <c r="B161" s="2">
        <f t="shared" si="7"/>
        <v>46002.700230916264</v>
      </c>
    </row>
    <row r="162" spans="1:2" x14ac:dyDescent="0.45">
      <c r="A162">
        <v>330.64674018688521</v>
      </c>
      <c r="B162" s="2">
        <f t="shared" si="7"/>
        <v>2674.3984397612871</v>
      </c>
    </row>
    <row r="163" spans="1:2" x14ac:dyDescent="0.45">
      <c r="A163">
        <v>225.75968930738185</v>
      </c>
      <c r="B163" s="2">
        <f t="shared" si="7"/>
        <v>2827.3109857764452</v>
      </c>
    </row>
    <row r="164" spans="1:2" x14ac:dyDescent="0.45">
      <c r="A164">
        <v>464.29149854897616</v>
      </c>
      <c r="B164" s="2">
        <f t="shared" si="7"/>
        <v>34358.086666395619</v>
      </c>
    </row>
    <row r="165" spans="1:2" x14ac:dyDescent="0.45">
      <c r="A165">
        <v>448.35954772690258</v>
      </c>
      <c r="B165" s="2">
        <f t="shared" si="7"/>
        <v>28705.641795152886</v>
      </c>
    </row>
    <row r="166" spans="1:2" x14ac:dyDescent="0.45">
      <c r="A166">
        <v>82.518026953077907</v>
      </c>
      <c r="B166" s="2">
        <f t="shared" si="7"/>
        <v>38578.509245568457</v>
      </c>
    </row>
    <row r="167" spans="1:2" x14ac:dyDescent="0.45">
      <c r="A167">
        <v>324.72883545157691</v>
      </c>
      <c r="B167" s="2">
        <f t="shared" si="7"/>
        <v>2097.3360455091083</v>
      </c>
    </row>
    <row r="168" spans="1:2" x14ac:dyDescent="0.45">
      <c r="A168">
        <v>493.69109607150557</v>
      </c>
      <c r="B168" s="2">
        <f t="shared" si="7"/>
        <v>46121.40326312877</v>
      </c>
    </row>
    <row r="169" spans="1:2" x14ac:dyDescent="0.45">
      <c r="A169">
        <v>80.529610511574333</v>
      </c>
      <c r="B169" s="2">
        <f t="shared" si="7"/>
        <v>39363.569204053107</v>
      </c>
    </row>
    <row r="170" spans="1:2" x14ac:dyDescent="0.45">
      <c r="A170">
        <v>335.89937217365878</v>
      </c>
      <c r="B170" s="2">
        <f t="shared" si="7"/>
        <v>3245.2639632777828</v>
      </c>
    </row>
    <row r="171" spans="1:2" x14ac:dyDescent="0.45">
      <c r="A171">
        <v>204.55976274179119</v>
      </c>
      <c r="B171" s="2">
        <f t="shared" si="7"/>
        <v>5531.2525594887093</v>
      </c>
    </row>
    <row r="172" spans="1:2" x14ac:dyDescent="0.45">
      <c r="A172">
        <v>78.325475383001191</v>
      </c>
      <c r="B172" s="2">
        <f t="shared" si="7"/>
        <v>40243.03944646904</v>
      </c>
    </row>
    <row r="173" spans="1:2" x14ac:dyDescent="0.45">
      <c r="A173">
        <v>356.27238143444515</v>
      </c>
      <c r="B173" s="2">
        <f t="shared" si="7"/>
        <v>5981.5108024640167</v>
      </c>
    </row>
    <row r="174" spans="1:2" x14ac:dyDescent="0.45">
      <c r="A174">
        <v>395.48589754866902</v>
      </c>
      <c r="B174" s="2">
        <f t="shared" si="7"/>
        <v>13584.775169647939</v>
      </c>
    </row>
    <row r="175" spans="1:2" x14ac:dyDescent="0.45">
      <c r="A175">
        <v>294.97635750957465</v>
      </c>
      <c r="B175" s="2">
        <f t="shared" si="7"/>
        <v>257.41647099735241</v>
      </c>
    </row>
    <row r="176" spans="1:2" x14ac:dyDescent="0.45">
      <c r="A176">
        <v>231.62224838345102</v>
      </c>
      <c r="B176" s="2">
        <f t="shared" si="7"/>
        <v>2238.2271554677491</v>
      </c>
    </row>
    <row r="177" spans="1:2" x14ac:dyDescent="0.45">
      <c r="A177">
        <v>103.57061510226495</v>
      </c>
      <c r="B177" s="2">
        <f t="shared" si="7"/>
        <v>30751.669272766412</v>
      </c>
    </row>
    <row r="178" spans="1:2" x14ac:dyDescent="0.45">
      <c r="A178">
        <v>184.14259733673293</v>
      </c>
      <c r="B178" s="2">
        <f t="shared" si="7"/>
        <v>8985.0600244105153</v>
      </c>
    </row>
    <row r="179" spans="1:2" x14ac:dyDescent="0.45">
      <c r="A179">
        <v>507.88319238193316</v>
      </c>
      <c r="B179" s="2">
        <f t="shared" si="7"/>
        <v>52418.57804381536</v>
      </c>
    </row>
    <row r="180" spans="1:2" x14ac:dyDescent="0.45">
      <c r="A180">
        <v>279.1971619750118</v>
      </c>
      <c r="B180" s="2">
        <f t="shared" si="7"/>
        <v>7.0229305123827579E-2</v>
      </c>
    </row>
    <row r="181" spans="1:2" x14ac:dyDescent="0.45">
      <c r="A181">
        <v>576.58009754434784</v>
      </c>
      <c r="B181" s="2">
        <f t="shared" si="7"/>
        <v>88594.298384127615</v>
      </c>
    </row>
    <row r="182" spans="1:2" x14ac:dyDescent="0.45">
      <c r="A182">
        <v>365.02436945535311</v>
      </c>
      <c r="B182" s="2">
        <f t="shared" si="7"/>
        <v>7411.8695874492732</v>
      </c>
    </row>
    <row r="183" spans="1:2" x14ac:dyDescent="0.45">
      <c r="A183">
        <v>219.75800015658763</v>
      </c>
      <c r="B183" s="2">
        <f t="shared" si="7"/>
        <v>3501.580465599191</v>
      </c>
    </row>
    <row r="184" spans="1:2" x14ac:dyDescent="0.45">
      <c r="A184">
        <v>59.440039871478987</v>
      </c>
      <c r="B184" s="2">
        <f t="shared" si="7"/>
        <v>48176.788099752666</v>
      </c>
    </row>
    <row r="185" spans="1:2" x14ac:dyDescent="0.45">
      <c r="A185">
        <v>237.5606331091339</v>
      </c>
      <c r="B185" s="2">
        <f t="shared" si="7"/>
        <v>1711.6027285990072</v>
      </c>
    </row>
    <row r="186" spans="1:2" x14ac:dyDescent="0.45">
      <c r="A186">
        <v>270.07299172374866</v>
      </c>
      <c r="B186" s="2">
        <f t="shared" si="7"/>
        <v>78.484753619269782</v>
      </c>
    </row>
    <row r="187" spans="1:2" x14ac:dyDescent="0.45">
      <c r="A187">
        <v>143.14884956100119</v>
      </c>
      <c r="B187" s="2">
        <f t="shared" si="7"/>
        <v>18437.105724252895</v>
      </c>
    </row>
    <row r="188" spans="1:2" x14ac:dyDescent="0.45">
      <c r="A188">
        <v>206.76645885639016</v>
      </c>
      <c r="B188" s="2">
        <f t="shared" si="7"/>
        <v>5207.8875342370775</v>
      </c>
    </row>
    <row r="189" spans="1:2" x14ac:dyDescent="0.45">
      <c r="A189">
        <v>386.94903008010562</v>
      </c>
      <c r="B189" s="2">
        <f t="shared" si="7"/>
        <v>11667.645550021474</v>
      </c>
    </row>
    <row r="190" spans="1:2" x14ac:dyDescent="0.45">
      <c r="A190">
        <v>357.61336637106939</v>
      </c>
      <c r="B190" s="2">
        <f t="shared" si="7"/>
        <v>6190.7332034298688</v>
      </c>
    </row>
    <row r="191" spans="1:2" x14ac:dyDescent="0.45">
      <c r="A191">
        <v>171.95968111762033</v>
      </c>
      <c r="B191" s="2">
        <f t="shared" si="7"/>
        <v>11443.109922963469</v>
      </c>
    </row>
    <row r="192" spans="1:2" x14ac:dyDescent="0.45">
      <c r="A192">
        <v>430.30290295743788</v>
      </c>
      <c r="B192" s="2">
        <f t="shared" si="7"/>
        <v>22913.103684662365</v>
      </c>
    </row>
    <row r="193" spans="1:2" x14ac:dyDescent="0.45">
      <c r="A193">
        <v>71.478945642640696</v>
      </c>
      <c r="B193" s="2">
        <f t="shared" si="7"/>
        <v>43036.83359646413</v>
      </c>
    </row>
    <row r="194" spans="1:2" x14ac:dyDescent="0.45">
      <c r="A194">
        <v>440.99713593209384</v>
      </c>
      <c r="B194" s="2">
        <f t="shared" si="7"/>
        <v>26265.058416536496</v>
      </c>
    </row>
    <row r="195" spans="1:2" x14ac:dyDescent="0.45">
      <c r="A195">
        <v>122.41692606926023</v>
      </c>
      <c r="B195" s="2">
        <f t="shared" ref="B195:B258" si="8">(A195-$G$4)*(A195-$G$4)</f>
        <v>24497.016527964661</v>
      </c>
    </row>
    <row r="196" spans="1:2" x14ac:dyDescent="0.45">
      <c r="A196">
        <v>374.76849837459224</v>
      </c>
      <c r="B196" s="2">
        <f t="shared" si="8"/>
        <v>9184.6049314029424</v>
      </c>
    </row>
    <row r="197" spans="1:2" x14ac:dyDescent="0.45">
      <c r="A197">
        <v>496.32009415987784</v>
      </c>
      <c r="B197" s="2">
        <f t="shared" si="8"/>
        <v>47257.516591187923</v>
      </c>
    </row>
    <row r="198" spans="1:2" x14ac:dyDescent="0.45">
      <c r="A198">
        <v>419.42535315511856</v>
      </c>
      <c r="B198" s="2">
        <f t="shared" si="8"/>
        <v>19738.339050352417</v>
      </c>
    </row>
    <row r="199" spans="1:2" x14ac:dyDescent="0.45">
      <c r="A199">
        <v>426.42870198813068</v>
      </c>
      <c r="B199" s="2">
        <f t="shared" si="8"/>
        <v>21755.231711996883</v>
      </c>
    </row>
    <row r="200" spans="1:2" x14ac:dyDescent="0.45">
      <c r="A200">
        <v>692.93494021757647</v>
      </c>
      <c r="B200" s="2">
        <f t="shared" si="8"/>
        <v>171398.30711824493</v>
      </c>
    </row>
    <row r="201" spans="1:2" x14ac:dyDescent="0.45">
      <c r="A201">
        <v>364.09253924617246</v>
      </c>
      <c r="B201" s="2">
        <f t="shared" si="8"/>
        <v>7252.2912404395056</v>
      </c>
    </row>
    <row r="202" spans="1:2" x14ac:dyDescent="0.45">
      <c r="A202">
        <v>69.373345714430258</v>
      </c>
      <c r="B202" s="2">
        <f t="shared" si="8"/>
        <v>43914.894068148213</v>
      </c>
    </row>
    <row r="203" spans="1:2" x14ac:dyDescent="0.45">
      <c r="A203">
        <v>645.48627618446812</v>
      </c>
      <c r="B203" s="2">
        <f t="shared" si="8"/>
        <v>134361.92459873456</v>
      </c>
    </row>
    <row r="204" spans="1:2" x14ac:dyDescent="0.45">
      <c r="A204">
        <v>253.37067071593762</v>
      </c>
      <c r="B204" s="2">
        <f t="shared" si="8"/>
        <v>653.38942012855159</v>
      </c>
    </row>
    <row r="205" spans="1:2" x14ac:dyDescent="0.45">
      <c r="A205">
        <v>159.83440011729931</v>
      </c>
      <c r="B205" s="2">
        <f t="shared" si="8"/>
        <v>14184.274944713614</v>
      </c>
    </row>
    <row r="206" spans="1:2" x14ac:dyDescent="0.45">
      <c r="A206">
        <v>209.3916405160374</v>
      </c>
      <c r="B206" s="2">
        <f t="shared" si="8"/>
        <v>4835.8829950655117</v>
      </c>
    </row>
    <row r="207" spans="1:2" x14ac:dyDescent="0.45">
      <c r="A207">
        <v>143.80990872984322</v>
      </c>
      <c r="B207" s="2">
        <f t="shared" si="8"/>
        <v>18258.021126922795</v>
      </c>
    </row>
    <row r="208" spans="1:2" x14ac:dyDescent="0.45">
      <c r="A208">
        <v>514.21173408566551</v>
      </c>
      <c r="B208" s="2">
        <f t="shared" si="8"/>
        <v>55356.48087480697</v>
      </c>
    </row>
    <row r="209" spans="1:2" x14ac:dyDescent="0.45">
      <c r="A209">
        <v>499.73708813840176</v>
      </c>
      <c r="B209" s="2">
        <f t="shared" si="8"/>
        <v>48754.819005106881</v>
      </c>
    </row>
    <row r="210" spans="1:2" x14ac:dyDescent="0.45">
      <c r="A210">
        <v>159.37317907293269</v>
      </c>
      <c r="B210" s="2">
        <f t="shared" si="8"/>
        <v>14294.348450284097</v>
      </c>
    </row>
    <row r="211" spans="1:2" x14ac:dyDescent="0.45">
      <c r="A211">
        <v>427.01641020644593</v>
      </c>
      <c r="B211" s="2">
        <f t="shared" si="8"/>
        <v>21928.946979971919</v>
      </c>
    </row>
    <row r="212" spans="1:2" x14ac:dyDescent="0.45">
      <c r="A212">
        <v>482.07155106892395</v>
      </c>
      <c r="B212" s="2">
        <f t="shared" si="8"/>
        <v>41265.614701549115</v>
      </c>
    </row>
    <row r="213" spans="1:2" x14ac:dyDescent="0.45">
      <c r="A213">
        <v>184.32682850765244</v>
      </c>
      <c r="B213" s="2">
        <f t="shared" si="8"/>
        <v>8950.1675835592614</v>
      </c>
    </row>
    <row r="214" spans="1:2" x14ac:dyDescent="0.45">
      <c r="A214">
        <v>78.411389255675999</v>
      </c>
      <c r="B214" s="2">
        <f t="shared" si="8"/>
        <v>40208.57703439911</v>
      </c>
    </row>
    <row r="215" spans="1:2" x14ac:dyDescent="0.45">
      <c r="A215">
        <v>190.06879674926037</v>
      </c>
      <c r="B215" s="2">
        <f t="shared" si="8"/>
        <v>7896.6962356154363</v>
      </c>
    </row>
    <row r="216" spans="1:2" x14ac:dyDescent="0.45">
      <c r="A216">
        <v>305.8019288501377</v>
      </c>
      <c r="B216" s="2">
        <f t="shared" si="8"/>
        <v>721.98480843651237</v>
      </c>
    </row>
    <row r="217" spans="1:2" x14ac:dyDescent="0.45">
      <c r="A217">
        <v>303.2634441342509</v>
      </c>
      <c r="B217" s="2">
        <f t="shared" si="8"/>
        <v>592.01168678644967</v>
      </c>
    </row>
    <row r="218" spans="1:2" x14ac:dyDescent="0.45">
      <c r="A218">
        <v>110.9153256499812</v>
      </c>
      <c r="B218" s="2">
        <f t="shared" si="8"/>
        <v>28229.654559154456</v>
      </c>
    </row>
    <row r="219" spans="1:2" x14ac:dyDescent="0.45">
      <c r="A219">
        <v>202.89789919264857</v>
      </c>
      <c r="B219" s="2">
        <f t="shared" si="8"/>
        <v>5781.2078816428157</v>
      </c>
    </row>
    <row r="220" spans="1:2" x14ac:dyDescent="0.45">
      <c r="A220">
        <v>620.96824470108152</v>
      </c>
      <c r="B220" s="2">
        <f t="shared" si="8"/>
        <v>116988.68744314251</v>
      </c>
    </row>
    <row r="221" spans="1:2" x14ac:dyDescent="0.45">
      <c r="A221">
        <v>306.65779932290599</v>
      </c>
      <c r="B221" s="2">
        <f t="shared" si="8"/>
        <v>768.71141676388925</v>
      </c>
    </row>
    <row r="222" spans="1:2" x14ac:dyDescent="0.45">
      <c r="A222">
        <v>191.72359186815848</v>
      </c>
      <c r="B222" s="2">
        <f t="shared" si="8"/>
        <v>7605.3332833350751</v>
      </c>
    </row>
    <row r="223" spans="1:2" x14ac:dyDescent="0.45">
      <c r="A223">
        <v>167.52719961827262</v>
      </c>
      <c r="B223" s="2">
        <f t="shared" si="8"/>
        <v>12411.063827877077</v>
      </c>
    </row>
    <row r="224" spans="1:2" x14ac:dyDescent="0.45">
      <c r="A224">
        <v>245.56619742881239</v>
      </c>
      <c r="B224" s="2">
        <f t="shared" si="8"/>
        <v>1113.287048051481</v>
      </c>
    </row>
    <row r="225" spans="1:2" x14ac:dyDescent="0.45">
      <c r="A225">
        <v>572.0367146050678</v>
      </c>
      <c r="B225" s="2">
        <f t="shared" si="8"/>
        <v>85910.283534095739</v>
      </c>
    </row>
    <row r="226" spans="1:2" x14ac:dyDescent="0.45">
      <c r="A226">
        <v>316.15556591700806</v>
      </c>
      <c r="B226" s="2">
        <f t="shared" si="8"/>
        <v>1385.5824057419468</v>
      </c>
    </row>
    <row r="227" spans="1:2" x14ac:dyDescent="0.45">
      <c r="A227">
        <v>475.40602629370846</v>
      </c>
      <c r="B227" s="2">
        <f t="shared" si="8"/>
        <v>38601.982552138114</v>
      </c>
    </row>
    <row r="228" spans="1:2" x14ac:dyDescent="0.45">
      <c r="A228">
        <v>119.29373756874675</v>
      </c>
      <c r="B228" s="2">
        <f t="shared" si="8"/>
        <v>25484.423953508638</v>
      </c>
    </row>
    <row r="229" spans="1:2" x14ac:dyDescent="0.45">
      <c r="A229">
        <v>144.67944435296454</v>
      </c>
      <c r="B229" s="2">
        <f t="shared" si="8"/>
        <v>18023.790007902524</v>
      </c>
    </row>
    <row r="230" spans="1:2" x14ac:dyDescent="0.45">
      <c r="A230">
        <v>142.87305766255395</v>
      </c>
      <c r="B230" s="2">
        <f t="shared" si="8"/>
        <v>18512.077655959994</v>
      </c>
    </row>
    <row r="231" spans="1:2" x14ac:dyDescent="0.45">
      <c r="A231">
        <v>91.724468530486163</v>
      </c>
      <c r="B231" s="2">
        <f t="shared" si="8"/>
        <v>35046.717443536727</v>
      </c>
    </row>
    <row r="232" spans="1:2" x14ac:dyDescent="0.45">
      <c r="A232">
        <v>449.79696444579281</v>
      </c>
      <c r="B232" s="2">
        <f t="shared" si="8"/>
        <v>29194.783499163452</v>
      </c>
    </row>
    <row r="233" spans="1:2" x14ac:dyDescent="0.45">
      <c r="A233">
        <v>539.14640171921076</v>
      </c>
      <c r="B233" s="2">
        <f t="shared" si="8"/>
        <v>67711.454792962293</v>
      </c>
    </row>
    <row r="234" spans="1:2" x14ac:dyDescent="0.45">
      <c r="A234">
        <v>707.12846428479315</v>
      </c>
      <c r="B234" s="2">
        <f t="shared" si="8"/>
        <v>183352.08026803331</v>
      </c>
    </row>
    <row r="235" spans="1:2" x14ac:dyDescent="0.45">
      <c r="A235">
        <v>297.37387056660066</v>
      </c>
      <c r="B235" s="2">
        <f t="shared" si="8"/>
        <v>340.09691537194965</v>
      </c>
    </row>
    <row r="236" spans="1:2" x14ac:dyDescent="0.45">
      <c r="A236">
        <v>411.71694019403617</v>
      </c>
      <c r="B236" s="2">
        <f t="shared" si="8"/>
        <v>17631.799483830844</v>
      </c>
    </row>
    <row r="237" spans="1:2" x14ac:dyDescent="0.45">
      <c r="A237">
        <v>269.07490206475882</v>
      </c>
      <c r="B237" s="2">
        <f t="shared" si="8"/>
        <v>97.165412802217702</v>
      </c>
    </row>
    <row r="238" spans="1:2" x14ac:dyDescent="0.45">
      <c r="A238">
        <v>310.39873282001184</v>
      </c>
      <c r="B238" s="2">
        <f t="shared" si="8"/>
        <v>990.14559193369109</v>
      </c>
    </row>
    <row r="239" spans="1:2" x14ac:dyDescent="0.45">
      <c r="A239">
        <v>198.33129366907403</v>
      </c>
      <c r="B239" s="2">
        <f t="shared" si="8"/>
        <v>6496.498662269677</v>
      </c>
    </row>
    <row r="240" spans="1:2" x14ac:dyDescent="0.45">
      <c r="A240">
        <v>725.68827133689899</v>
      </c>
      <c r="B240" s="2">
        <f t="shared" si="8"/>
        <v>199591.02850994753</v>
      </c>
    </row>
    <row r="241" spans="1:2" x14ac:dyDescent="0.45">
      <c r="A241">
        <v>173.76739223868972</v>
      </c>
      <c r="B241" s="2">
        <f t="shared" si="8"/>
        <v>11059.627085239305</v>
      </c>
    </row>
    <row r="242" spans="1:2" x14ac:dyDescent="0.45">
      <c r="A242">
        <v>240.71763931171111</v>
      </c>
      <c r="B242" s="2">
        <f t="shared" si="8"/>
        <v>1460.3491215699094</v>
      </c>
    </row>
    <row r="243" spans="1:2" x14ac:dyDescent="0.45">
      <c r="A243">
        <v>261.17198309051582</v>
      </c>
      <c r="B243" s="2">
        <f t="shared" si="8"/>
        <v>315.42366548635312</v>
      </c>
    </row>
    <row r="244" spans="1:2" x14ac:dyDescent="0.45">
      <c r="A244">
        <v>155.94967349642587</v>
      </c>
      <c r="B244" s="2">
        <f t="shared" si="8"/>
        <v>15124.690474473407</v>
      </c>
    </row>
    <row r="245" spans="1:2" x14ac:dyDescent="0.45">
      <c r="A245">
        <v>204.7115820006193</v>
      </c>
      <c r="B245" s="2">
        <f t="shared" si="8"/>
        <v>5508.6932859847284</v>
      </c>
    </row>
    <row r="246" spans="1:2" x14ac:dyDescent="0.45">
      <c r="A246">
        <v>156.49224023096366</v>
      </c>
      <c r="B246" s="2">
        <f t="shared" si="8"/>
        <v>14991.532447590787</v>
      </c>
    </row>
    <row r="247" spans="1:2" x14ac:dyDescent="0.45">
      <c r="A247">
        <v>187.15800581920394</v>
      </c>
      <c r="B247" s="2">
        <f t="shared" si="8"/>
        <v>8422.4942471934974</v>
      </c>
    </row>
    <row r="248" spans="1:2" x14ac:dyDescent="0.45">
      <c r="A248">
        <v>207.31170883845465</v>
      </c>
      <c r="B248" s="2">
        <f t="shared" si="8"/>
        <v>5129.4881439756791</v>
      </c>
    </row>
    <row r="249" spans="1:2" x14ac:dyDescent="0.45">
      <c r="A249">
        <v>178.88886386522015</v>
      </c>
      <c r="B249" s="2">
        <f t="shared" si="8"/>
        <v>10008.659871431177</v>
      </c>
    </row>
    <row r="250" spans="1:2" x14ac:dyDescent="0.45">
      <c r="A250">
        <v>197.1216955817053</v>
      </c>
      <c r="B250" s="2">
        <f t="shared" si="8"/>
        <v>6692.9510824383588</v>
      </c>
    </row>
    <row r="251" spans="1:2" x14ac:dyDescent="0.45">
      <c r="A251">
        <v>176.98213273698155</v>
      </c>
      <c r="B251" s="2">
        <f t="shared" si="8"/>
        <v>10393.806805405953</v>
      </c>
    </row>
    <row r="252" spans="1:2" x14ac:dyDescent="0.45">
      <c r="A252">
        <v>492.39287573879756</v>
      </c>
      <c r="B252" s="2">
        <f t="shared" si="8"/>
        <v>45565.479788321245</v>
      </c>
    </row>
    <row r="253" spans="1:2" x14ac:dyDescent="0.45">
      <c r="A253">
        <v>284.57793187841338</v>
      </c>
      <c r="B253" s="2">
        <f t="shared" si="8"/>
        <v>31.874809520583518</v>
      </c>
    </row>
    <row r="254" spans="1:2" x14ac:dyDescent="0.45">
      <c r="A254">
        <v>179.9558598678565</v>
      </c>
      <c r="B254" s="2">
        <f t="shared" si="8"/>
        <v>9796.3067708872932</v>
      </c>
    </row>
    <row r="255" spans="1:2" x14ac:dyDescent="0.45">
      <c r="A255">
        <v>365.99269097519908</v>
      </c>
      <c r="B255" s="2">
        <f t="shared" si="8"/>
        <v>7579.5371241344556</v>
      </c>
    </row>
    <row r="256" spans="1:2" x14ac:dyDescent="0.45">
      <c r="A256">
        <v>24.128920019391483</v>
      </c>
      <c r="B256" s="2">
        <f t="shared" si="8"/>
        <v>64924.687971688058</v>
      </c>
    </row>
    <row r="257" spans="1:2" x14ac:dyDescent="0.45">
      <c r="A257">
        <v>496.48634165446333</v>
      </c>
      <c r="B257" s="2">
        <f t="shared" si="8"/>
        <v>47329.824630275863</v>
      </c>
    </row>
    <row r="258" spans="1:2" x14ac:dyDescent="0.45">
      <c r="A258">
        <v>94.007687733024099</v>
      </c>
      <c r="B258" s="2">
        <f t="shared" si="8"/>
        <v>34197.058169484844</v>
      </c>
    </row>
    <row r="259" spans="1:2" x14ac:dyDescent="0.45">
      <c r="A259">
        <v>141.06199720421375</v>
      </c>
      <c r="B259" s="2">
        <f t="shared" ref="B259:B301" si="9">(A259-$G$4)*(A259-$G$4)</f>
        <v>19008.180094157124</v>
      </c>
    </row>
    <row r="260" spans="1:2" x14ac:dyDescent="0.45">
      <c r="A260">
        <v>60.369020300939781</v>
      </c>
      <c r="B260" s="2">
        <f t="shared" si="9"/>
        <v>47769.843347772738</v>
      </c>
    </row>
    <row r="261" spans="1:2" x14ac:dyDescent="0.45">
      <c r="A261">
        <v>185.50770929294143</v>
      </c>
      <c r="B261" s="2">
        <f t="shared" si="9"/>
        <v>8728.1268412174013</v>
      </c>
    </row>
    <row r="262" spans="1:2" x14ac:dyDescent="0.45">
      <c r="A262">
        <v>111.24077828697511</v>
      </c>
      <c r="B262" s="2">
        <f t="shared" si="9"/>
        <v>28120.397438977805</v>
      </c>
    </row>
    <row r="263" spans="1:2" x14ac:dyDescent="0.45">
      <c r="A263">
        <v>59.091236872534438</v>
      </c>
      <c r="B263" s="2">
        <f t="shared" si="9"/>
        <v>48330.028778487089</v>
      </c>
    </row>
    <row r="264" spans="1:2" x14ac:dyDescent="0.45">
      <c r="A264">
        <v>673.62166768614588</v>
      </c>
      <c r="B264" s="2">
        <f t="shared" si="9"/>
        <v>155779.81233042831</v>
      </c>
    </row>
    <row r="265" spans="1:2" x14ac:dyDescent="0.45">
      <c r="A265">
        <v>350.33487331005296</v>
      </c>
      <c r="B265" s="2">
        <f t="shared" si="9"/>
        <v>5098.348345968122</v>
      </c>
    </row>
    <row r="266" spans="1:2" x14ac:dyDescent="0.45">
      <c r="A266">
        <v>100.06273078864594</v>
      </c>
      <c r="B266" s="2">
        <f t="shared" si="9"/>
        <v>31994.270507110563</v>
      </c>
    </row>
    <row r="267" spans="1:2" x14ac:dyDescent="0.45">
      <c r="A267">
        <v>209.10527211242376</v>
      </c>
      <c r="B267" s="2">
        <f t="shared" si="9"/>
        <v>4875.7934135092346</v>
      </c>
    </row>
    <row r="268" spans="1:2" x14ac:dyDescent="0.45">
      <c r="A268">
        <v>211.21951100103084</v>
      </c>
      <c r="B268" s="2">
        <f t="shared" si="9"/>
        <v>4585.0020018982696</v>
      </c>
    </row>
    <row r="269" spans="1:2" x14ac:dyDescent="0.45">
      <c r="A269">
        <v>255.49720218641446</v>
      </c>
      <c r="B269" s="2">
        <f t="shared" si="9"/>
        <v>549.19695958057025</v>
      </c>
    </row>
    <row r="270" spans="1:2" x14ac:dyDescent="0.45">
      <c r="A270">
        <v>220.08923070512222</v>
      </c>
      <c r="B270" s="2">
        <f t="shared" si="9"/>
        <v>3462.4896045000974</v>
      </c>
    </row>
    <row r="271" spans="1:2" x14ac:dyDescent="0.45">
      <c r="A271">
        <v>529.94518091120881</v>
      </c>
      <c r="B271" s="2">
        <f t="shared" si="9"/>
        <v>63007.539753295998</v>
      </c>
    </row>
    <row r="272" spans="1:2" x14ac:dyDescent="0.45">
      <c r="A272">
        <v>159.82178900298709</v>
      </c>
      <c r="B272" s="2">
        <f t="shared" si="9"/>
        <v>14187.279014527179</v>
      </c>
    </row>
    <row r="273" spans="1:2" x14ac:dyDescent="0.45">
      <c r="A273">
        <v>282.11514855665365</v>
      </c>
      <c r="B273" s="2">
        <f t="shared" si="9"/>
        <v>10.131455288190782</v>
      </c>
    </row>
    <row r="274" spans="1:2" x14ac:dyDescent="0.45">
      <c r="A274">
        <v>236.85991889522157</v>
      </c>
      <c r="B274" s="2">
        <f t="shared" si="9"/>
        <v>1770.0729542803424</v>
      </c>
    </row>
    <row r="275" spans="1:2" x14ac:dyDescent="0.45">
      <c r="A275">
        <v>92.949012362501037</v>
      </c>
      <c r="B275" s="2">
        <f t="shared" si="9"/>
        <v>34589.728918400127</v>
      </c>
    </row>
    <row r="276" spans="1:2" x14ac:dyDescent="0.45">
      <c r="A276">
        <v>252.2950653435658</v>
      </c>
      <c r="B276" s="2">
        <f t="shared" si="9"/>
        <v>709.53448422006943</v>
      </c>
    </row>
    <row r="277" spans="1:2" x14ac:dyDescent="0.45">
      <c r="A277">
        <v>1010.2267102732116</v>
      </c>
      <c r="B277" s="2">
        <f t="shared" si="9"/>
        <v>534791.7282509146</v>
      </c>
    </row>
    <row r="278" spans="1:2" x14ac:dyDescent="0.45">
      <c r="A278">
        <v>349.6298490775269</v>
      </c>
      <c r="B278" s="2">
        <f t="shared" si="9"/>
        <v>4998.1641101645655</v>
      </c>
    </row>
    <row r="279" spans="1:2" x14ac:dyDescent="0.45">
      <c r="A279">
        <v>124.75920068281673</v>
      </c>
      <c r="B279" s="2">
        <f t="shared" si="9"/>
        <v>23769.299488987701</v>
      </c>
    </row>
    <row r="280" spans="1:2" x14ac:dyDescent="0.45">
      <c r="A280">
        <v>143.95997646814763</v>
      </c>
      <c r="B280" s="2">
        <f t="shared" si="9"/>
        <v>18217.4886678086</v>
      </c>
    </row>
    <row r="281" spans="1:2" x14ac:dyDescent="0.45">
      <c r="A281">
        <v>452.53607754057475</v>
      </c>
      <c r="B281" s="2">
        <f t="shared" si="9"/>
        <v>30138.322319977819</v>
      </c>
    </row>
    <row r="282" spans="1:2" x14ac:dyDescent="0.45">
      <c r="A282">
        <v>187.19063384262645</v>
      </c>
      <c r="B282" s="2">
        <f t="shared" si="9"/>
        <v>8416.5064936782019</v>
      </c>
    </row>
    <row r="283" spans="1:2" x14ac:dyDescent="0.45">
      <c r="A283">
        <v>420.38860496268313</v>
      </c>
      <c r="B283" s="2">
        <f t="shared" si="9"/>
        <v>20009.927560755208</v>
      </c>
    </row>
    <row r="284" spans="1:2" x14ac:dyDescent="0.45">
      <c r="A284">
        <v>143.10746768482289</v>
      </c>
      <c r="B284" s="2">
        <f t="shared" si="9"/>
        <v>18448.345372483091</v>
      </c>
    </row>
    <row r="285" spans="1:2" x14ac:dyDescent="0.45">
      <c r="A285">
        <v>220.56487627858206</v>
      </c>
      <c r="B285" s="2">
        <f t="shared" si="9"/>
        <v>3406.7390913629001</v>
      </c>
    </row>
    <row r="286" spans="1:2" x14ac:dyDescent="0.45">
      <c r="A286">
        <v>43.492869574829022</v>
      </c>
      <c r="B286" s="2">
        <f t="shared" si="9"/>
        <v>55431.656581069488</v>
      </c>
    </row>
    <row r="287" spans="1:2" x14ac:dyDescent="0.45">
      <c r="A287">
        <v>439.30856511191922</v>
      </c>
      <c r="B287" s="2">
        <f t="shared" si="9"/>
        <v>25720.593288526983</v>
      </c>
    </row>
    <row r="288" spans="1:2" x14ac:dyDescent="0.45">
      <c r="A288">
        <v>80.412472320777923</v>
      </c>
      <c r="B288" s="2">
        <f t="shared" si="9"/>
        <v>39410.063955361526</v>
      </c>
    </row>
    <row r="289" spans="1:2" x14ac:dyDescent="0.45">
      <c r="A289">
        <v>145.75284822659916</v>
      </c>
      <c r="B289" s="2">
        <f t="shared" si="9"/>
        <v>17736.727446933481</v>
      </c>
    </row>
    <row r="290" spans="1:2" x14ac:dyDescent="0.45">
      <c r="A290">
        <v>210.52065759664106</v>
      </c>
      <c r="B290" s="2">
        <f t="shared" si="9"/>
        <v>4680.1328199327199</v>
      </c>
    </row>
    <row r="291" spans="1:2" x14ac:dyDescent="0.45">
      <c r="A291">
        <v>471.91406291221807</v>
      </c>
      <c r="B291" s="2">
        <f t="shared" si="9"/>
        <v>37242.017224425486</v>
      </c>
    </row>
    <row r="292" spans="1:2" x14ac:dyDescent="0.45">
      <c r="A292">
        <v>295.43024536564667</v>
      </c>
      <c r="B292" s="2">
        <f t="shared" si="9"/>
        <v>272.18702358404369</v>
      </c>
    </row>
    <row r="293" spans="1:2" x14ac:dyDescent="0.45">
      <c r="A293" s="1">
        <v>119.94525731901157</v>
      </c>
      <c r="B293" s="2">
        <f t="shared" si="9"/>
        <v>25276.833269274201</v>
      </c>
    </row>
    <row r="294" spans="1:2" x14ac:dyDescent="0.45">
      <c r="A294" s="1">
        <v>166.84843737976666</v>
      </c>
      <c r="B294" s="2">
        <f t="shared" si="9"/>
        <v>12562.759498286528</v>
      </c>
    </row>
    <row r="295" spans="1:2" x14ac:dyDescent="0.45">
      <c r="A295" s="1">
        <v>776.85745898782318</v>
      </c>
      <c r="B295" s="2">
        <f t="shared" si="9"/>
        <v>247929.60949434256</v>
      </c>
    </row>
    <row r="296" spans="1:2" x14ac:dyDescent="0.45">
      <c r="A296" s="1">
        <v>268.29252853274653</v>
      </c>
      <c r="B296" s="2">
        <f t="shared" si="9"/>
        <v>113.20162693965631</v>
      </c>
    </row>
    <row r="297" spans="1:2" x14ac:dyDescent="0.45">
      <c r="A297" s="1">
        <v>100.90005371730453</v>
      </c>
      <c r="B297" s="2">
        <f t="shared" si="9"/>
        <v>31695.428678463217</v>
      </c>
    </row>
    <row r="298" spans="1:2" x14ac:dyDescent="0.45">
      <c r="A298" s="1">
        <v>132.23708960717579</v>
      </c>
      <c r="B298" s="2">
        <f t="shared" si="9"/>
        <v>21519.441873869717</v>
      </c>
    </row>
    <row r="299" spans="1:2" x14ac:dyDescent="0.45">
      <c r="A299" s="1">
        <v>355.01246274237479</v>
      </c>
      <c r="B299" s="2">
        <f t="shared" si="9"/>
        <v>5788.213400815107</v>
      </c>
    </row>
    <row r="300" spans="1:2" x14ac:dyDescent="0.45">
      <c r="A300" s="1">
        <v>287.47470278036786</v>
      </c>
      <c r="B300" s="2">
        <f t="shared" si="9"/>
        <v>72.975142189097369</v>
      </c>
    </row>
    <row r="301" spans="1:2" x14ac:dyDescent="0.45">
      <c r="A301" s="1">
        <v>218.61940586082983</v>
      </c>
      <c r="B301" s="2">
        <f t="shared" si="9"/>
        <v>3637.6275702779012</v>
      </c>
    </row>
  </sheetData>
  <mergeCells count="1">
    <mergeCell ref="D8:D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EA9B-90DA-4267-BDB0-67E724F09BB5}">
  <sheetPr codeName="Лист9"/>
  <dimension ref="A1:U300"/>
  <sheetViews>
    <sheetView workbookViewId="0">
      <selection sqref="A1:A1048576"/>
    </sheetView>
  </sheetViews>
  <sheetFormatPr defaultRowHeight="14.25" x14ac:dyDescent="0.45"/>
  <cols>
    <col min="1" max="1" width="9.06640625" style="2"/>
  </cols>
  <sheetData>
    <row r="1" spans="1:20" x14ac:dyDescent="0.45">
      <c r="A1">
        <v>209.5288109206173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</row>
    <row r="2" spans="1:20" x14ac:dyDescent="0.45">
      <c r="A2">
        <v>234.92815281748139</v>
      </c>
      <c r="B2" t="s">
        <v>13</v>
      </c>
      <c r="C2" s="2">
        <f>C8</f>
        <v>24.128920019391483</v>
      </c>
      <c r="D2" s="2">
        <f>C3</f>
        <v>78.912130589048161</v>
      </c>
      <c r="E2" s="2">
        <f t="shared" ref="E2:T2" si="0">D3</f>
        <v>133.69534115870482</v>
      </c>
      <c r="F2" s="2">
        <f t="shared" si="0"/>
        <v>188.47855172836148</v>
      </c>
      <c r="G2" s="2">
        <f t="shared" si="0"/>
        <v>243.26176229801814</v>
      </c>
      <c r="H2" s="2">
        <f t="shared" si="0"/>
        <v>298.0449728676748</v>
      </c>
      <c r="I2" s="2">
        <f t="shared" si="0"/>
        <v>352.82818343733146</v>
      </c>
      <c r="J2" s="2">
        <f t="shared" si="0"/>
        <v>407.61139400698812</v>
      </c>
      <c r="K2" s="2">
        <f t="shared" si="0"/>
        <v>462.39460457664478</v>
      </c>
      <c r="L2" s="2">
        <f t="shared" si="0"/>
        <v>517.17781514630144</v>
      </c>
      <c r="M2" s="2">
        <f t="shared" si="0"/>
        <v>571.96102571595816</v>
      </c>
      <c r="N2" s="2">
        <f t="shared" si="0"/>
        <v>626.74423628561487</v>
      </c>
      <c r="O2" s="2">
        <f t="shared" si="0"/>
        <v>681.52744685527159</v>
      </c>
      <c r="P2" s="2">
        <f t="shared" si="0"/>
        <v>736.31065742492831</v>
      </c>
      <c r="Q2" s="2">
        <f t="shared" si="0"/>
        <v>791.09386799458503</v>
      </c>
      <c r="R2" s="2">
        <f t="shared" si="0"/>
        <v>845.87707856424174</v>
      </c>
      <c r="S2" s="2">
        <f t="shared" si="0"/>
        <v>900.66028913389846</v>
      </c>
      <c r="T2" s="2">
        <f t="shared" si="0"/>
        <v>955.44349970355518</v>
      </c>
    </row>
    <row r="3" spans="1:20" x14ac:dyDescent="0.45">
      <c r="A3">
        <v>70.260555548940616</v>
      </c>
      <c r="B3" t="s">
        <v>14</v>
      </c>
      <c r="C3" s="2">
        <f>C2+$E$9</f>
        <v>78.912130589048161</v>
      </c>
      <c r="D3" s="2">
        <f>D2+$E$9</f>
        <v>133.69534115870482</v>
      </c>
      <c r="E3" s="2">
        <f t="shared" ref="E3:T3" si="1">E2+$E$9</f>
        <v>188.47855172836148</v>
      </c>
      <c r="F3" s="2">
        <f t="shared" si="1"/>
        <v>243.26176229801814</v>
      </c>
      <c r="G3" s="2">
        <f t="shared" si="1"/>
        <v>298.0449728676748</v>
      </c>
      <c r="H3" s="2">
        <f t="shared" si="1"/>
        <v>352.82818343733146</v>
      </c>
      <c r="I3" s="2">
        <f t="shared" si="1"/>
        <v>407.61139400698812</v>
      </c>
      <c r="J3" s="2">
        <f t="shared" si="1"/>
        <v>462.39460457664478</v>
      </c>
      <c r="K3" s="2">
        <f t="shared" si="1"/>
        <v>517.17781514630144</v>
      </c>
      <c r="L3" s="2">
        <f t="shared" si="1"/>
        <v>571.96102571595816</v>
      </c>
      <c r="M3" s="2">
        <f t="shared" si="1"/>
        <v>626.74423628561487</v>
      </c>
      <c r="N3" s="2">
        <f t="shared" si="1"/>
        <v>681.52744685527159</v>
      </c>
      <c r="O3" s="2">
        <f t="shared" si="1"/>
        <v>736.31065742492831</v>
      </c>
      <c r="P3" s="2">
        <f t="shared" si="1"/>
        <v>791.09386799458503</v>
      </c>
      <c r="Q3" s="2">
        <f t="shared" si="1"/>
        <v>845.87707856424174</v>
      </c>
      <c r="R3" s="2">
        <f t="shared" si="1"/>
        <v>900.66028913389846</v>
      </c>
      <c r="S3" s="2">
        <f t="shared" si="1"/>
        <v>955.44349970355518</v>
      </c>
      <c r="T3" s="2">
        <f t="shared" si="1"/>
        <v>1010.2267102732119</v>
      </c>
    </row>
    <row r="4" spans="1:20" x14ac:dyDescent="0.45">
      <c r="A4">
        <v>369.86281739777667</v>
      </c>
      <c r="B4" t="s">
        <v>15</v>
      </c>
      <c r="C4">
        <f>COUNTIFS($A:$A, "&gt;="&amp;C2, $A:$A, "&lt;="&amp;C3)</f>
        <v>26</v>
      </c>
      <c r="D4">
        <f t="shared" ref="D4:T4" si="2">COUNTIFS($A:$A, "&gt;="&amp;D2, $A:$A, "&lt;="&amp;D3)</f>
        <v>36</v>
      </c>
      <c r="E4">
        <f t="shared" si="2"/>
        <v>49</v>
      </c>
      <c r="F4">
        <f t="shared" si="2"/>
        <v>39</v>
      </c>
      <c r="G4">
        <f t="shared" si="2"/>
        <v>39</v>
      </c>
      <c r="H4">
        <f t="shared" si="2"/>
        <v>25</v>
      </c>
      <c r="I4">
        <f t="shared" si="2"/>
        <v>18</v>
      </c>
      <c r="J4">
        <f t="shared" si="2"/>
        <v>19</v>
      </c>
      <c r="K4">
        <f t="shared" si="2"/>
        <v>23</v>
      </c>
      <c r="L4">
        <f t="shared" si="2"/>
        <v>8</v>
      </c>
      <c r="M4">
        <f t="shared" si="2"/>
        <v>6</v>
      </c>
      <c r="N4">
        <f t="shared" si="2"/>
        <v>3</v>
      </c>
      <c r="O4">
        <f t="shared" si="2"/>
        <v>3</v>
      </c>
      <c r="P4">
        <f t="shared" si="2"/>
        <v>3</v>
      </c>
      <c r="Q4">
        <f t="shared" si="2"/>
        <v>0</v>
      </c>
      <c r="R4">
        <f t="shared" si="2"/>
        <v>0</v>
      </c>
      <c r="S4">
        <f t="shared" si="2"/>
        <v>1</v>
      </c>
      <c r="T4">
        <f t="shared" si="2"/>
        <v>2</v>
      </c>
    </row>
    <row r="5" spans="1:20" x14ac:dyDescent="0.45">
      <c r="A5">
        <v>332.22945392144737</v>
      </c>
    </row>
    <row r="6" spans="1:20" x14ac:dyDescent="0.45">
      <c r="A6">
        <v>130.66504585089956</v>
      </c>
    </row>
    <row r="7" spans="1:20" x14ac:dyDescent="0.45">
      <c r="A7">
        <v>107.26249292252238</v>
      </c>
    </row>
    <row r="8" spans="1:20" x14ac:dyDescent="0.45">
      <c r="A8">
        <v>304.89436045962498</v>
      </c>
      <c r="C8" s="2">
        <f>MIN(A:A)</f>
        <v>24.128920019391483</v>
      </c>
      <c r="E8" s="2">
        <f>C9-C8</f>
        <v>986.09779025382011</v>
      </c>
    </row>
    <row r="9" spans="1:20" x14ac:dyDescent="0.45">
      <c r="A9">
        <v>220.47323459778454</v>
      </c>
      <c r="C9" s="2">
        <f>MAX(A:A)</f>
        <v>1010.2267102732116</v>
      </c>
      <c r="D9" t="s">
        <v>16</v>
      </c>
      <c r="E9">
        <f>E8/18</f>
        <v>54.783210569656674</v>
      </c>
    </row>
    <row r="10" spans="1:20" x14ac:dyDescent="0.45">
      <c r="A10">
        <v>681.11685365201038</v>
      </c>
    </row>
    <row r="11" spans="1:20" x14ac:dyDescent="0.45">
      <c r="A11">
        <v>254.72990256535178</v>
      </c>
      <c r="C11" t="str">
        <f>ROUND(C2,2) &amp; "; " &amp; ROUND(C3,2)</f>
        <v>24.13; 78.91</v>
      </c>
      <c r="D11" t="str">
        <f t="shared" ref="D11:T11" si="3">ROUND(D2,2) &amp; "; " &amp; ROUND(D3,2)</f>
        <v>78.91; 133.7</v>
      </c>
      <c r="E11" t="str">
        <f t="shared" si="3"/>
        <v>133.7; 188.48</v>
      </c>
      <c r="F11" t="str">
        <f t="shared" si="3"/>
        <v>188.48; 243.26</v>
      </c>
      <c r="G11" t="str">
        <f t="shared" si="3"/>
        <v>243.26; 298.04</v>
      </c>
      <c r="H11" t="str">
        <f t="shared" si="3"/>
        <v>298.04; 352.83</v>
      </c>
      <c r="I11" t="str">
        <f t="shared" si="3"/>
        <v>352.83; 407.61</v>
      </c>
      <c r="J11" t="str">
        <f t="shared" si="3"/>
        <v>407.61; 462.39</v>
      </c>
      <c r="K11" t="str">
        <f t="shared" si="3"/>
        <v>462.39; 517.18</v>
      </c>
      <c r="L11" t="str">
        <f t="shared" si="3"/>
        <v>517.18; 571.96</v>
      </c>
      <c r="M11" t="str">
        <f t="shared" si="3"/>
        <v>571.96; 626.74</v>
      </c>
      <c r="N11" t="str">
        <f t="shared" si="3"/>
        <v>626.74; 681.53</v>
      </c>
      <c r="O11" t="str">
        <f t="shared" si="3"/>
        <v>681.53; 736.31</v>
      </c>
      <c r="P11" t="str">
        <f t="shared" si="3"/>
        <v>736.31; 791.09</v>
      </c>
      <c r="Q11" t="str">
        <f t="shared" si="3"/>
        <v>791.09; 845.88</v>
      </c>
      <c r="R11" t="str">
        <f t="shared" si="3"/>
        <v>845.88; 900.66</v>
      </c>
      <c r="S11" t="str">
        <f t="shared" si="3"/>
        <v>900.66; 955.44</v>
      </c>
      <c r="T11" t="str">
        <f t="shared" si="3"/>
        <v>955.44; 1010.23</v>
      </c>
    </row>
    <row r="12" spans="1:20" x14ac:dyDescent="0.45">
      <c r="A12">
        <v>235.08798478663388</v>
      </c>
      <c r="C12">
        <v>26</v>
      </c>
      <c r="D12">
        <v>36</v>
      </c>
      <c r="E12">
        <v>49</v>
      </c>
      <c r="F12">
        <v>39</v>
      </c>
      <c r="G12">
        <v>39</v>
      </c>
      <c r="H12">
        <v>25</v>
      </c>
      <c r="I12">
        <v>18</v>
      </c>
      <c r="J12">
        <v>19</v>
      </c>
      <c r="K12">
        <v>23</v>
      </c>
      <c r="L12">
        <v>8</v>
      </c>
      <c r="M12">
        <v>6</v>
      </c>
      <c r="N12">
        <v>3</v>
      </c>
      <c r="O12">
        <v>3</v>
      </c>
      <c r="P12">
        <v>3</v>
      </c>
      <c r="Q12">
        <v>0</v>
      </c>
      <c r="R12">
        <v>0</v>
      </c>
      <c r="S12">
        <v>1</v>
      </c>
      <c r="T12">
        <v>2</v>
      </c>
    </row>
    <row r="13" spans="1:20" x14ac:dyDescent="0.45">
      <c r="A13">
        <v>121.42862981203696</v>
      </c>
    </row>
    <row r="14" spans="1:20" x14ac:dyDescent="0.45">
      <c r="A14">
        <v>105.02894169849054</v>
      </c>
    </row>
    <row r="15" spans="1:20" x14ac:dyDescent="0.45">
      <c r="A15">
        <v>443.57479891176058</v>
      </c>
    </row>
    <row r="16" spans="1:20" x14ac:dyDescent="0.45">
      <c r="A16">
        <v>267.03746963636996</v>
      </c>
    </row>
    <row r="17" spans="1:1" x14ac:dyDescent="0.45">
      <c r="A17">
        <v>401.70769464597328</v>
      </c>
    </row>
    <row r="18" spans="1:1" x14ac:dyDescent="0.45">
      <c r="A18">
        <v>59.379924321729256</v>
      </c>
    </row>
    <row r="19" spans="1:1" x14ac:dyDescent="0.45">
      <c r="A19">
        <v>774.96763544059399</v>
      </c>
    </row>
    <row r="20" spans="1:1" x14ac:dyDescent="0.45">
      <c r="A20">
        <v>169.47108847850711</v>
      </c>
    </row>
    <row r="21" spans="1:1" x14ac:dyDescent="0.45">
      <c r="A21">
        <v>615.23664584887263</v>
      </c>
    </row>
    <row r="22" spans="1:1" x14ac:dyDescent="0.45">
      <c r="A22">
        <v>80.798660467993969</v>
      </c>
    </row>
    <row r="23" spans="1:1" x14ac:dyDescent="0.45">
      <c r="A23">
        <v>368.01975475886582</v>
      </c>
    </row>
    <row r="24" spans="1:1" x14ac:dyDescent="0.45">
      <c r="A24">
        <v>259.37419471341775</v>
      </c>
    </row>
    <row r="25" spans="1:1" x14ac:dyDescent="0.45">
      <c r="A25">
        <v>164.98614481728714</v>
      </c>
    </row>
    <row r="26" spans="1:1" x14ac:dyDescent="0.45">
      <c r="A26">
        <v>326.93468592479508</v>
      </c>
    </row>
    <row r="27" spans="1:1" x14ac:dyDescent="0.45">
      <c r="A27">
        <v>594.28891545738736</v>
      </c>
    </row>
    <row r="28" spans="1:1" x14ac:dyDescent="0.45">
      <c r="A28">
        <v>67.642177200888</v>
      </c>
    </row>
    <row r="29" spans="1:1" x14ac:dyDescent="0.45">
      <c r="A29">
        <v>327.53880603093648</v>
      </c>
    </row>
    <row r="30" spans="1:1" x14ac:dyDescent="0.45">
      <c r="A30">
        <v>244.11185637314551</v>
      </c>
    </row>
    <row r="31" spans="1:1" x14ac:dyDescent="0.45">
      <c r="A31">
        <v>341.49190856028713</v>
      </c>
    </row>
    <row r="32" spans="1:1" x14ac:dyDescent="0.45">
      <c r="A32">
        <v>245.6669964273672</v>
      </c>
    </row>
    <row r="33" spans="1:21" x14ac:dyDescent="0.45">
      <c r="A33">
        <v>90.522743756656411</v>
      </c>
    </row>
    <row r="34" spans="1:21" x14ac:dyDescent="0.45">
      <c r="A34">
        <v>372.04227444802433</v>
      </c>
      <c r="P34" t="s">
        <v>17</v>
      </c>
    </row>
    <row r="35" spans="1:21" x14ac:dyDescent="0.45">
      <c r="A35">
        <v>234.50838155808407</v>
      </c>
    </row>
    <row r="36" spans="1:21" x14ac:dyDescent="0.45">
      <c r="A36">
        <v>271.38612176538788</v>
      </c>
    </row>
    <row r="37" spans="1:21" x14ac:dyDescent="0.45">
      <c r="A37">
        <v>276.61619037549502</v>
      </c>
    </row>
    <row r="38" spans="1:21" x14ac:dyDescent="0.45">
      <c r="A38">
        <v>305.02362963278551</v>
      </c>
      <c r="C38">
        <v>24.128920019391483</v>
      </c>
      <c r="D38">
        <v>78.912130589048161</v>
      </c>
      <c r="E38">
        <v>133.69534115870482</v>
      </c>
      <c r="F38">
        <v>188.47855172836148</v>
      </c>
      <c r="G38">
        <v>243.26176229801814</v>
      </c>
      <c r="H38">
        <v>298.0449728676748</v>
      </c>
      <c r="I38">
        <v>352.82818343733146</v>
      </c>
      <c r="J38">
        <v>407.61139400698812</v>
      </c>
      <c r="K38">
        <v>462.39460457664478</v>
      </c>
      <c r="L38">
        <v>517.17781514630144</v>
      </c>
      <c r="M38">
        <v>571.96102571595816</v>
      </c>
      <c r="N38">
        <v>626.74423628561487</v>
      </c>
      <c r="O38">
        <v>681.52744685527159</v>
      </c>
      <c r="P38">
        <v>736.31065742492831</v>
      </c>
      <c r="Q38">
        <v>791.09386799458503</v>
      </c>
      <c r="R38">
        <v>845.87707856424174</v>
      </c>
      <c r="S38">
        <v>900.66028913389846</v>
      </c>
      <c r="T38">
        <v>955.44349970355518</v>
      </c>
      <c r="U38">
        <v>1010.2267102732119</v>
      </c>
    </row>
    <row r="39" spans="1:21" x14ac:dyDescent="0.45">
      <c r="A39">
        <v>132.36814076666116</v>
      </c>
      <c r="C39">
        <f>(POWER(0.00944,2.6099)*C38^(2.6099-1)*EXP(-0.00944*C38))/FACT(2.6099-1)</f>
        <v>6.945521352187151E-4</v>
      </c>
      <c r="D39">
        <f t="shared" ref="D39:U39" si="4">(POWER(0.00944,2.6099)*D38^(2.6099-1)*EXP(-0.00944*D38))/FACT(2.6099-1)</f>
        <v>2.7897928121633784E-3</v>
      </c>
      <c r="E39">
        <f t="shared" si="4"/>
        <v>3.88685080974913E-3</v>
      </c>
      <c r="F39">
        <f t="shared" si="4"/>
        <v>4.0281956685508579E-3</v>
      </c>
      <c r="G39">
        <f t="shared" si="4"/>
        <v>3.6216772211380161E-3</v>
      </c>
      <c r="H39">
        <f t="shared" si="4"/>
        <v>2.9944620213159089E-3</v>
      </c>
      <c r="I39">
        <f t="shared" si="4"/>
        <v>2.3425977913182016E-3</v>
      </c>
      <c r="J39">
        <f t="shared" si="4"/>
        <v>1.7620338675948585E-3</v>
      </c>
      <c r="K39">
        <f t="shared" si="4"/>
        <v>1.2870215911068997E-3</v>
      </c>
      <c r="L39">
        <f t="shared" si="4"/>
        <v>9.1891159865253619E-4</v>
      </c>
      <c r="M39">
        <f t="shared" si="4"/>
        <v>6.4427635076609667E-4</v>
      </c>
      <c r="N39">
        <f t="shared" si="4"/>
        <v>4.4506844274601906E-4</v>
      </c>
      <c r="O39">
        <f t="shared" si="4"/>
        <v>3.0368195115987843E-4</v>
      </c>
      <c r="P39">
        <f t="shared" si="4"/>
        <v>2.0505901331708634E-4</v>
      </c>
      <c r="Q39">
        <f t="shared" si="4"/>
        <v>1.3723269490370941E-4</v>
      </c>
      <c r="R39">
        <f t="shared" si="4"/>
        <v>9.1132932052038584E-5</v>
      </c>
      <c r="S39">
        <f t="shared" si="4"/>
        <v>6.0111041621564554E-5</v>
      </c>
      <c r="T39">
        <f t="shared" si="4"/>
        <v>3.9413191816507512E-5</v>
      </c>
      <c r="U39">
        <f t="shared" si="4"/>
        <v>2.5705529153013902E-5</v>
      </c>
    </row>
    <row r="40" spans="1:21" x14ac:dyDescent="0.45">
      <c r="A40">
        <v>315.68165521645199</v>
      </c>
    </row>
    <row r="41" spans="1:21" x14ac:dyDescent="0.45">
      <c r="A41">
        <v>190.90805625163031</v>
      </c>
    </row>
    <row r="42" spans="1:21" x14ac:dyDescent="0.45">
      <c r="A42">
        <v>169.49679909189314</v>
      </c>
    </row>
    <row r="43" spans="1:21" x14ac:dyDescent="0.45">
      <c r="A43">
        <v>387.44212866851188</v>
      </c>
    </row>
    <row r="44" spans="1:21" x14ac:dyDescent="0.45">
      <c r="A44">
        <v>482.23771912995119</v>
      </c>
    </row>
    <row r="45" spans="1:21" x14ac:dyDescent="0.45">
      <c r="A45">
        <v>169.89721429943333</v>
      </c>
    </row>
    <row r="46" spans="1:21" x14ac:dyDescent="0.45">
      <c r="A46">
        <v>169.24970694165125</v>
      </c>
    </row>
    <row r="47" spans="1:21" x14ac:dyDescent="0.45">
      <c r="A47">
        <v>157.80896181471908</v>
      </c>
    </row>
    <row r="48" spans="1:21" x14ac:dyDescent="0.45">
      <c r="A48">
        <v>234.48900683505167</v>
      </c>
    </row>
    <row r="49" spans="1:1" x14ac:dyDescent="0.45">
      <c r="A49">
        <v>223.62841557033812</v>
      </c>
    </row>
    <row r="50" spans="1:1" x14ac:dyDescent="0.45">
      <c r="A50">
        <v>144.59081370771773</v>
      </c>
    </row>
    <row r="51" spans="1:1" x14ac:dyDescent="0.45">
      <c r="A51">
        <v>538.7878849706276</v>
      </c>
    </row>
    <row r="52" spans="1:1" x14ac:dyDescent="0.45">
      <c r="A52">
        <v>268.51540072322712</v>
      </c>
    </row>
    <row r="53" spans="1:1" x14ac:dyDescent="0.45">
      <c r="A53">
        <v>486.36609639678198</v>
      </c>
    </row>
    <row r="54" spans="1:1" x14ac:dyDescent="0.45">
      <c r="A54">
        <v>280.20437326630719</v>
      </c>
    </row>
    <row r="55" spans="1:1" x14ac:dyDescent="0.45">
      <c r="A55">
        <v>467.16073967148657</v>
      </c>
    </row>
    <row r="56" spans="1:1" x14ac:dyDescent="0.45">
      <c r="A56">
        <v>163.15559400539996</v>
      </c>
    </row>
    <row r="57" spans="1:1" x14ac:dyDescent="0.45">
      <c r="A57">
        <v>504.13069662243396</v>
      </c>
    </row>
    <row r="58" spans="1:1" x14ac:dyDescent="0.45">
      <c r="A58">
        <v>434.01183362842283</v>
      </c>
    </row>
    <row r="59" spans="1:1" x14ac:dyDescent="0.45">
      <c r="A59">
        <v>488.99389597185382</v>
      </c>
    </row>
    <row r="60" spans="1:1" x14ac:dyDescent="0.45">
      <c r="A60">
        <v>166.78355523008983</v>
      </c>
    </row>
    <row r="61" spans="1:1" x14ac:dyDescent="0.45">
      <c r="A61">
        <v>52.658388575742862</v>
      </c>
    </row>
    <row r="62" spans="1:1" x14ac:dyDescent="0.45">
      <c r="A62">
        <v>173.16219460145086</v>
      </c>
    </row>
    <row r="63" spans="1:1" x14ac:dyDescent="0.45">
      <c r="A63">
        <v>252.11587739497912</v>
      </c>
    </row>
    <row r="64" spans="1:1" x14ac:dyDescent="0.45">
      <c r="A64">
        <v>441.64480091025371</v>
      </c>
    </row>
    <row r="65" spans="1:1" x14ac:dyDescent="0.45">
      <c r="A65">
        <v>47.848498048560792</v>
      </c>
    </row>
    <row r="66" spans="1:1" x14ac:dyDescent="0.45">
      <c r="A66">
        <v>144.80469715405297</v>
      </c>
    </row>
    <row r="67" spans="1:1" x14ac:dyDescent="0.45">
      <c r="A67">
        <v>59.869896269984665</v>
      </c>
    </row>
    <row r="68" spans="1:1" x14ac:dyDescent="0.45">
      <c r="A68">
        <v>335.82089896048655</v>
      </c>
    </row>
    <row r="69" spans="1:1" x14ac:dyDescent="0.45">
      <c r="A69">
        <v>473.80666636238794</v>
      </c>
    </row>
    <row r="70" spans="1:1" x14ac:dyDescent="0.45">
      <c r="A70">
        <v>297.27969468721159</v>
      </c>
    </row>
    <row r="71" spans="1:1" x14ac:dyDescent="0.45">
      <c r="A71">
        <v>98.255300531989789</v>
      </c>
    </row>
    <row r="72" spans="1:1" x14ac:dyDescent="0.45">
      <c r="A72">
        <v>518.62926994183226</v>
      </c>
    </row>
    <row r="73" spans="1:1" x14ac:dyDescent="0.45">
      <c r="A73">
        <v>93.97636635450155</v>
      </c>
    </row>
    <row r="74" spans="1:1" x14ac:dyDescent="0.45">
      <c r="A74">
        <v>142.43278079553824</v>
      </c>
    </row>
    <row r="75" spans="1:1" x14ac:dyDescent="0.45">
      <c r="A75">
        <v>455.82920256252265</v>
      </c>
    </row>
    <row r="76" spans="1:1" x14ac:dyDescent="0.45">
      <c r="A76">
        <v>596.23910759302396</v>
      </c>
    </row>
    <row r="77" spans="1:1" x14ac:dyDescent="0.45">
      <c r="A77">
        <v>295.96022618973575</v>
      </c>
    </row>
    <row r="78" spans="1:1" x14ac:dyDescent="0.45">
      <c r="A78">
        <v>67.942553282927193</v>
      </c>
    </row>
    <row r="79" spans="1:1" x14ac:dyDescent="0.45">
      <c r="A79">
        <v>96.558471319182118</v>
      </c>
    </row>
    <row r="80" spans="1:1" x14ac:dyDescent="0.45">
      <c r="A80">
        <v>343.86748024853443</v>
      </c>
    </row>
    <row r="81" spans="1:1" x14ac:dyDescent="0.45">
      <c r="A81">
        <v>281.18845620463583</v>
      </c>
    </row>
    <row r="82" spans="1:1" x14ac:dyDescent="0.45">
      <c r="A82">
        <v>917.4372022271923</v>
      </c>
    </row>
    <row r="83" spans="1:1" x14ac:dyDescent="0.45">
      <c r="A83">
        <v>262.43180773473506</v>
      </c>
    </row>
    <row r="84" spans="1:1" x14ac:dyDescent="0.45">
      <c r="A84">
        <v>524.45340443223631</v>
      </c>
    </row>
    <row r="85" spans="1:1" x14ac:dyDescent="0.45">
      <c r="A85">
        <v>134.02595032352656</v>
      </c>
    </row>
    <row r="86" spans="1:1" x14ac:dyDescent="0.45">
      <c r="A86">
        <v>396.88023212302858</v>
      </c>
    </row>
    <row r="87" spans="1:1" x14ac:dyDescent="0.45">
      <c r="A87">
        <v>141.09243653739904</v>
      </c>
    </row>
    <row r="88" spans="1:1" x14ac:dyDescent="0.45">
      <c r="A88">
        <v>218.46556492072142</v>
      </c>
    </row>
    <row r="89" spans="1:1" x14ac:dyDescent="0.45">
      <c r="A89">
        <v>44.628549494627542</v>
      </c>
    </row>
    <row r="90" spans="1:1" x14ac:dyDescent="0.45">
      <c r="A90">
        <v>71.435914829738323</v>
      </c>
    </row>
    <row r="91" spans="1:1" x14ac:dyDescent="0.45">
      <c r="A91">
        <v>76.092501582313901</v>
      </c>
    </row>
    <row r="92" spans="1:1" x14ac:dyDescent="0.45">
      <c r="A92">
        <v>228.21227440928192</v>
      </c>
    </row>
    <row r="93" spans="1:1" x14ac:dyDescent="0.45">
      <c r="A93">
        <v>164.19817093997014</v>
      </c>
    </row>
    <row r="94" spans="1:1" x14ac:dyDescent="0.45">
      <c r="A94">
        <v>386.67439941582165</v>
      </c>
    </row>
    <row r="95" spans="1:1" x14ac:dyDescent="0.45">
      <c r="A95">
        <v>227.77808120394292</v>
      </c>
    </row>
    <row r="96" spans="1:1" x14ac:dyDescent="0.45">
      <c r="A96">
        <v>90.238303630962534</v>
      </c>
    </row>
    <row r="97" spans="1:1" x14ac:dyDescent="0.45">
      <c r="A97">
        <v>49.362781749031946</v>
      </c>
    </row>
    <row r="98" spans="1:1" x14ac:dyDescent="0.45">
      <c r="A98">
        <v>174.2857724255922</v>
      </c>
    </row>
    <row r="99" spans="1:1" x14ac:dyDescent="0.45">
      <c r="A99">
        <v>67.204182385311015</v>
      </c>
    </row>
    <row r="100" spans="1:1" x14ac:dyDescent="0.45">
      <c r="A100">
        <v>321.74950872972528</v>
      </c>
    </row>
    <row r="101" spans="1:1" x14ac:dyDescent="0.45">
      <c r="A101">
        <v>206.96341547082537</v>
      </c>
    </row>
    <row r="102" spans="1:1" x14ac:dyDescent="0.45">
      <c r="A102">
        <v>475.33281283571608</v>
      </c>
    </row>
    <row r="103" spans="1:1" x14ac:dyDescent="0.45">
      <c r="A103">
        <v>562.61973907776724</v>
      </c>
    </row>
    <row r="104" spans="1:1" x14ac:dyDescent="0.45">
      <c r="A104">
        <v>135.43318257134754</v>
      </c>
    </row>
    <row r="105" spans="1:1" x14ac:dyDescent="0.45">
      <c r="A105">
        <v>502.17393063270958</v>
      </c>
    </row>
    <row r="106" spans="1:1" x14ac:dyDescent="0.45">
      <c r="A106">
        <v>70.947422021638545</v>
      </c>
    </row>
    <row r="107" spans="1:1" x14ac:dyDescent="0.45">
      <c r="A107">
        <v>318.11069672121238</v>
      </c>
    </row>
    <row r="108" spans="1:1" x14ac:dyDescent="0.45">
      <c r="A108">
        <v>345.46758011275131</v>
      </c>
    </row>
    <row r="109" spans="1:1" x14ac:dyDescent="0.45">
      <c r="A109">
        <v>482.09133774798386</v>
      </c>
    </row>
    <row r="110" spans="1:1" x14ac:dyDescent="0.45">
      <c r="A110">
        <v>383.75946144376746</v>
      </c>
    </row>
    <row r="111" spans="1:1" x14ac:dyDescent="0.45">
      <c r="A111">
        <v>263.58608042492097</v>
      </c>
    </row>
    <row r="112" spans="1:1" x14ac:dyDescent="0.45">
      <c r="A112">
        <v>179.10529315348955</v>
      </c>
    </row>
    <row r="113" spans="1:1" x14ac:dyDescent="0.45">
      <c r="A113">
        <v>88.938903663500952</v>
      </c>
    </row>
    <row r="114" spans="1:1" x14ac:dyDescent="0.45">
      <c r="A114">
        <v>202.1412280198237</v>
      </c>
    </row>
    <row r="115" spans="1:1" x14ac:dyDescent="0.45">
      <c r="A115">
        <v>431.31516352368709</v>
      </c>
    </row>
    <row r="116" spans="1:1" x14ac:dyDescent="0.45">
      <c r="A116">
        <v>112.53526346467414</v>
      </c>
    </row>
    <row r="117" spans="1:1" x14ac:dyDescent="0.45">
      <c r="A117">
        <v>156.81447719544678</v>
      </c>
    </row>
    <row r="118" spans="1:1" x14ac:dyDescent="0.45">
      <c r="A118">
        <v>179.70715529775978</v>
      </c>
    </row>
    <row r="119" spans="1:1" x14ac:dyDescent="0.45">
      <c r="A119">
        <v>152.37778879923559</v>
      </c>
    </row>
    <row r="120" spans="1:1" x14ac:dyDescent="0.45">
      <c r="A120">
        <v>142.76274535358621</v>
      </c>
    </row>
    <row r="121" spans="1:1" x14ac:dyDescent="0.45">
      <c r="A121">
        <v>42.91935684307812</v>
      </c>
    </row>
    <row r="122" spans="1:1" x14ac:dyDescent="0.45">
      <c r="A122">
        <v>311.44277532247179</v>
      </c>
    </row>
    <row r="123" spans="1:1" x14ac:dyDescent="0.45">
      <c r="A123">
        <v>85.436024999419658</v>
      </c>
    </row>
    <row r="124" spans="1:1" x14ac:dyDescent="0.45">
      <c r="A124">
        <v>218.979935251662</v>
      </c>
    </row>
    <row r="125" spans="1:1" x14ac:dyDescent="0.45">
      <c r="A125">
        <v>524.79584450048492</v>
      </c>
    </row>
    <row r="126" spans="1:1" x14ac:dyDescent="0.45">
      <c r="A126">
        <v>462.71371241146039</v>
      </c>
    </row>
    <row r="127" spans="1:1" x14ac:dyDescent="0.45">
      <c r="A127">
        <v>265.78547028910907</v>
      </c>
    </row>
    <row r="128" spans="1:1" x14ac:dyDescent="0.45">
      <c r="A128">
        <v>119.38835250673448</v>
      </c>
    </row>
    <row r="129" spans="1:1" x14ac:dyDescent="0.45">
      <c r="A129">
        <v>135.71558325092766</v>
      </c>
    </row>
    <row r="130" spans="1:1" x14ac:dyDescent="0.45">
      <c r="A130">
        <v>284.15695997124516</v>
      </c>
    </row>
    <row r="131" spans="1:1" x14ac:dyDescent="0.45">
      <c r="A131">
        <v>454.66531258920463</v>
      </c>
    </row>
    <row r="132" spans="1:1" x14ac:dyDescent="0.45">
      <c r="A132">
        <v>275.78945460876781</v>
      </c>
    </row>
    <row r="133" spans="1:1" x14ac:dyDescent="0.45">
      <c r="A133">
        <v>92.487468892436027</v>
      </c>
    </row>
    <row r="134" spans="1:1" x14ac:dyDescent="0.45">
      <c r="A134">
        <v>265.17450290722093</v>
      </c>
    </row>
    <row r="135" spans="1:1" x14ac:dyDescent="0.45">
      <c r="A135">
        <v>307.62602749770878</v>
      </c>
    </row>
    <row r="136" spans="1:1" x14ac:dyDescent="0.45">
      <c r="A136">
        <v>371.48766362664111</v>
      </c>
    </row>
    <row r="137" spans="1:1" x14ac:dyDescent="0.45">
      <c r="A137">
        <v>198.76256055552781</v>
      </c>
    </row>
    <row r="138" spans="1:1" x14ac:dyDescent="0.45">
      <c r="A138">
        <v>86.968485433386348</v>
      </c>
    </row>
    <row r="139" spans="1:1" x14ac:dyDescent="0.45">
      <c r="A139">
        <v>296.4778687331397</v>
      </c>
    </row>
    <row r="140" spans="1:1" x14ac:dyDescent="0.45">
      <c r="A140">
        <v>175.11163497781669</v>
      </c>
    </row>
    <row r="141" spans="1:1" x14ac:dyDescent="0.45">
      <c r="A141">
        <v>195.5394036311836</v>
      </c>
    </row>
    <row r="142" spans="1:1" x14ac:dyDescent="0.45">
      <c r="A142">
        <v>773.62442485022143</v>
      </c>
    </row>
    <row r="143" spans="1:1" x14ac:dyDescent="0.45">
      <c r="A143">
        <v>963.91192404331218</v>
      </c>
    </row>
    <row r="144" spans="1:1" x14ac:dyDescent="0.45">
      <c r="A144">
        <v>470.07735964383585</v>
      </c>
    </row>
    <row r="145" spans="1:1" x14ac:dyDescent="0.45">
      <c r="A145">
        <v>58.666798039845595</v>
      </c>
    </row>
    <row r="146" spans="1:1" x14ac:dyDescent="0.45">
      <c r="A146">
        <v>286.58976380434297</v>
      </c>
    </row>
    <row r="147" spans="1:1" x14ac:dyDescent="0.45">
      <c r="A147">
        <v>206.34793947422529</v>
      </c>
    </row>
    <row r="148" spans="1:1" x14ac:dyDescent="0.45">
      <c r="A148">
        <v>304.27088457688751</v>
      </c>
    </row>
    <row r="149" spans="1:1" x14ac:dyDescent="0.45">
      <c r="A149">
        <v>104.26280419099015</v>
      </c>
    </row>
    <row r="150" spans="1:1" x14ac:dyDescent="0.45">
      <c r="A150">
        <v>41.987405013056787</v>
      </c>
    </row>
    <row r="151" spans="1:1" x14ac:dyDescent="0.45">
      <c r="A151">
        <v>283.1327490709441</v>
      </c>
    </row>
    <row r="152" spans="1:1" x14ac:dyDescent="0.45">
      <c r="A152">
        <v>132.85573066642723</v>
      </c>
    </row>
    <row r="153" spans="1:1" x14ac:dyDescent="0.45">
      <c r="A153">
        <v>249.47330187908724</v>
      </c>
    </row>
    <row r="154" spans="1:1" x14ac:dyDescent="0.45">
      <c r="A154">
        <v>258.11916421926173</v>
      </c>
    </row>
    <row r="155" spans="1:1" x14ac:dyDescent="0.45">
      <c r="A155">
        <v>544.83169816681391</v>
      </c>
    </row>
    <row r="156" spans="1:1" x14ac:dyDescent="0.45">
      <c r="A156">
        <v>427.3316189693366</v>
      </c>
    </row>
    <row r="157" spans="1:1" x14ac:dyDescent="0.45">
      <c r="A157">
        <v>111.21298400891638</v>
      </c>
    </row>
    <row r="158" spans="1:1" x14ac:dyDescent="0.45">
      <c r="A158">
        <v>516.60930724462185</v>
      </c>
    </row>
    <row r="159" spans="1:1" x14ac:dyDescent="0.45">
      <c r="A159">
        <v>422.49552308820171</v>
      </c>
    </row>
    <row r="160" spans="1:1" x14ac:dyDescent="0.45">
      <c r="A160">
        <v>64.449753103583717</v>
      </c>
    </row>
    <row r="161" spans="1:1" x14ac:dyDescent="0.45">
      <c r="A161">
        <v>330.64674018688521</v>
      </c>
    </row>
    <row r="162" spans="1:1" x14ac:dyDescent="0.45">
      <c r="A162">
        <v>225.75968930738185</v>
      </c>
    </row>
    <row r="163" spans="1:1" x14ac:dyDescent="0.45">
      <c r="A163">
        <v>464.29149854897616</v>
      </c>
    </row>
    <row r="164" spans="1:1" x14ac:dyDescent="0.45">
      <c r="A164">
        <v>448.35954772690258</v>
      </c>
    </row>
    <row r="165" spans="1:1" x14ac:dyDescent="0.45">
      <c r="A165">
        <v>82.518026953077907</v>
      </c>
    </row>
    <row r="166" spans="1:1" x14ac:dyDescent="0.45">
      <c r="A166">
        <v>324.72883545157691</v>
      </c>
    </row>
    <row r="167" spans="1:1" x14ac:dyDescent="0.45">
      <c r="A167">
        <v>493.69109607150557</v>
      </c>
    </row>
    <row r="168" spans="1:1" x14ac:dyDescent="0.45">
      <c r="A168">
        <v>80.529610511574333</v>
      </c>
    </row>
    <row r="169" spans="1:1" x14ac:dyDescent="0.45">
      <c r="A169">
        <v>335.89937217365878</v>
      </c>
    </row>
    <row r="170" spans="1:1" x14ac:dyDescent="0.45">
      <c r="A170">
        <v>204.55976274179119</v>
      </c>
    </row>
    <row r="171" spans="1:1" x14ac:dyDescent="0.45">
      <c r="A171">
        <v>78.325475383001191</v>
      </c>
    </row>
    <row r="172" spans="1:1" x14ac:dyDescent="0.45">
      <c r="A172">
        <v>356.27238143444515</v>
      </c>
    </row>
    <row r="173" spans="1:1" x14ac:dyDescent="0.45">
      <c r="A173">
        <v>395.48589754866902</v>
      </c>
    </row>
    <row r="174" spans="1:1" x14ac:dyDescent="0.45">
      <c r="A174">
        <v>294.97635750957465</v>
      </c>
    </row>
    <row r="175" spans="1:1" x14ac:dyDescent="0.45">
      <c r="A175">
        <v>231.62224838345102</v>
      </c>
    </row>
    <row r="176" spans="1:1" x14ac:dyDescent="0.45">
      <c r="A176">
        <v>103.57061510226495</v>
      </c>
    </row>
    <row r="177" spans="1:1" x14ac:dyDescent="0.45">
      <c r="A177">
        <v>184.14259733673293</v>
      </c>
    </row>
    <row r="178" spans="1:1" x14ac:dyDescent="0.45">
      <c r="A178">
        <v>507.88319238193316</v>
      </c>
    </row>
    <row r="179" spans="1:1" x14ac:dyDescent="0.45">
      <c r="A179">
        <v>279.1971619750118</v>
      </c>
    </row>
    <row r="180" spans="1:1" x14ac:dyDescent="0.45">
      <c r="A180">
        <v>576.58009754434784</v>
      </c>
    </row>
    <row r="181" spans="1:1" x14ac:dyDescent="0.45">
      <c r="A181">
        <v>365.02436945535311</v>
      </c>
    </row>
    <row r="182" spans="1:1" x14ac:dyDescent="0.45">
      <c r="A182">
        <v>219.75800015658763</v>
      </c>
    </row>
    <row r="183" spans="1:1" x14ac:dyDescent="0.45">
      <c r="A183">
        <v>59.440039871478987</v>
      </c>
    </row>
    <row r="184" spans="1:1" x14ac:dyDescent="0.45">
      <c r="A184">
        <v>237.5606331091339</v>
      </c>
    </row>
    <row r="185" spans="1:1" x14ac:dyDescent="0.45">
      <c r="A185">
        <v>270.07299172374866</v>
      </c>
    </row>
    <row r="186" spans="1:1" x14ac:dyDescent="0.45">
      <c r="A186">
        <v>143.14884956100119</v>
      </c>
    </row>
    <row r="187" spans="1:1" x14ac:dyDescent="0.45">
      <c r="A187">
        <v>206.76645885639016</v>
      </c>
    </row>
    <row r="188" spans="1:1" x14ac:dyDescent="0.45">
      <c r="A188">
        <v>386.94903008010562</v>
      </c>
    </row>
    <row r="189" spans="1:1" x14ac:dyDescent="0.45">
      <c r="A189">
        <v>357.61336637106939</v>
      </c>
    </row>
    <row r="190" spans="1:1" x14ac:dyDescent="0.45">
      <c r="A190">
        <v>171.95968111762033</v>
      </c>
    </row>
    <row r="191" spans="1:1" x14ac:dyDescent="0.45">
      <c r="A191">
        <v>430.30290295743788</v>
      </c>
    </row>
    <row r="192" spans="1:1" x14ac:dyDescent="0.45">
      <c r="A192">
        <v>71.478945642640696</v>
      </c>
    </row>
    <row r="193" spans="1:1" x14ac:dyDescent="0.45">
      <c r="A193">
        <v>440.99713593209384</v>
      </c>
    </row>
    <row r="194" spans="1:1" x14ac:dyDescent="0.45">
      <c r="A194">
        <v>122.41692606926023</v>
      </c>
    </row>
    <row r="195" spans="1:1" x14ac:dyDescent="0.45">
      <c r="A195">
        <v>374.76849837459224</v>
      </c>
    </row>
    <row r="196" spans="1:1" x14ac:dyDescent="0.45">
      <c r="A196">
        <v>496.32009415987784</v>
      </c>
    </row>
    <row r="197" spans="1:1" x14ac:dyDescent="0.45">
      <c r="A197">
        <v>419.42535315511856</v>
      </c>
    </row>
    <row r="198" spans="1:1" x14ac:dyDescent="0.45">
      <c r="A198">
        <v>426.42870198813068</v>
      </c>
    </row>
    <row r="199" spans="1:1" x14ac:dyDescent="0.45">
      <c r="A199">
        <v>692.93494021757647</v>
      </c>
    </row>
    <row r="200" spans="1:1" x14ac:dyDescent="0.45">
      <c r="A200">
        <v>364.09253924617246</v>
      </c>
    </row>
    <row r="201" spans="1:1" x14ac:dyDescent="0.45">
      <c r="A201">
        <v>69.373345714430258</v>
      </c>
    </row>
    <row r="202" spans="1:1" x14ac:dyDescent="0.45">
      <c r="A202">
        <v>645.48627618446812</v>
      </c>
    </row>
    <row r="203" spans="1:1" x14ac:dyDescent="0.45">
      <c r="A203">
        <v>253.37067071593762</v>
      </c>
    </row>
    <row r="204" spans="1:1" x14ac:dyDescent="0.45">
      <c r="A204">
        <v>159.83440011729931</v>
      </c>
    </row>
    <row r="205" spans="1:1" x14ac:dyDescent="0.45">
      <c r="A205">
        <v>209.3916405160374</v>
      </c>
    </row>
    <row r="206" spans="1:1" x14ac:dyDescent="0.45">
      <c r="A206">
        <v>143.80990872984322</v>
      </c>
    </row>
    <row r="207" spans="1:1" x14ac:dyDescent="0.45">
      <c r="A207">
        <v>514.21173408566551</v>
      </c>
    </row>
    <row r="208" spans="1:1" x14ac:dyDescent="0.45">
      <c r="A208">
        <v>499.73708813840176</v>
      </c>
    </row>
    <row r="209" spans="1:1" x14ac:dyDescent="0.45">
      <c r="A209">
        <v>159.37317907293269</v>
      </c>
    </row>
    <row r="210" spans="1:1" x14ac:dyDescent="0.45">
      <c r="A210">
        <v>427.01641020644593</v>
      </c>
    </row>
    <row r="211" spans="1:1" x14ac:dyDescent="0.45">
      <c r="A211">
        <v>482.07155106892395</v>
      </c>
    </row>
    <row r="212" spans="1:1" x14ac:dyDescent="0.45">
      <c r="A212">
        <v>184.32682850765244</v>
      </c>
    </row>
    <row r="213" spans="1:1" x14ac:dyDescent="0.45">
      <c r="A213">
        <v>78.411389255675999</v>
      </c>
    </row>
    <row r="214" spans="1:1" x14ac:dyDescent="0.45">
      <c r="A214">
        <v>190.06879674926037</v>
      </c>
    </row>
    <row r="215" spans="1:1" x14ac:dyDescent="0.45">
      <c r="A215">
        <v>305.8019288501377</v>
      </c>
    </row>
    <row r="216" spans="1:1" x14ac:dyDescent="0.45">
      <c r="A216">
        <v>303.2634441342509</v>
      </c>
    </row>
    <row r="217" spans="1:1" x14ac:dyDescent="0.45">
      <c r="A217">
        <v>110.9153256499812</v>
      </c>
    </row>
    <row r="218" spans="1:1" x14ac:dyDescent="0.45">
      <c r="A218">
        <v>202.89789919264857</v>
      </c>
    </row>
    <row r="219" spans="1:1" x14ac:dyDescent="0.45">
      <c r="A219">
        <v>620.96824470108152</v>
      </c>
    </row>
    <row r="220" spans="1:1" x14ac:dyDescent="0.45">
      <c r="A220">
        <v>306.65779932290599</v>
      </c>
    </row>
    <row r="221" spans="1:1" x14ac:dyDescent="0.45">
      <c r="A221">
        <v>191.72359186815848</v>
      </c>
    </row>
    <row r="222" spans="1:1" x14ac:dyDescent="0.45">
      <c r="A222">
        <v>167.52719961827262</v>
      </c>
    </row>
    <row r="223" spans="1:1" x14ac:dyDescent="0.45">
      <c r="A223">
        <v>245.56619742881239</v>
      </c>
    </row>
    <row r="224" spans="1:1" x14ac:dyDescent="0.45">
      <c r="A224">
        <v>572.0367146050678</v>
      </c>
    </row>
    <row r="225" spans="1:1" x14ac:dyDescent="0.45">
      <c r="A225">
        <v>316.15556591700806</v>
      </c>
    </row>
    <row r="226" spans="1:1" x14ac:dyDescent="0.45">
      <c r="A226">
        <v>475.40602629370846</v>
      </c>
    </row>
    <row r="227" spans="1:1" x14ac:dyDescent="0.45">
      <c r="A227">
        <v>119.29373756874675</v>
      </c>
    </row>
    <row r="228" spans="1:1" x14ac:dyDescent="0.45">
      <c r="A228">
        <v>144.67944435296454</v>
      </c>
    </row>
    <row r="229" spans="1:1" x14ac:dyDescent="0.45">
      <c r="A229">
        <v>142.87305766255395</v>
      </c>
    </row>
    <row r="230" spans="1:1" x14ac:dyDescent="0.45">
      <c r="A230">
        <v>91.724468530486163</v>
      </c>
    </row>
    <row r="231" spans="1:1" x14ac:dyDescent="0.45">
      <c r="A231">
        <v>449.79696444579281</v>
      </c>
    </row>
    <row r="232" spans="1:1" x14ac:dyDescent="0.45">
      <c r="A232">
        <v>539.14640171921076</v>
      </c>
    </row>
    <row r="233" spans="1:1" x14ac:dyDescent="0.45">
      <c r="A233">
        <v>707.12846428479315</v>
      </c>
    </row>
    <row r="234" spans="1:1" x14ac:dyDescent="0.45">
      <c r="A234">
        <v>297.37387056660066</v>
      </c>
    </row>
    <row r="235" spans="1:1" x14ac:dyDescent="0.45">
      <c r="A235">
        <v>411.71694019403617</v>
      </c>
    </row>
    <row r="236" spans="1:1" x14ac:dyDescent="0.45">
      <c r="A236">
        <v>269.07490206475882</v>
      </c>
    </row>
    <row r="237" spans="1:1" x14ac:dyDescent="0.45">
      <c r="A237">
        <v>310.39873282001184</v>
      </c>
    </row>
    <row r="238" spans="1:1" x14ac:dyDescent="0.45">
      <c r="A238">
        <v>198.33129366907403</v>
      </c>
    </row>
    <row r="239" spans="1:1" x14ac:dyDescent="0.45">
      <c r="A239">
        <v>725.68827133689899</v>
      </c>
    </row>
    <row r="240" spans="1:1" x14ac:dyDescent="0.45">
      <c r="A240">
        <v>173.76739223868972</v>
      </c>
    </row>
    <row r="241" spans="1:1" x14ac:dyDescent="0.45">
      <c r="A241">
        <v>240.71763931171111</v>
      </c>
    </row>
    <row r="242" spans="1:1" x14ac:dyDescent="0.45">
      <c r="A242">
        <v>261.17198309051582</v>
      </c>
    </row>
    <row r="243" spans="1:1" x14ac:dyDescent="0.45">
      <c r="A243">
        <v>155.94967349642587</v>
      </c>
    </row>
    <row r="244" spans="1:1" x14ac:dyDescent="0.45">
      <c r="A244">
        <v>204.7115820006193</v>
      </c>
    </row>
    <row r="245" spans="1:1" x14ac:dyDescent="0.45">
      <c r="A245">
        <v>156.49224023096366</v>
      </c>
    </row>
    <row r="246" spans="1:1" x14ac:dyDescent="0.45">
      <c r="A246">
        <v>187.15800581920394</v>
      </c>
    </row>
    <row r="247" spans="1:1" x14ac:dyDescent="0.45">
      <c r="A247">
        <v>207.31170883845465</v>
      </c>
    </row>
    <row r="248" spans="1:1" x14ac:dyDescent="0.45">
      <c r="A248">
        <v>178.88886386522015</v>
      </c>
    </row>
    <row r="249" spans="1:1" x14ac:dyDescent="0.45">
      <c r="A249">
        <v>197.1216955817053</v>
      </c>
    </row>
    <row r="250" spans="1:1" x14ac:dyDescent="0.45">
      <c r="A250">
        <v>176.98213273698155</v>
      </c>
    </row>
    <row r="251" spans="1:1" x14ac:dyDescent="0.45">
      <c r="A251">
        <v>492.39287573879756</v>
      </c>
    </row>
    <row r="252" spans="1:1" x14ac:dyDescent="0.45">
      <c r="A252">
        <v>284.57793187841338</v>
      </c>
    </row>
    <row r="253" spans="1:1" x14ac:dyDescent="0.45">
      <c r="A253">
        <v>179.9558598678565</v>
      </c>
    </row>
    <row r="254" spans="1:1" x14ac:dyDescent="0.45">
      <c r="A254">
        <v>365.99269097519908</v>
      </c>
    </row>
    <row r="255" spans="1:1" x14ac:dyDescent="0.45">
      <c r="A255">
        <v>24.128920019391483</v>
      </c>
    </row>
    <row r="256" spans="1:1" x14ac:dyDescent="0.45">
      <c r="A256">
        <v>496.48634165446333</v>
      </c>
    </row>
    <row r="257" spans="1:1" x14ac:dyDescent="0.45">
      <c r="A257">
        <v>94.007687733024099</v>
      </c>
    </row>
    <row r="258" spans="1:1" x14ac:dyDescent="0.45">
      <c r="A258">
        <v>141.06199720421375</v>
      </c>
    </row>
    <row r="259" spans="1:1" x14ac:dyDescent="0.45">
      <c r="A259">
        <v>60.369020300939781</v>
      </c>
    </row>
    <row r="260" spans="1:1" x14ac:dyDescent="0.45">
      <c r="A260">
        <v>185.50770929294143</v>
      </c>
    </row>
    <row r="261" spans="1:1" x14ac:dyDescent="0.45">
      <c r="A261">
        <v>111.24077828697511</v>
      </c>
    </row>
    <row r="262" spans="1:1" x14ac:dyDescent="0.45">
      <c r="A262">
        <v>59.091236872534438</v>
      </c>
    </row>
    <row r="263" spans="1:1" x14ac:dyDescent="0.45">
      <c r="A263">
        <v>673.62166768614588</v>
      </c>
    </row>
    <row r="264" spans="1:1" x14ac:dyDescent="0.45">
      <c r="A264">
        <v>350.33487331005296</v>
      </c>
    </row>
    <row r="265" spans="1:1" x14ac:dyDescent="0.45">
      <c r="A265">
        <v>100.06273078864594</v>
      </c>
    </row>
    <row r="266" spans="1:1" x14ac:dyDescent="0.45">
      <c r="A266">
        <v>209.10527211242376</v>
      </c>
    </row>
    <row r="267" spans="1:1" x14ac:dyDescent="0.45">
      <c r="A267">
        <v>211.21951100103084</v>
      </c>
    </row>
    <row r="268" spans="1:1" x14ac:dyDescent="0.45">
      <c r="A268">
        <v>255.49720218641446</v>
      </c>
    </row>
    <row r="269" spans="1:1" x14ac:dyDescent="0.45">
      <c r="A269">
        <v>220.08923070512222</v>
      </c>
    </row>
    <row r="270" spans="1:1" x14ac:dyDescent="0.45">
      <c r="A270">
        <v>529.94518091120881</v>
      </c>
    </row>
    <row r="271" spans="1:1" x14ac:dyDescent="0.45">
      <c r="A271">
        <v>159.82178900298709</v>
      </c>
    </row>
    <row r="272" spans="1:1" x14ac:dyDescent="0.45">
      <c r="A272">
        <v>282.11514855665365</v>
      </c>
    </row>
    <row r="273" spans="1:1" x14ac:dyDescent="0.45">
      <c r="A273">
        <v>236.85991889522157</v>
      </c>
    </row>
    <row r="274" spans="1:1" x14ac:dyDescent="0.45">
      <c r="A274">
        <v>92.949012362501037</v>
      </c>
    </row>
    <row r="275" spans="1:1" x14ac:dyDescent="0.45">
      <c r="A275">
        <v>252.2950653435658</v>
      </c>
    </row>
    <row r="276" spans="1:1" x14ac:dyDescent="0.45">
      <c r="A276">
        <v>1010.2267102732116</v>
      </c>
    </row>
    <row r="277" spans="1:1" x14ac:dyDescent="0.45">
      <c r="A277">
        <v>349.6298490775269</v>
      </c>
    </row>
    <row r="278" spans="1:1" x14ac:dyDescent="0.45">
      <c r="A278">
        <v>124.75920068281673</v>
      </c>
    </row>
    <row r="279" spans="1:1" x14ac:dyDescent="0.45">
      <c r="A279">
        <v>143.95997646814763</v>
      </c>
    </row>
    <row r="280" spans="1:1" x14ac:dyDescent="0.45">
      <c r="A280">
        <v>452.53607754057475</v>
      </c>
    </row>
    <row r="281" spans="1:1" x14ac:dyDescent="0.45">
      <c r="A281">
        <v>187.19063384262645</v>
      </c>
    </row>
    <row r="282" spans="1:1" x14ac:dyDescent="0.45">
      <c r="A282">
        <v>420.38860496268313</v>
      </c>
    </row>
    <row r="283" spans="1:1" x14ac:dyDescent="0.45">
      <c r="A283">
        <v>143.10746768482289</v>
      </c>
    </row>
    <row r="284" spans="1:1" x14ac:dyDescent="0.45">
      <c r="A284">
        <v>220.56487627858206</v>
      </c>
    </row>
    <row r="285" spans="1:1" x14ac:dyDescent="0.45">
      <c r="A285">
        <v>43.492869574829022</v>
      </c>
    </row>
    <row r="286" spans="1:1" x14ac:dyDescent="0.45">
      <c r="A286">
        <v>439.30856511191922</v>
      </c>
    </row>
    <row r="287" spans="1:1" x14ac:dyDescent="0.45">
      <c r="A287">
        <v>80.412472320777923</v>
      </c>
    </row>
    <row r="288" spans="1:1" x14ac:dyDescent="0.45">
      <c r="A288">
        <v>145.75284822659916</v>
      </c>
    </row>
    <row r="289" spans="1:1" x14ac:dyDescent="0.45">
      <c r="A289">
        <v>210.52065759664106</v>
      </c>
    </row>
    <row r="290" spans="1:1" x14ac:dyDescent="0.45">
      <c r="A290">
        <v>471.91406291221807</v>
      </c>
    </row>
    <row r="291" spans="1:1" x14ac:dyDescent="0.45">
      <c r="A291">
        <v>295.43024536564667</v>
      </c>
    </row>
    <row r="292" spans="1:1" x14ac:dyDescent="0.45">
      <c r="A292" s="1">
        <v>119.94525731901157</v>
      </c>
    </row>
    <row r="293" spans="1:1" x14ac:dyDescent="0.45">
      <c r="A293" s="1">
        <v>166.84843737976666</v>
      </c>
    </row>
    <row r="294" spans="1:1" x14ac:dyDescent="0.45">
      <c r="A294" s="1">
        <v>776.85745898782318</v>
      </c>
    </row>
    <row r="295" spans="1:1" x14ac:dyDescent="0.45">
      <c r="A295" s="1">
        <v>268.29252853274653</v>
      </c>
    </row>
    <row r="296" spans="1:1" x14ac:dyDescent="0.45">
      <c r="A296" s="1">
        <v>100.90005371730453</v>
      </c>
    </row>
    <row r="297" spans="1:1" x14ac:dyDescent="0.45">
      <c r="A297" s="1">
        <v>132.23708960717579</v>
      </c>
    </row>
    <row r="298" spans="1:1" x14ac:dyDescent="0.45">
      <c r="A298" s="1">
        <v>355.01246274237479</v>
      </c>
    </row>
    <row r="299" spans="1:1" x14ac:dyDescent="0.45">
      <c r="A299" s="1">
        <v>287.47470278036786</v>
      </c>
    </row>
    <row r="300" spans="1:1" x14ac:dyDescent="0.45">
      <c r="A300" s="1">
        <v>218.61940586082983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5FF7-7CE5-4C4D-84E9-1F2D77FA3CC3}">
  <sheetPr codeName="Лист7"/>
  <dimension ref="A1:M301"/>
  <sheetViews>
    <sheetView workbookViewId="0">
      <selection activeCell="B2" sqref="B2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3" x14ac:dyDescent="0.45">
      <c r="C1" s="1" t="s">
        <v>7</v>
      </c>
    </row>
    <row r="2" spans="1:13" x14ac:dyDescent="0.45">
      <c r="A2" s="1">
        <v>107.28158389327129</v>
      </c>
      <c r="B2" s="2">
        <f>(A2-$G$4)*(A2-$G$4)</f>
        <v>28627.495699548286</v>
      </c>
      <c r="F2" t="s">
        <v>9</v>
      </c>
      <c r="G2" s="2">
        <f>G3</f>
        <v>300</v>
      </c>
    </row>
    <row r="3" spans="1:13" x14ac:dyDescent="0.45">
      <c r="A3" s="1">
        <v>127.82735370530034</v>
      </c>
      <c r="B3" s="2">
        <f t="shared" ref="B3:B66" si="0">(A3-$G$4)*(A3-$G$4)</f>
        <v>22097.074804859716</v>
      </c>
      <c r="E3" t="s">
        <v>6</v>
      </c>
      <c r="G3" s="2">
        <f>COUNT(A:A)</f>
        <v>300</v>
      </c>
    </row>
    <row r="4" spans="1:13" x14ac:dyDescent="0.45">
      <c r="A4" s="1">
        <v>408.3546686385011</v>
      </c>
      <c r="B4" s="2">
        <f t="shared" si="0"/>
        <v>17391.402358905478</v>
      </c>
      <c r="E4" t="s">
        <v>0</v>
      </c>
      <c r="F4" s="2"/>
      <c r="G4" s="2">
        <f>SUM(A:A)/G2</f>
        <v>276.47820235696366</v>
      </c>
    </row>
    <row r="5" spans="1:13" x14ac:dyDescent="0.45">
      <c r="A5" s="1">
        <v>98.890546210211852</v>
      </c>
      <c r="B5" s="2">
        <f t="shared" si="0"/>
        <v>31537.375615696958</v>
      </c>
      <c r="E5" t="s">
        <v>1</v>
      </c>
      <c r="F5" s="2"/>
      <c r="G5" s="2">
        <f>SUM(B:B)/(G2-1)</f>
        <v>29298.173050900929</v>
      </c>
    </row>
    <row r="6" spans="1:13" x14ac:dyDescent="0.45">
      <c r="A6" s="1">
        <v>701.75957763374743</v>
      </c>
      <c r="B6" s="2">
        <f t="shared" si="0"/>
        <v>180864.24815731257</v>
      </c>
      <c r="E6" t="s">
        <v>2</v>
      </c>
      <c r="F6" s="2"/>
      <c r="G6" s="2">
        <f>SQRT(G5)</f>
        <v>171.16709102774672</v>
      </c>
      <c r="J6" s="3"/>
    </row>
    <row r="7" spans="1:13" ht="14.25" customHeight="1" x14ac:dyDescent="0.45">
      <c r="A7" s="1">
        <v>271.81439391360277</v>
      </c>
      <c r="B7" s="2">
        <f t="shared" si="0"/>
        <v>21.75110919636435</v>
      </c>
      <c r="E7" t="s">
        <v>3</v>
      </c>
      <c r="F7" s="2"/>
      <c r="G7" s="2">
        <f>G6/G4</f>
        <v>0.6190979598700922</v>
      </c>
      <c r="J7" s="3"/>
    </row>
    <row r="8" spans="1:13" x14ac:dyDescent="0.45">
      <c r="A8" s="1">
        <v>320.49549343299248</v>
      </c>
      <c r="B8" s="2">
        <f t="shared" si="0"/>
        <v>1937.5219136718456</v>
      </c>
      <c r="D8" s="7" t="s">
        <v>4</v>
      </c>
      <c r="E8">
        <v>0.9</v>
      </c>
      <c r="F8" s="2">
        <v>1.6839999999999999</v>
      </c>
      <c r="G8" s="2">
        <f>$G$13*F8</f>
        <v>16.641854848086666</v>
      </c>
      <c r="I8">
        <f>K8-G8</f>
        <v>259.836347508877</v>
      </c>
      <c r="J8" s="3" t="s">
        <v>10</v>
      </c>
      <c r="K8">
        <f>$G$4</f>
        <v>276.47820235696366</v>
      </c>
      <c r="L8" s="3" t="s">
        <v>10</v>
      </c>
      <c r="M8">
        <f>K8+G8</f>
        <v>293.12005720505033</v>
      </c>
    </row>
    <row r="9" spans="1:13" x14ac:dyDescent="0.45">
      <c r="A9" s="1">
        <v>248.02335172534512</v>
      </c>
      <c r="B9" s="2">
        <f t="shared" si="0"/>
        <v>809.67852446772213</v>
      </c>
      <c r="D9" s="7"/>
      <c r="E9">
        <v>0.95</v>
      </c>
      <c r="F9" s="2">
        <v>1.96</v>
      </c>
      <c r="G9" s="2">
        <f t="shared" ref="G9:G10" si="1">$G$13*F9</f>
        <v>19.369379751929849</v>
      </c>
      <c r="I9">
        <f t="shared" ref="I9:I10" si="2">K9-G9</f>
        <v>257.10882260503382</v>
      </c>
      <c r="J9" s="3" t="s">
        <v>10</v>
      </c>
      <c r="K9">
        <f t="shared" ref="K9:K10" si="3">$G$4</f>
        <v>276.47820235696366</v>
      </c>
      <c r="L9" s="3" t="s">
        <v>10</v>
      </c>
      <c r="M9">
        <f t="shared" ref="M9:M10" si="4">K9+G9</f>
        <v>295.8475821088935</v>
      </c>
    </row>
    <row r="10" spans="1:13" x14ac:dyDescent="0.45">
      <c r="A10" s="1">
        <v>224.91195357298182</v>
      </c>
      <c r="B10" s="2">
        <f t="shared" si="0"/>
        <v>2659.0780136515095</v>
      </c>
      <c r="D10" s="7"/>
      <c r="E10">
        <v>0.99</v>
      </c>
      <c r="F10" s="2">
        <v>2.5790000000000002</v>
      </c>
      <c r="G10" s="2">
        <f t="shared" si="1"/>
        <v>25.486546112360756</v>
      </c>
      <c r="I10">
        <f t="shared" si="2"/>
        <v>250.99165624460289</v>
      </c>
      <c r="J10" s="3" t="s">
        <v>10</v>
      </c>
      <c r="K10">
        <f t="shared" si="3"/>
        <v>276.47820235696366</v>
      </c>
      <c r="L10" s="3" t="s">
        <v>10</v>
      </c>
      <c r="M10">
        <f t="shared" si="4"/>
        <v>301.96474846932443</v>
      </c>
    </row>
    <row r="11" spans="1:13" x14ac:dyDescent="0.45">
      <c r="A11" s="1">
        <v>454.21521094440101</v>
      </c>
      <c r="B11" s="2">
        <f t="shared" si="0"/>
        <v>31590.444221610775</v>
      </c>
      <c r="E11" t="s">
        <v>5</v>
      </c>
      <c r="F11" s="2"/>
      <c r="G11" s="2"/>
    </row>
    <row r="12" spans="1:13" x14ac:dyDescent="0.45">
      <c r="A12" s="1">
        <v>254.47077882330547</v>
      </c>
      <c r="B12" s="2">
        <f t="shared" si="0"/>
        <v>484.3266905898127</v>
      </c>
      <c r="F12" s="2"/>
      <c r="G12" s="2"/>
    </row>
    <row r="13" spans="1:13" x14ac:dyDescent="0.45">
      <c r="A13" s="1">
        <v>216.90657928262164</v>
      </c>
      <c r="B13" s="2">
        <f t="shared" si="0"/>
        <v>3548.7782757114796</v>
      </c>
      <c r="E13" t="s">
        <v>8</v>
      </c>
      <c r="F13" s="2"/>
      <c r="G13">
        <f>SQRT(G5/G2)</f>
        <v>9.8823366081274742</v>
      </c>
    </row>
    <row r="14" spans="1:13" x14ac:dyDescent="0.45">
      <c r="A14" s="1">
        <v>797.62537343667645</v>
      </c>
      <c r="B14" s="2">
        <f t="shared" si="0"/>
        <v>271594.37392438739</v>
      </c>
      <c r="F14" s="2"/>
    </row>
    <row r="15" spans="1:13" x14ac:dyDescent="0.45">
      <c r="A15" s="1">
        <v>630.35309829085122</v>
      </c>
      <c r="B15" s="2">
        <f t="shared" si="0"/>
        <v>125227.44197221975</v>
      </c>
      <c r="F15" s="2"/>
    </row>
    <row r="16" spans="1:13" x14ac:dyDescent="0.45">
      <c r="A16" s="1">
        <v>187.66933410519863</v>
      </c>
      <c r="B16" s="2">
        <f t="shared" si="0"/>
        <v>7887.0150801593591</v>
      </c>
    </row>
    <row r="17" spans="1:8" x14ac:dyDescent="0.45">
      <c r="A17" s="1">
        <v>81.610533594883279</v>
      </c>
      <c r="B17" s="2">
        <f t="shared" si="0"/>
        <v>37973.408328767873</v>
      </c>
    </row>
    <row r="18" spans="1:8" x14ac:dyDescent="0.45">
      <c r="A18" s="1">
        <v>283.24936593557317</v>
      </c>
      <c r="B18" s="2">
        <f t="shared" si="0"/>
        <v>45.848656208287849</v>
      </c>
      <c r="G18">
        <f>_xlfn.CONFIDENCE.T(0.01,G6,G3)</f>
        <v>25.618691572314312</v>
      </c>
      <c r="H18">
        <f>G18/G13</f>
        <v>2.5923718841194781</v>
      </c>
    </row>
    <row r="19" spans="1:8" x14ac:dyDescent="0.45">
      <c r="A19" s="1">
        <v>151.51033225013779</v>
      </c>
      <c r="B19" s="2">
        <f t="shared" si="0"/>
        <v>15616.968559036502</v>
      </c>
    </row>
    <row r="20" spans="1:8" x14ac:dyDescent="0.45">
      <c r="A20" s="1">
        <v>407.89408014857736</v>
      </c>
      <c r="B20" s="2">
        <f t="shared" si="0"/>
        <v>17270.132935740345</v>
      </c>
    </row>
    <row r="21" spans="1:8" x14ac:dyDescent="0.45">
      <c r="A21" s="1">
        <v>196.50012539926712</v>
      </c>
      <c r="B21" s="2">
        <f t="shared" si="0"/>
        <v>6396.492793851231</v>
      </c>
    </row>
    <row r="22" spans="1:8" x14ac:dyDescent="0.45">
      <c r="A22" s="1">
        <v>226.10190058519862</v>
      </c>
      <c r="B22" s="2">
        <f t="shared" si="0"/>
        <v>2537.7717801999379</v>
      </c>
    </row>
    <row r="23" spans="1:8" x14ac:dyDescent="0.45">
      <c r="A23" s="1">
        <v>296.82006676145301</v>
      </c>
      <c r="B23" s="2">
        <f t="shared" si="0"/>
        <v>413.79144745063059</v>
      </c>
    </row>
    <row r="24" spans="1:8" x14ac:dyDescent="0.45">
      <c r="A24" s="1">
        <v>365.89967866417624</v>
      </c>
      <c r="B24" s="2">
        <f t="shared" si="0"/>
        <v>7996.2004249613792</v>
      </c>
    </row>
    <row r="25" spans="1:8" x14ac:dyDescent="0.45">
      <c r="A25" s="1">
        <v>126.08793960916096</v>
      </c>
      <c r="B25" s="2">
        <f t="shared" si="0"/>
        <v>22617.231129353131</v>
      </c>
    </row>
    <row r="26" spans="1:8" x14ac:dyDescent="0.45">
      <c r="A26" s="1">
        <v>158.17331398046889</v>
      </c>
      <c r="B26" s="2">
        <f t="shared" si="0"/>
        <v>13996.046613774888</v>
      </c>
    </row>
    <row r="27" spans="1:8" x14ac:dyDescent="0.45">
      <c r="A27" s="1">
        <v>169.31814511084991</v>
      </c>
      <c r="B27" s="2">
        <f t="shared" si="0"/>
        <v>11483.277868990377</v>
      </c>
    </row>
    <row r="28" spans="1:8" x14ac:dyDescent="0.45">
      <c r="A28" s="1">
        <v>356.99176152030975</v>
      </c>
      <c r="B28" s="2">
        <f t="shared" si="0"/>
        <v>6482.4332091496308</v>
      </c>
    </row>
    <row r="29" spans="1:8" x14ac:dyDescent="0.45">
      <c r="A29" s="1">
        <v>51.531820594945302</v>
      </c>
      <c r="B29" s="2">
        <f t="shared" si="0"/>
        <v>50600.8746678237</v>
      </c>
    </row>
    <row r="30" spans="1:8" x14ac:dyDescent="0.45">
      <c r="A30" s="1">
        <v>138.94007100937398</v>
      </c>
      <c r="B30" s="2">
        <f t="shared" si="0"/>
        <v>18916.73757458683</v>
      </c>
    </row>
    <row r="31" spans="1:8" x14ac:dyDescent="0.45">
      <c r="A31" s="1">
        <v>122.36436339055496</v>
      </c>
      <c r="B31" s="2">
        <f t="shared" si="0"/>
        <v>23751.075360964154</v>
      </c>
    </row>
    <row r="32" spans="1:8" x14ac:dyDescent="0.45">
      <c r="A32" s="1">
        <v>192.42385978046303</v>
      </c>
      <c r="B32" s="2">
        <f t="shared" si="0"/>
        <v>7065.1325059677265</v>
      </c>
    </row>
    <row r="33" spans="1:2" x14ac:dyDescent="0.45">
      <c r="A33" s="1">
        <v>314.19161734563977</v>
      </c>
      <c r="B33" s="2">
        <f t="shared" si="0"/>
        <v>1422.3016701080996</v>
      </c>
    </row>
    <row r="34" spans="1:2" x14ac:dyDescent="0.45">
      <c r="A34" s="1">
        <v>224.76623940791234</v>
      </c>
      <c r="B34" s="2">
        <f t="shared" si="0"/>
        <v>2674.127112044057</v>
      </c>
    </row>
    <row r="35" spans="1:2" x14ac:dyDescent="0.45">
      <c r="A35" s="1">
        <v>55.898927187361181</v>
      </c>
      <c r="B35" s="2">
        <f t="shared" si="0"/>
        <v>48655.216634347213</v>
      </c>
    </row>
    <row r="36" spans="1:2" x14ac:dyDescent="0.45">
      <c r="A36" s="1">
        <v>327.76712307497064</v>
      </c>
      <c r="B36" s="2">
        <f t="shared" si="0"/>
        <v>2630.5533884180054</v>
      </c>
    </row>
    <row r="37" spans="1:2" x14ac:dyDescent="0.45">
      <c r="A37" s="1">
        <v>375.33573039261597</v>
      </c>
      <c r="B37" s="2">
        <f t="shared" si="0"/>
        <v>9772.8108493197815</v>
      </c>
    </row>
    <row r="38" spans="1:2" x14ac:dyDescent="0.45">
      <c r="A38" s="1">
        <v>227.86161586375553</v>
      </c>
      <c r="B38" s="2">
        <f t="shared" si="0"/>
        <v>2363.5724822515872</v>
      </c>
    </row>
    <row r="39" spans="1:2" x14ac:dyDescent="0.45">
      <c r="A39" s="1">
        <v>355.13663052220119</v>
      </c>
      <c r="B39" s="2">
        <f t="shared" si="0"/>
        <v>6187.1483214258315</v>
      </c>
    </row>
    <row r="40" spans="1:2" x14ac:dyDescent="0.45">
      <c r="A40" s="1">
        <v>286.7413177403497</v>
      </c>
      <c r="B40" s="2">
        <f t="shared" si="0"/>
        <v>105.33153737269511</v>
      </c>
    </row>
    <row r="41" spans="1:2" x14ac:dyDescent="0.45">
      <c r="A41" s="1">
        <v>133.99561157809518</v>
      </c>
      <c r="B41" s="2">
        <f t="shared" si="0"/>
        <v>20301.288675058498</v>
      </c>
    </row>
    <row r="42" spans="1:2" x14ac:dyDescent="0.45">
      <c r="A42" s="1">
        <v>229.31356051547908</v>
      </c>
      <c r="B42" s="2">
        <f t="shared" si="0"/>
        <v>2224.503440035518</v>
      </c>
    </row>
    <row r="43" spans="1:2" x14ac:dyDescent="0.45">
      <c r="A43" s="1">
        <v>427.5796519704889</v>
      </c>
      <c r="B43" s="2">
        <f t="shared" si="0"/>
        <v>22831.648075308705</v>
      </c>
    </row>
    <row r="44" spans="1:2" x14ac:dyDescent="0.45">
      <c r="A44" s="1">
        <v>379.88380148467013</v>
      </c>
      <c r="B44" s="2">
        <f t="shared" si="0"/>
        <v>10692.717930959929</v>
      </c>
    </row>
    <row r="45" spans="1:2" x14ac:dyDescent="0.45">
      <c r="A45" s="1">
        <v>470.07277475710123</v>
      </c>
      <c r="B45" s="2">
        <f t="shared" si="0"/>
        <v>37478.858462792108</v>
      </c>
    </row>
    <row r="46" spans="1:2" x14ac:dyDescent="0.45">
      <c r="A46" s="1">
        <v>270.68980051071156</v>
      </c>
      <c r="B46" s="2">
        <f t="shared" si="0"/>
        <v>33.505595933694721</v>
      </c>
    </row>
    <row r="47" spans="1:2" x14ac:dyDescent="0.45">
      <c r="A47" s="1">
        <v>151.08022269670758</v>
      </c>
      <c r="B47" s="2">
        <f t="shared" si="0"/>
        <v>15724.653302873998</v>
      </c>
    </row>
    <row r="48" spans="1:2" x14ac:dyDescent="0.45">
      <c r="A48" s="1">
        <v>184.74179118427588</v>
      </c>
      <c r="B48" s="2">
        <f t="shared" si="0"/>
        <v>8415.5691348444361</v>
      </c>
    </row>
    <row r="49" spans="1:2" x14ac:dyDescent="0.45">
      <c r="A49" s="1">
        <v>484.80314732117779</v>
      </c>
      <c r="B49" s="2">
        <f t="shared" si="0"/>
        <v>43399.282694342844</v>
      </c>
    </row>
    <row r="50" spans="1:2" x14ac:dyDescent="0.45">
      <c r="A50" s="1">
        <v>130.8094017575973</v>
      </c>
      <c r="B50" s="2">
        <f t="shared" si="0"/>
        <v>21219.39946805796</v>
      </c>
    </row>
    <row r="51" spans="1:2" x14ac:dyDescent="0.45">
      <c r="A51" s="1">
        <v>184.10637657715995</v>
      </c>
      <c r="B51" s="2">
        <f t="shared" si="0"/>
        <v>8532.5541978944093</v>
      </c>
    </row>
    <row r="52" spans="1:2" x14ac:dyDescent="0.45">
      <c r="A52" s="1">
        <v>385.10511983287188</v>
      </c>
      <c r="B52" s="2">
        <f t="shared" si="0"/>
        <v>11799.807200317773</v>
      </c>
    </row>
    <row r="53" spans="1:2" x14ac:dyDescent="0.45">
      <c r="A53" s="1">
        <v>83.235214760513699</v>
      </c>
      <c r="B53" s="2">
        <f t="shared" si="0"/>
        <v>37342.852255201709</v>
      </c>
    </row>
    <row r="54" spans="1:2" x14ac:dyDescent="0.45">
      <c r="A54" s="1">
        <v>195.65674454690125</v>
      </c>
      <c r="B54" s="2">
        <f t="shared" si="0"/>
        <v>6532.1080425436985</v>
      </c>
    </row>
    <row r="55" spans="1:2" x14ac:dyDescent="0.45">
      <c r="A55" s="1">
        <v>540.52449203860169</v>
      </c>
      <c r="B55" s="2">
        <f t="shared" si="0"/>
        <v>69720.4430946395</v>
      </c>
    </row>
    <row r="56" spans="1:2" x14ac:dyDescent="0.45">
      <c r="A56" s="1">
        <v>343.16788171818587</v>
      </c>
      <c r="B56" s="2">
        <f t="shared" si="0"/>
        <v>4447.513333302627</v>
      </c>
    </row>
    <row r="57" spans="1:2" x14ac:dyDescent="0.45">
      <c r="A57" s="1">
        <v>377.46792019065362</v>
      </c>
      <c r="B57" s="2">
        <f t="shared" si="0"/>
        <v>10198.923108128314</v>
      </c>
    </row>
    <row r="58" spans="1:2" x14ac:dyDescent="0.45">
      <c r="A58" s="1">
        <v>763.05828906878878</v>
      </c>
      <c r="B58" s="2">
        <f t="shared" si="0"/>
        <v>236760.18078448725</v>
      </c>
    </row>
    <row r="59" spans="1:2" x14ac:dyDescent="0.45">
      <c r="A59" s="1">
        <v>114.1957280012459</v>
      </c>
      <c r="B59" s="2">
        <f t="shared" si="0"/>
        <v>26335.601483014194</v>
      </c>
    </row>
    <row r="60" spans="1:2" x14ac:dyDescent="0.45">
      <c r="A60" s="1">
        <v>93.828691587588537</v>
      </c>
      <c r="B60" s="2">
        <f t="shared" si="0"/>
        <v>33360.843784292083</v>
      </c>
    </row>
    <row r="61" spans="1:2" x14ac:dyDescent="0.45">
      <c r="A61" s="1">
        <v>288.55840885143232</v>
      </c>
      <c r="B61" s="2">
        <f t="shared" si="0"/>
        <v>145.93138894900267</v>
      </c>
    </row>
    <row r="62" spans="1:2" x14ac:dyDescent="0.45">
      <c r="A62" s="1">
        <v>527.20635732889855</v>
      </c>
      <c r="B62" s="2">
        <f t="shared" si="0"/>
        <v>62864.607695630599</v>
      </c>
    </row>
    <row r="63" spans="1:2" x14ac:dyDescent="0.45">
      <c r="A63" s="1">
        <v>684.17142200543822</v>
      </c>
      <c r="B63" s="2">
        <f t="shared" si="0"/>
        <v>166213.76134733931</v>
      </c>
    </row>
    <row r="64" spans="1:2" x14ac:dyDescent="0.45">
      <c r="A64" s="1">
        <v>318.45739323918156</v>
      </c>
      <c r="B64" s="2">
        <f t="shared" si="0"/>
        <v>1762.2524671256858</v>
      </c>
    </row>
    <row r="65" spans="1:2" x14ac:dyDescent="0.45">
      <c r="A65" s="1">
        <v>208.72149310978941</v>
      </c>
      <c r="B65" s="2">
        <f t="shared" si="0"/>
        <v>4590.9716480061097</v>
      </c>
    </row>
    <row r="66" spans="1:2" x14ac:dyDescent="0.45">
      <c r="A66" s="1">
        <v>246.93208789280652</v>
      </c>
      <c r="B66" s="2">
        <f t="shared" si="0"/>
        <v>872.97287992907593</v>
      </c>
    </row>
    <row r="67" spans="1:2" x14ac:dyDescent="0.45">
      <c r="A67" s="1">
        <v>135.05870598078235</v>
      </c>
      <c r="B67" s="2">
        <f t="shared" ref="B67:B130" si="5">(A67-$G$4)*(A67-$G$4)</f>
        <v>19999.47395529276</v>
      </c>
    </row>
    <row r="68" spans="1:2" x14ac:dyDescent="0.45">
      <c r="A68" s="1">
        <v>212.00109132019526</v>
      </c>
      <c r="B68" s="2">
        <f t="shared" si="5"/>
        <v>4157.297847647762</v>
      </c>
    </row>
    <row r="69" spans="1:2" x14ac:dyDescent="0.45">
      <c r="A69" s="1">
        <v>65.071926371309047</v>
      </c>
      <c r="B69" s="2">
        <f t="shared" si="5"/>
        <v>44692.613526122768</v>
      </c>
    </row>
    <row r="70" spans="1:2" x14ac:dyDescent="0.45">
      <c r="A70" s="1">
        <v>477.48731714154536</v>
      </c>
      <c r="B70" s="2">
        <f t="shared" si="5"/>
        <v>40404.664226481138</v>
      </c>
    </row>
    <row r="71" spans="1:2" x14ac:dyDescent="0.45">
      <c r="A71" s="1">
        <v>379.10072832547741</v>
      </c>
      <c r="B71" s="2">
        <f t="shared" si="5"/>
        <v>10531.382836158276</v>
      </c>
    </row>
    <row r="72" spans="1:2" x14ac:dyDescent="0.45">
      <c r="A72" s="1">
        <v>419.18061229105331</v>
      </c>
      <c r="B72" s="2">
        <f t="shared" si="5"/>
        <v>20363.977800996967</v>
      </c>
    </row>
    <row r="73" spans="1:2" x14ac:dyDescent="0.45">
      <c r="A73" s="1">
        <v>92.051072390415982</v>
      </c>
      <c r="B73" s="2">
        <f t="shared" si="5"/>
        <v>34013.366267697871</v>
      </c>
    </row>
    <row r="74" spans="1:2" x14ac:dyDescent="0.45">
      <c r="A74" s="1">
        <v>505.15934999217063</v>
      </c>
      <c r="B74" s="2">
        <f t="shared" si="5"/>
        <v>52295.067283755328</v>
      </c>
    </row>
    <row r="75" spans="1:2" x14ac:dyDescent="0.45">
      <c r="A75" s="1">
        <v>204.64797660269062</v>
      </c>
      <c r="B75" s="2">
        <f t="shared" si="5"/>
        <v>5159.5813319098306</v>
      </c>
    </row>
    <row r="76" spans="1:2" x14ac:dyDescent="0.45">
      <c r="A76" s="1">
        <v>393.69557760716901</v>
      </c>
      <c r="B76" s="2">
        <f t="shared" si="5"/>
        <v>13739.913060547453</v>
      </c>
    </row>
    <row r="77" spans="1:2" x14ac:dyDescent="0.45">
      <c r="A77" s="1">
        <v>208.3377473171555</v>
      </c>
      <c r="B77" s="2">
        <f t="shared" si="5"/>
        <v>4643.1216130321172</v>
      </c>
    </row>
    <row r="78" spans="1:2" x14ac:dyDescent="0.45">
      <c r="A78" s="1">
        <v>131.10075713382952</v>
      </c>
      <c r="B78" s="2">
        <f t="shared" si="5"/>
        <v>21134.601579605369</v>
      </c>
    </row>
    <row r="79" spans="1:2" x14ac:dyDescent="0.45">
      <c r="A79" s="1">
        <v>200.34605210648334</v>
      </c>
      <c r="B79" s="2">
        <f t="shared" si="5"/>
        <v>5796.1043017617112</v>
      </c>
    </row>
    <row r="80" spans="1:2" x14ac:dyDescent="0.45">
      <c r="A80" s="1">
        <v>220.18785541026077</v>
      </c>
      <c r="B80" s="2">
        <f t="shared" si="5"/>
        <v>3168.603159380184</v>
      </c>
    </row>
    <row r="81" spans="1:2" x14ac:dyDescent="0.45">
      <c r="A81" s="1">
        <v>545.34426792191391</v>
      </c>
      <c r="B81" s="2">
        <f t="shared" si="5"/>
        <v>72288.961212376118</v>
      </c>
    </row>
    <row r="82" spans="1:2" x14ac:dyDescent="0.45">
      <c r="A82" s="1">
        <v>298.21504684333127</v>
      </c>
      <c r="B82" s="2">
        <f t="shared" si="5"/>
        <v>472.49040822452963</v>
      </c>
    </row>
    <row r="83" spans="1:2" x14ac:dyDescent="0.45">
      <c r="A83" s="1">
        <v>35.333966596066375</v>
      </c>
      <c r="B83" s="2">
        <f t="shared" si="5"/>
        <v>58150.542440707213</v>
      </c>
    </row>
    <row r="84" spans="1:2" x14ac:dyDescent="0.45">
      <c r="A84" s="1">
        <v>185.44794327967338</v>
      </c>
      <c r="B84" s="2">
        <f t="shared" si="5"/>
        <v>8286.5080676785892</v>
      </c>
    </row>
    <row r="85" spans="1:2" x14ac:dyDescent="0.45">
      <c r="A85" s="1">
        <v>436.56347628770209</v>
      </c>
      <c r="B85" s="2">
        <f t="shared" si="5"/>
        <v>25627.294929479558</v>
      </c>
    </row>
    <row r="86" spans="1:2" x14ac:dyDescent="0.45">
      <c r="A86" s="1">
        <v>162.67977861718344</v>
      </c>
      <c r="B86" s="2">
        <f t="shared" si="5"/>
        <v>12950.081245658574</v>
      </c>
    </row>
    <row r="87" spans="1:2" x14ac:dyDescent="0.45">
      <c r="A87" s="1">
        <v>216.15215722346178</v>
      </c>
      <c r="B87" s="2">
        <f t="shared" si="5"/>
        <v>3639.2317214493055</v>
      </c>
    </row>
    <row r="88" spans="1:2" x14ac:dyDescent="0.45">
      <c r="A88" s="1">
        <v>249.61201762606564</v>
      </c>
      <c r="B88" s="2">
        <f t="shared" si="5"/>
        <v>721.79188199473833</v>
      </c>
    </row>
    <row r="89" spans="1:2" x14ac:dyDescent="0.45">
      <c r="A89" s="1">
        <v>341.69175316393586</v>
      </c>
      <c r="B89" s="2">
        <f t="shared" si="5"/>
        <v>4252.8072088535437</v>
      </c>
    </row>
    <row r="90" spans="1:2" x14ac:dyDescent="0.45">
      <c r="A90" s="1">
        <v>203.30563183272307</v>
      </c>
      <c r="B90" s="2">
        <f t="shared" si="5"/>
        <v>5354.2250771249637</v>
      </c>
    </row>
    <row r="91" spans="1:2" x14ac:dyDescent="0.45">
      <c r="A91" s="1">
        <v>388.73073722723774</v>
      </c>
      <c r="B91" s="2">
        <f t="shared" si="5"/>
        <v>12600.631584802097</v>
      </c>
    </row>
    <row r="92" spans="1:2" x14ac:dyDescent="0.45">
      <c r="A92" s="1">
        <v>158.91079043238744</v>
      </c>
      <c r="B92" s="2">
        <f t="shared" si="5"/>
        <v>13822.096346642988</v>
      </c>
    </row>
    <row r="93" spans="1:2" x14ac:dyDescent="0.45">
      <c r="A93" s="1">
        <v>79.627903538835881</v>
      </c>
      <c r="B93" s="2">
        <f t="shared" si="5"/>
        <v>38750.040144786202</v>
      </c>
    </row>
    <row r="94" spans="1:2" x14ac:dyDescent="0.45">
      <c r="A94" s="1">
        <v>127.99124370748665</v>
      </c>
      <c r="B94" s="2">
        <f t="shared" si="5"/>
        <v>22048.376888971492</v>
      </c>
    </row>
    <row r="95" spans="1:2" x14ac:dyDescent="0.45">
      <c r="A95" s="1">
        <v>395.60937797206873</v>
      </c>
      <c r="B95" s="2">
        <f t="shared" si="5"/>
        <v>14192.237003437003</v>
      </c>
    </row>
    <row r="96" spans="1:2" x14ac:dyDescent="0.45">
      <c r="A96" s="1">
        <v>211.19042812250598</v>
      </c>
      <c r="B96" s="2">
        <f t="shared" si="5"/>
        <v>4262.4934644895166</v>
      </c>
    </row>
    <row r="97" spans="1:2" x14ac:dyDescent="0.45">
      <c r="A97" s="1">
        <v>336.1261218728319</v>
      </c>
      <c r="B97" s="2">
        <f t="shared" si="5"/>
        <v>3557.8743025714953</v>
      </c>
    </row>
    <row r="98" spans="1:2" x14ac:dyDescent="0.45">
      <c r="A98" s="1">
        <v>283.75273249906081</v>
      </c>
      <c r="B98" s="2">
        <f t="shared" si="5"/>
        <v>52.918788788279961</v>
      </c>
    </row>
    <row r="99" spans="1:2" x14ac:dyDescent="0.45">
      <c r="A99" s="1">
        <v>105.02116918454753</v>
      </c>
      <c r="B99" s="2">
        <f t="shared" si="5"/>
        <v>29397.514224287002</v>
      </c>
    </row>
    <row r="100" spans="1:2" x14ac:dyDescent="0.45">
      <c r="A100" s="1">
        <v>425.36850075864334</v>
      </c>
      <c r="B100" s="2">
        <f t="shared" si="5"/>
        <v>22168.320958141216</v>
      </c>
    </row>
    <row r="101" spans="1:2" x14ac:dyDescent="0.45">
      <c r="A101" s="1">
        <v>102.97001833383734</v>
      </c>
      <c r="B101" s="2">
        <f t="shared" si="5"/>
        <v>30105.089923003066</v>
      </c>
    </row>
    <row r="102" spans="1:2" x14ac:dyDescent="0.45">
      <c r="A102" s="1">
        <v>366.03119660905475</v>
      </c>
      <c r="B102" s="2">
        <f t="shared" si="5"/>
        <v>8019.738779515058</v>
      </c>
    </row>
    <row r="103" spans="1:2" x14ac:dyDescent="0.45">
      <c r="A103" s="1">
        <v>340.31592031699176</v>
      </c>
      <c r="B103" s="2">
        <f t="shared" si="5"/>
        <v>4075.2542343440946</v>
      </c>
    </row>
    <row r="104" spans="1:2" x14ac:dyDescent="0.45">
      <c r="A104" s="1">
        <v>89.406776230258188</v>
      </c>
      <c r="B104" s="2">
        <f t="shared" si="5"/>
        <v>34995.718473079432</v>
      </c>
    </row>
    <row r="105" spans="1:2" x14ac:dyDescent="0.45">
      <c r="A105" s="1">
        <v>86.036017111450917</v>
      </c>
      <c r="B105" s="2">
        <f t="shared" si="5"/>
        <v>36268.225921086196</v>
      </c>
    </row>
    <row r="106" spans="1:2" x14ac:dyDescent="0.45">
      <c r="A106" s="1">
        <v>180.52809446994971</v>
      </c>
      <c r="B106" s="2">
        <f t="shared" si="5"/>
        <v>9206.4232035296172</v>
      </c>
    </row>
    <row r="107" spans="1:2" x14ac:dyDescent="0.45">
      <c r="A107" s="1">
        <v>156.25047183375975</v>
      </c>
      <c r="B107" s="2">
        <f t="shared" si="5"/>
        <v>14454.707186760139</v>
      </c>
    </row>
    <row r="108" spans="1:2" x14ac:dyDescent="0.45">
      <c r="A108" s="1">
        <v>348.9796212775168</v>
      </c>
      <c r="B108" s="2">
        <f t="shared" si="5"/>
        <v>5256.4557454935402</v>
      </c>
    </row>
    <row r="109" spans="1:2" x14ac:dyDescent="0.45">
      <c r="A109" s="1">
        <v>26.25929918955304</v>
      </c>
      <c r="B109" s="2">
        <f t="shared" si="5"/>
        <v>62609.499502302009</v>
      </c>
    </row>
    <row r="110" spans="1:2" x14ac:dyDescent="0.45">
      <c r="A110" s="1">
        <v>203.68345331447091</v>
      </c>
      <c r="B110" s="2">
        <f t="shared" si="5"/>
        <v>5299.0754881594994</v>
      </c>
    </row>
    <row r="111" spans="1:2" x14ac:dyDescent="0.45">
      <c r="A111" s="1">
        <v>102.17919882822795</v>
      </c>
      <c r="B111" s="2">
        <f t="shared" si="5"/>
        <v>30380.142631110222</v>
      </c>
    </row>
    <row r="112" spans="1:2" x14ac:dyDescent="0.45">
      <c r="A112" s="1">
        <v>190.51609288178926</v>
      </c>
      <c r="B112" s="2">
        <f t="shared" si="5"/>
        <v>7389.4842654218683</v>
      </c>
    </row>
    <row r="113" spans="1:2" x14ac:dyDescent="0.45">
      <c r="A113" s="1">
        <v>235.64677760754643</v>
      </c>
      <c r="B113" s="2">
        <f t="shared" si="5"/>
        <v>1667.2052470673225</v>
      </c>
    </row>
    <row r="114" spans="1:2" x14ac:dyDescent="0.45">
      <c r="A114" s="1">
        <v>250.73257522774867</v>
      </c>
      <c r="B114" s="2">
        <f t="shared" si="5"/>
        <v>662.83731627657119</v>
      </c>
    </row>
    <row r="115" spans="1:2" x14ac:dyDescent="0.45">
      <c r="A115" s="1">
        <v>124.48179450312151</v>
      </c>
      <c r="B115" s="2">
        <f t="shared" si="5"/>
        <v>23102.908000471529</v>
      </c>
    </row>
    <row r="116" spans="1:2" x14ac:dyDescent="0.45">
      <c r="A116" s="1">
        <v>87.931068082034301</v>
      </c>
      <c r="B116" s="2">
        <f t="shared" si="5"/>
        <v>35550.021843288239</v>
      </c>
    </row>
    <row r="117" spans="1:2" x14ac:dyDescent="0.45">
      <c r="A117" s="1">
        <v>321.42360626576317</v>
      </c>
      <c r="B117" s="2">
        <f t="shared" si="5"/>
        <v>2020.08933252513</v>
      </c>
    </row>
    <row r="118" spans="1:2" x14ac:dyDescent="0.45">
      <c r="A118" s="1">
        <v>190.79671678950294</v>
      </c>
      <c r="B118" s="2">
        <f t="shared" si="5"/>
        <v>7341.3169690469804</v>
      </c>
    </row>
    <row r="119" spans="1:2" x14ac:dyDescent="0.45">
      <c r="A119" s="1">
        <v>86.592257298542492</v>
      </c>
      <c r="B119" s="2">
        <f t="shared" si="5"/>
        <v>36056.672130729741</v>
      </c>
    </row>
    <row r="120" spans="1:2" x14ac:dyDescent="0.45">
      <c r="A120" s="1">
        <v>474.05599626791059</v>
      </c>
      <c r="B120" s="2">
        <f t="shared" si="5"/>
        <v>39036.984646716613</v>
      </c>
    </row>
    <row r="121" spans="1:2" x14ac:dyDescent="0.45">
      <c r="A121" s="1">
        <v>108.43545068003378</v>
      </c>
      <c r="B121" s="2">
        <f t="shared" si="5"/>
        <v>28238.366391154315</v>
      </c>
    </row>
    <row r="122" spans="1:2" x14ac:dyDescent="0.45">
      <c r="A122" s="1">
        <v>442.97592651122511</v>
      </c>
      <c r="B122" s="2">
        <f t="shared" si="5"/>
        <v>27721.492148548536</v>
      </c>
    </row>
    <row r="123" spans="1:2" x14ac:dyDescent="0.45">
      <c r="A123" s="1">
        <v>314.68068213842207</v>
      </c>
      <c r="B123" s="2">
        <f t="shared" si="5"/>
        <v>1459.4294614527385</v>
      </c>
    </row>
    <row r="124" spans="1:2" x14ac:dyDescent="0.45">
      <c r="A124" s="1">
        <v>536.39248842962934</v>
      </c>
      <c r="B124" s="2">
        <f t="shared" si="5"/>
        <v>67555.436104663488</v>
      </c>
    </row>
    <row r="125" spans="1:2" x14ac:dyDescent="0.45">
      <c r="A125" s="1">
        <v>220.93049742013136</v>
      </c>
      <c r="B125" s="2">
        <f t="shared" si="5"/>
        <v>3085.5475237493838</v>
      </c>
    </row>
    <row r="126" spans="1:2" x14ac:dyDescent="0.45">
      <c r="A126" s="1">
        <v>255.22691671136863</v>
      </c>
      <c r="B126" s="2">
        <f t="shared" si="5"/>
        <v>451.6171415906735</v>
      </c>
    </row>
    <row r="127" spans="1:2" x14ac:dyDescent="0.45">
      <c r="A127" s="1">
        <v>135.59061651296579</v>
      </c>
      <c r="B127" s="2">
        <f t="shared" si="5"/>
        <v>19849.311844949869</v>
      </c>
    </row>
    <row r="128" spans="1:2" x14ac:dyDescent="0.45">
      <c r="A128" s="1">
        <v>472.47974649011212</v>
      </c>
      <c r="B128" s="2">
        <f t="shared" si="5"/>
        <v>38416.605302578544</v>
      </c>
    </row>
    <row r="129" spans="1:2" x14ac:dyDescent="0.45">
      <c r="A129" s="1">
        <v>679.95273325503615</v>
      </c>
      <c r="B129" s="2">
        <f t="shared" si="5"/>
        <v>162791.69708341965</v>
      </c>
    </row>
    <row r="130" spans="1:2" x14ac:dyDescent="0.45">
      <c r="A130" s="1">
        <v>117.46470521298471</v>
      </c>
      <c r="B130" s="2">
        <f t="shared" si="5"/>
        <v>25285.292273958203</v>
      </c>
    </row>
    <row r="131" spans="1:2" x14ac:dyDescent="0.45">
      <c r="A131" s="1">
        <v>59.92031507532073</v>
      </c>
      <c r="B131" s="2">
        <f t="shared" ref="B131:B194" si="6">(A131-$G$4)*(A131-$G$4)</f>
        <v>46897.318543888767</v>
      </c>
    </row>
    <row r="132" spans="1:2" x14ac:dyDescent="0.45">
      <c r="A132" s="1">
        <v>187.10412979569011</v>
      </c>
      <c r="B132" s="2">
        <f t="shared" si="6"/>
        <v>7987.7248461877898</v>
      </c>
    </row>
    <row r="133" spans="1:2" x14ac:dyDescent="0.45">
      <c r="A133" s="1">
        <v>251.00913706758195</v>
      </c>
      <c r="B133" s="2">
        <f t="shared" si="6"/>
        <v>648.67328671478867</v>
      </c>
    </row>
    <row r="134" spans="1:2" x14ac:dyDescent="0.45">
      <c r="A134" s="1">
        <v>218.43906919934599</v>
      </c>
      <c r="B134" s="2">
        <f t="shared" si="6"/>
        <v>3368.540977687675</v>
      </c>
    </row>
    <row r="135" spans="1:2" x14ac:dyDescent="0.45">
      <c r="A135" s="1">
        <v>434.82516443016164</v>
      </c>
      <c r="B135" s="2">
        <f t="shared" si="6"/>
        <v>25073.760397810798</v>
      </c>
    </row>
    <row r="136" spans="1:2" x14ac:dyDescent="0.45">
      <c r="A136" s="1">
        <v>221.11042209559358</v>
      </c>
      <c r="B136" s="2">
        <f t="shared" si="6"/>
        <v>3065.5910910713628</v>
      </c>
    </row>
    <row r="137" spans="1:2" x14ac:dyDescent="0.45">
      <c r="A137" s="1">
        <v>172.53484271505926</v>
      </c>
      <c r="B137" s="2">
        <f t="shared" si="6"/>
        <v>10804.222013646282</v>
      </c>
    </row>
    <row r="138" spans="1:2" x14ac:dyDescent="0.45">
      <c r="A138" s="1">
        <v>495.71101325955192</v>
      </c>
      <c r="B138" s="2">
        <f t="shared" si="6"/>
        <v>48063.025376250022</v>
      </c>
    </row>
    <row r="139" spans="1:2" x14ac:dyDescent="0.45">
      <c r="A139" s="1">
        <v>213.86728633348781</v>
      </c>
      <c r="B139" s="2">
        <f t="shared" si="6"/>
        <v>3920.1268052987452</v>
      </c>
    </row>
    <row r="140" spans="1:2" x14ac:dyDescent="0.45">
      <c r="A140" s="1">
        <v>511.496427037648</v>
      </c>
      <c r="B140" s="2">
        <f t="shared" si="6"/>
        <v>55233.565932060628</v>
      </c>
    </row>
    <row r="141" spans="1:2" x14ac:dyDescent="0.45">
      <c r="A141" s="1">
        <v>74.011159316182813</v>
      </c>
      <c r="B141" s="2">
        <f t="shared" si="6"/>
        <v>40992.903517677405</v>
      </c>
    </row>
    <row r="142" spans="1:2" x14ac:dyDescent="0.45">
      <c r="A142" s="1">
        <v>206.16605378324252</v>
      </c>
      <c r="B142" s="2">
        <f t="shared" si="6"/>
        <v>4943.7982370530362</v>
      </c>
    </row>
    <row r="143" spans="1:2" x14ac:dyDescent="0.45">
      <c r="A143" s="1">
        <v>76.461815482975467</v>
      </c>
      <c r="B143" s="2">
        <f t="shared" si="6"/>
        <v>40006.55501812492</v>
      </c>
    </row>
    <row r="144" spans="1:2" x14ac:dyDescent="0.45">
      <c r="A144" s="1">
        <v>47.67542915595395</v>
      </c>
      <c r="B144" s="2">
        <f t="shared" si="6"/>
        <v>52350.709024472686</v>
      </c>
    </row>
    <row r="145" spans="1:2" x14ac:dyDescent="0.45">
      <c r="A145" s="1">
        <v>291.17677702452175</v>
      </c>
      <c r="B145" s="2">
        <f t="shared" si="6"/>
        <v>216.04809725778046</v>
      </c>
    </row>
    <row r="146" spans="1:2" x14ac:dyDescent="0.45">
      <c r="A146" s="1">
        <v>134.87230332402521</v>
      </c>
      <c r="B146" s="2">
        <f t="shared" si="6"/>
        <v>20052.230640926758</v>
      </c>
    </row>
    <row r="147" spans="1:2" x14ac:dyDescent="0.45">
      <c r="A147" s="1">
        <v>199.11543644843971</v>
      </c>
      <c r="B147" s="2">
        <f t="shared" si="6"/>
        <v>5984.9975490170764</v>
      </c>
    </row>
    <row r="148" spans="1:2" x14ac:dyDescent="0.45">
      <c r="A148" s="1">
        <v>530.99578288292787</v>
      </c>
      <c r="B148" s="2">
        <f t="shared" si="6"/>
        <v>64779.198796790675</v>
      </c>
    </row>
    <row r="149" spans="1:2" x14ac:dyDescent="0.45">
      <c r="A149" s="1">
        <v>20.670413649223192</v>
      </c>
      <c r="B149" s="2">
        <f t="shared" si="6"/>
        <v>65437.624763544001</v>
      </c>
    </row>
    <row r="150" spans="1:2" x14ac:dyDescent="0.45">
      <c r="A150" s="1">
        <v>284.26678006048337</v>
      </c>
      <c r="B150" s="2">
        <f t="shared" si="6"/>
        <v>60.661942643764306</v>
      </c>
    </row>
    <row r="151" spans="1:2" x14ac:dyDescent="0.45">
      <c r="A151" s="1">
        <v>82.119068833463558</v>
      </c>
      <c r="B151" s="2">
        <f t="shared" si="6"/>
        <v>37775.472784005746</v>
      </c>
    </row>
    <row r="152" spans="1:2" x14ac:dyDescent="0.45">
      <c r="A152" s="1">
        <v>376.28476153968569</v>
      </c>
      <c r="B152" s="2">
        <f t="shared" si="6"/>
        <v>9961.3492558941944</v>
      </c>
    </row>
    <row r="153" spans="1:2" x14ac:dyDescent="0.45">
      <c r="A153" s="1">
        <v>89.209363168845584</v>
      </c>
      <c r="B153" s="2">
        <f t="shared" si="6"/>
        <v>35069.61813086523</v>
      </c>
    </row>
    <row r="154" spans="1:2" x14ac:dyDescent="0.45">
      <c r="A154" s="1">
        <v>422.97353373003557</v>
      </c>
      <c r="B154" s="2">
        <f t="shared" si="6"/>
        <v>21460.882114106145</v>
      </c>
    </row>
    <row r="155" spans="1:2" x14ac:dyDescent="0.45">
      <c r="A155" s="1">
        <v>186.37499794933927</v>
      </c>
      <c r="B155" s="2">
        <f t="shared" si="6"/>
        <v>8118.5874445221434</v>
      </c>
    </row>
    <row r="156" spans="1:2" x14ac:dyDescent="0.45">
      <c r="A156" s="1">
        <v>275.58962231740099</v>
      </c>
      <c r="B156" s="2">
        <f t="shared" si="6"/>
        <v>0.78957448670919417</v>
      </c>
    </row>
    <row r="157" spans="1:2" x14ac:dyDescent="0.45">
      <c r="A157" s="1">
        <v>279.71092227464675</v>
      </c>
      <c r="B157" s="2">
        <f t="shared" si="6"/>
        <v>10.450478066184928</v>
      </c>
    </row>
    <row r="158" spans="1:2" x14ac:dyDescent="0.45">
      <c r="A158" s="1">
        <v>256.5777260229512</v>
      </c>
      <c r="B158" s="2">
        <f t="shared" si="6"/>
        <v>396.02895832059028</v>
      </c>
    </row>
    <row r="159" spans="1:2" x14ac:dyDescent="0.45">
      <c r="A159" s="1">
        <v>339.84848550874926</v>
      </c>
      <c r="B159" s="2">
        <f t="shared" si="6"/>
        <v>4015.7927867374819</v>
      </c>
    </row>
    <row r="160" spans="1:2" x14ac:dyDescent="0.45">
      <c r="A160" s="1">
        <v>91.16298936540359</v>
      </c>
      <c r="B160" s="2">
        <f t="shared" si="6"/>
        <v>34341.728166107278</v>
      </c>
    </row>
    <row r="161" spans="1:2" x14ac:dyDescent="0.45">
      <c r="A161" s="1">
        <v>371.57228795950266</v>
      </c>
      <c r="B161" s="2">
        <f t="shared" si="6"/>
        <v>9042.8851165830147</v>
      </c>
    </row>
    <row r="162" spans="1:2" x14ac:dyDescent="0.45">
      <c r="A162" s="1">
        <v>165.73533880031849</v>
      </c>
      <c r="B162" s="2">
        <f t="shared" si="6"/>
        <v>12263.981828725729</v>
      </c>
    </row>
    <row r="163" spans="1:2" x14ac:dyDescent="0.45">
      <c r="A163" s="1">
        <v>431.84785533197737</v>
      </c>
      <c r="B163" s="2">
        <f t="shared" si="6"/>
        <v>24139.729065576186</v>
      </c>
    </row>
    <row r="164" spans="1:2" x14ac:dyDescent="0.45">
      <c r="A164" s="1">
        <v>518.50225693162645</v>
      </c>
      <c r="B164" s="2">
        <f t="shared" si="6"/>
        <v>58575.642992759349</v>
      </c>
    </row>
    <row r="165" spans="1:2" x14ac:dyDescent="0.45">
      <c r="A165" s="1">
        <v>597.67486927964592</v>
      </c>
      <c r="B165" s="2">
        <f t="shared" si="6"/>
        <v>103167.29884224049</v>
      </c>
    </row>
    <row r="166" spans="1:2" x14ac:dyDescent="0.45">
      <c r="A166" s="1">
        <v>70.562148340304248</v>
      </c>
      <c r="B166" s="2">
        <f t="shared" si="6"/>
        <v>42401.421301791801</v>
      </c>
    </row>
    <row r="167" spans="1:2" x14ac:dyDescent="0.45">
      <c r="A167" s="1">
        <v>161.71169634723401</v>
      </c>
      <c r="B167" s="2">
        <f t="shared" si="6"/>
        <v>13171.350901681313</v>
      </c>
    </row>
    <row r="168" spans="1:2" x14ac:dyDescent="0.45">
      <c r="A168" s="1">
        <v>365.92766702071486</v>
      </c>
      <c r="B168" s="2">
        <f t="shared" si="6"/>
        <v>8001.2067286316751</v>
      </c>
    </row>
    <row r="169" spans="1:2" x14ac:dyDescent="0.45">
      <c r="A169" s="1">
        <v>377.45761753511613</v>
      </c>
      <c r="B169" s="2">
        <f t="shared" si="6"/>
        <v>10196.842289721688</v>
      </c>
    </row>
    <row r="170" spans="1:2" x14ac:dyDescent="0.45">
      <c r="A170" s="1">
        <v>244.57049680440883</v>
      </c>
      <c r="B170" s="2">
        <f t="shared" si="6"/>
        <v>1018.1016736285384</v>
      </c>
    </row>
    <row r="171" spans="1:2" x14ac:dyDescent="0.45">
      <c r="A171" s="1">
        <v>380.53299535209015</v>
      </c>
      <c r="B171" s="2">
        <f t="shared" si="6"/>
        <v>10827.399945258625</v>
      </c>
    </row>
    <row r="172" spans="1:2" x14ac:dyDescent="0.45">
      <c r="A172" s="1">
        <v>119.77504990150319</v>
      </c>
      <c r="B172" s="2">
        <f t="shared" si="6"/>
        <v>24555.877989479286</v>
      </c>
    </row>
    <row r="173" spans="1:2" x14ac:dyDescent="0.45">
      <c r="A173" s="1">
        <v>218.24048797629771</v>
      </c>
      <c r="B173" s="2">
        <f t="shared" si="6"/>
        <v>3391.6313762840255</v>
      </c>
    </row>
    <row r="174" spans="1:2" x14ac:dyDescent="0.45">
      <c r="A174" s="1">
        <v>354.80386610839338</v>
      </c>
      <c r="B174" s="2">
        <f t="shared" si="6"/>
        <v>6134.9096021020305</v>
      </c>
    </row>
    <row r="175" spans="1:2" x14ac:dyDescent="0.45">
      <c r="A175" s="1">
        <v>200.41425382552194</v>
      </c>
      <c r="B175" s="2">
        <f t="shared" si="6"/>
        <v>5785.7242661938153</v>
      </c>
    </row>
    <row r="176" spans="1:2" x14ac:dyDescent="0.45">
      <c r="A176" s="1">
        <v>214.707941943381</v>
      </c>
      <c r="B176" s="2">
        <f t="shared" si="6"/>
        <v>3815.5650715618171</v>
      </c>
    </row>
    <row r="177" spans="1:2" x14ac:dyDescent="0.45">
      <c r="A177" s="1">
        <v>128.24713187599914</v>
      </c>
      <c r="B177" s="2">
        <f t="shared" si="6"/>
        <v>21972.450255932672</v>
      </c>
    </row>
    <row r="178" spans="1:2" x14ac:dyDescent="0.45">
      <c r="A178" s="1">
        <v>205.95740635096305</v>
      </c>
      <c r="B178" s="2">
        <f t="shared" si="6"/>
        <v>4973.1826693199519</v>
      </c>
    </row>
    <row r="179" spans="1:2" x14ac:dyDescent="0.45">
      <c r="A179" s="1">
        <v>321.52646634498285</v>
      </c>
      <c r="B179" s="2">
        <f t="shared" si="6"/>
        <v>2029.3460883342664</v>
      </c>
    </row>
    <row r="180" spans="1:2" x14ac:dyDescent="0.45">
      <c r="A180" s="1">
        <v>288.73933496950207</v>
      </c>
      <c r="B180" s="2">
        <f t="shared" si="6"/>
        <v>150.33537294225283</v>
      </c>
    </row>
    <row r="181" spans="1:2" x14ac:dyDescent="0.45">
      <c r="A181" s="1">
        <v>235.36159506521165</v>
      </c>
      <c r="B181" s="2">
        <f t="shared" si="6"/>
        <v>1690.5753951841552</v>
      </c>
    </row>
    <row r="182" spans="1:2" x14ac:dyDescent="0.45">
      <c r="A182" s="1">
        <v>536.03507312259637</v>
      </c>
      <c r="B182" s="2">
        <f t="shared" si="6"/>
        <v>67369.76916164736</v>
      </c>
    </row>
    <row r="183" spans="1:2" x14ac:dyDescent="0.45">
      <c r="A183" s="1">
        <v>228.25600047470829</v>
      </c>
      <c r="B183" s="2">
        <f t="shared" si="6"/>
        <v>2325.380754372994</v>
      </c>
    </row>
    <row r="184" spans="1:2" x14ac:dyDescent="0.45">
      <c r="A184" s="1">
        <v>215.51690149816432</v>
      </c>
      <c r="B184" s="2">
        <f t="shared" si="6"/>
        <v>3716.2802023970503</v>
      </c>
    </row>
    <row r="185" spans="1:2" x14ac:dyDescent="0.45">
      <c r="A185" s="1">
        <v>172.97098123856031</v>
      </c>
      <c r="B185" s="2">
        <f t="shared" si="6"/>
        <v>10713.744823654044</v>
      </c>
    </row>
    <row r="186" spans="1:2" x14ac:dyDescent="0.45">
      <c r="A186" s="1">
        <v>298.65735848541505</v>
      </c>
      <c r="B186" s="2">
        <f t="shared" si="6"/>
        <v>491.91496657022248</v>
      </c>
    </row>
    <row r="187" spans="1:2" x14ac:dyDescent="0.45">
      <c r="A187" s="1">
        <v>157.53435581019252</v>
      </c>
      <c r="B187" s="2">
        <f t="shared" si="6"/>
        <v>14147.638631341841</v>
      </c>
    </row>
    <row r="188" spans="1:2" x14ac:dyDescent="0.45">
      <c r="A188" s="1">
        <v>84.03211744007605</v>
      </c>
      <c r="B188" s="2">
        <f t="shared" si="6"/>
        <v>37035.495599837923</v>
      </c>
    </row>
    <row r="189" spans="1:2" x14ac:dyDescent="0.45">
      <c r="A189" s="1">
        <v>188.71752493582289</v>
      </c>
      <c r="B189" s="2">
        <f t="shared" si="6"/>
        <v>7701.9365014175273</v>
      </c>
    </row>
    <row r="190" spans="1:2" x14ac:dyDescent="0.45">
      <c r="A190" s="1">
        <v>116.60437593747307</v>
      </c>
      <c r="B190" s="2">
        <f t="shared" si="6"/>
        <v>25559.64037400941</v>
      </c>
    </row>
    <row r="191" spans="1:2" x14ac:dyDescent="0.45">
      <c r="A191" s="1">
        <v>134.94640883037687</v>
      </c>
      <c r="B191" s="2">
        <f t="shared" si="6"/>
        <v>20031.248578852395</v>
      </c>
    </row>
    <row r="192" spans="1:2" x14ac:dyDescent="0.45">
      <c r="A192" s="1">
        <v>435.11415526329688</v>
      </c>
      <c r="B192" s="2">
        <f t="shared" si="6"/>
        <v>25165.365554500371</v>
      </c>
    </row>
    <row r="193" spans="1:2" x14ac:dyDescent="0.45">
      <c r="A193" s="1">
        <v>177.72815000706601</v>
      </c>
      <c r="B193" s="2">
        <f t="shared" si="6"/>
        <v>9751.5728391075281</v>
      </c>
    </row>
    <row r="194" spans="1:2" x14ac:dyDescent="0.45">
      <c r="A194" s="1">
        <v>134.98922638929375</v>
      </c>
      <c r="B194" s="2">
        <f t="shared" si="6"/>
        <v>20019.130320379874</v>
      </c>
    </row>
    <row r="195" spans="1:2" x14ac:dyDescent="0.45">
      <c r="A195" s="1">
        <v>726.69771335095948</v>
      </c>
      <c r="B195" s="2">
        <f t="shared" ref="B195:B258" si="7">(A195-$G$4)*(A195-$G$4)</f>
        <v>202697.6080796727</v>
      </c>
    </row>
    <row r="196" spans="1:2" x14ac:dyDescent="0.45">
      <c r="A196" s="1">
        <v>37.717606599446796</v>
      </c>
      <c r="B196" s="2">
        <f t="shared" si="7"/>
        <v>57006.622086484378</v>
      </c>
    </row>
    <row r="197" spans="1:2" x14ac:dyDescent="0.45">
      <c r="A197" s="1">
        <v>110.9162647661596</v>
      </c>
      <c r="B197" s="2">
        <f t="shared" si="7"/>
        <v>27410.755178821299</v>
      </c>
    </row>
    <row r="198" spans="1:2" x14ac:dyDescent="0.45">
      <c r="A198" s="1">
        <v>416.9380434712856</v>
      </c>
      <c r="B198" s="2">
        <f t="shared" si="7"/>
        <v>19728.966965860564</v>
      </c>
    </row>
    <row r="199" spans="1:2" x14ac:dyDescent="0.45">
      <c r="A199" s="1">
        <v>463.39474499202589</v>
      </c>
      <c r="B199" s="2">
        <f t="shared" si="7"/>
        <v>34937.793910645036</v>
      </c>
    </row>
    <row r="200" spans="1:2" x14ac:dyDescent="0.45">
      <c r="A200" s="1">
        <v>445.64779833094963</v>
      </c>
      <c r="B200" s="2">
        <f t="shared" si="7"/>
        <v>28618.352202001646</v>
      </c>
    </row>
    <row r="201" spans="1:2" x14ac:dyDescent="0.45">
      <c r="A201" s="1">
        <v>90.023263673380285</v>
      </c>
      <c r="B201" s="2">
        <f t="shared" si="7"/>
        <v>34765.444159498838</v>
      </c>
    </row>
    <row r="202" spans="1:2" x14ac:dyDescent="0.45">
      <c r="A202" s="1">
        <v>111.84495600627909</v>
      </c>
      <c r="B202" s="2">
        <f t="shared" si="7"/>
        <v>27104.105803965194</v>
      </c>
    </row>
    <row r="203" spans="1:2" x14ac:dyDescent="0.45">
      <c r="A203" s="1">
        <v>162.30978025416906</v>
      </c>
      <c r="B203" s="2">
        <f t="shared" si="7"/>
        <v>13034.428605441881</v>
      </c>
    </row>
    <row r="204" spans="1:2" x14ac:dyDescent="0.45">
      <c r="A204" s="1">
        <v>234.84640082560213</v>
      </c>
      <c r="B204" s="2">
        <f t="shared" si="7"/>
        <v>1733.2068987466764</v>
      </c>
    </row>
    <row r="205" spans="1:2" x14ac:dyDescent="0.45">
      <c r="A205" s="1">
        <v>66.950234133569865</v>
      </c>
      <c r="B205" s="2">
        <f t="shared" si="7"/>
        <v>43901.969467823525</v>
      </c>
    </row>
    <row r="206" spans="1:2" x14ac:dyDescent="0.45">
      <c r="A206" s="1">
        <v>177.5374219583199</v>
      </c>
      <c r="B206" s="2">
        <f t="shared" si="7"/>
        <v>9789.2780258926505</v>
      </c>
    </row>
    <row r="207" spans="1:2" x14ac:dyDescent="0.45">
      <c r="A207" s="1">
        <v>239.54245962962358</v>
      </c>
      <c r="B207" s="2">
        <f t="shared" si="7"/>
        <v>1364.249090820256</v>
      </c>
    </row>
    <row r="208" spans="1:2" x14ac:dyDescent="0.45">
      <c r="A208" s="1">
        <v>291.72591184571502</v>
      </c>
      <c r="B208" s="2">
        <f t="shared" si="7"/>
        <v>232.4926446533581</v>
      </c>
    </row>
    <row r="209" spans="1:2" x14ac:dyDescent="0.45">
      <c r="A209" s="1">
        <v>186.39378572164745</v>
      </c>
      <c r="B209" s="2">
        <f t="shared" si="7"/>
        <v>8115.2021205252368</v>
      </c>
    </row>
    <row r="210" spans="1:2" x14ac:dyDescent="0.45">
      <c r="A210" s="1">
        <v>392.71613683829855</v>
      </c>
      <c r="B210" s="2">
        <f t="shared" si="7"/>
        <v>13511.257412487103</v>
      </c>
    </row>
    <row r="211" spans="1:2" x14ac:dyDescent="0.45">
      <c r="A211" s="1">
        <v>310.43986982567407</v>
      </c>
      <c r="B211" s="2">
        <f t="shared" si="7"/>
        <v>1153.3948572552624</v>
      </c>
    </row>
    <row r="212" spans="1:2" x14ac:dyDescent="0.45">
      <c r="A212" s="1">
        <v>79.840544827341972</v>
      </c>
      <c r="B212" s="2">
        <f t="shared" si="7"/>
        <v>38666.368358736785</v>
      </c>
    </row>
    <row r="213" spans="1:2" x14ac:dyDescent="0.45">
      <c r="A213" s="1">
        <v>119.33915218619305</v>
      </c>
      <c r="B213" s="2">
        <f t="shared" si="7"/>
        <v>24692.681088571964</v>
      </c>
    </row>
    <row r="214" spans="1:2" x14ac:dyDescent="0.45">
      <c r="A214" s="1">
        <v>367.23302635699696</v>
      </c>
      <c r="B214" s="2">
        <f t="shared" si="7"/>
        <v>8236.4380792770189</v>
      </c>
    </row>
    <row r="215" spans="1:2" x14ac:dyDescent="0.45">
      <c r="A215" s="1">
        <v>486.35828173205414</v>
      </c>
      <c r="B215" s="2">
        <f t="shared" si="7"/>
        <v>44049.647718494278</v>
      </c>
    </row>
    <row r="216" spans="1:2" x14ac:dyDescent="0.45">
      <c r="A216" s="1">
        <v>256.05518500026949</v>
      </c>
      <c r="B216" s="2">
        <f t="shared" si="7"/>
        <v>417.09963795183148</v>
      </c>
    </row>
    <row r="217" spans="1:2" x14ac:dyDescent="0.45">
      <c r="A217" s="1">
        <v>285.08298599277799</v>
      </c>
      <c r="B217" s="2">
        <f t="shared" si="7"/>
        <v>74.04230141917806</v>
      </c>
    </row>
    <row r="218" spans="1:2" x14ac:dyDescent="0.45">
      <c r="A218" s="1">
        <v>241.71401619990274</v>
      </c>
      <c r="B218" s="2">
        <f t="shared" si="7"/>
        <v>1208.548639162786</v>
      </c>
    </row>
    <row r="219" spans="1:2" x14ac:dyDescent="0.45">
      <c r="A219" s="1">
        <v>193.87040170218972</v>
      </c>
      <c r="B219" s="2">
        <f t="shared" si="7"/>
        <v>6824.0487290188694</v>
      </c>
    </row>
    <row r="220" spans="1:2" x14ac:dyDescent="0.45">
      <c r="A220" s="1">
        <v>523.79082837137696</v>
      </c>
      <c r="B220" s="2">
        <f t="shared" si="7"/>
        <v>61163.53498614506</v>
      </c>
    </row>
    <row r="221" spans="1:2" x14ac:dyDescent="0.45">
      <c r="A221" s="1">
        <v>315.01964194717908</v>
      </c>
      <c r="B221" s="2">
        <f t="shared" si="7"/>
        <v>1485.4425656862245</v>
      </c>
    </row>
    <row r="222" spans="1:2" x14ac:dyDescent="0.45">
      <c r="A222" s="1">
        <v>865.33275330337858</v>
      </c>
      <c r="B222" s="2">
        <f t="shared" si="7"/>
        <v>346749.682170304</v>
      </c>
    </row>
    <row r="223" spans="1:2" x14ac:dyDescent="0.45">
      <c r="A223" s="1">
        <v>194.59370822675589</v>
      </c>
      <c r="B223" s="2">
        <f t="shared" si="7"/>
        <v>6705.0703789600311</v>
      </c>
    </row>
    <row r="224" spans="1:2" x14ac:dyDescent="0.45">
      <c r="A224" s="1">
        <v>387.39636318795874</v>
      </c>
      <c r="B224" s="2">
        <f t="shared" si="7"/>
        <v>12302.83840213049</v>
      </c>
    </row>
    <row r="225" spans="1:2" x14ac:dyDescent="0.45">
      <c r="A225" s="1">
        <v>271.6269917213491</v>
      </c>
      <c r="B225" s="2">
        <f t="shared" si="7"/>
        <v>23.53424463109986</v>
      </c>
    </row>
    <row r="226" spans="1:2" x14ac:dyDescent="0.45">
      <c r="A226" s="1">
        <v>480.38449609376869</v>
      </c>
      <c r="B226" s="2">
        <f t="shared" si="7"/>
        <v>41577.776625480212</v>
      </c>
    </row>
    <row r="227" spans="1:2" x14ac:dyDescent="0.45">
      <c r="A227" s="1">
        <v>451.21034960551799</v>
      </c>
      <c r="B227" s="2">
        <f t="shared" si="7"/>
        <v>30531.32328209047</v>
      </c>
    </row>
    <row r="228" spans="1:2" x14ac:dyDescent="0.45">
      <c r="A228" s="1">
        <v>332.09111879125544</v>
      </c>
      <c r="B228" s="2">
        <f t="shared" si="7"/>
        <v>3092.7964743275202</v>
      </c>
    </row>
    <row r="229" spans="1:2" x14ac:dyDescent="0.45">
      <c r="A229" s="1">
        <v>512.84909718625829</v>
      </c>
      <c r="B229" s="2">
        <f t="shared" si="7"/>
        <v>55871.199922401458</v>
      </c>
    </row>
    <row r="230" spans="1:2" x14ac:dyDescent="0.45">
      <c r="A230" s="1">
        <v>122.96997606972863</v>
      </c>
      <c r="B230" s="2">
        <f t="shared" si="7"/>
        <v>23564.775537852958</v>
      </c>
    </row>
    <row r="231" spans="1:2" x14ac:dyDescent="0.45">
      <c r="A231" s="1">
        <v>480.00664323151329</v>
      </c>
      <c r="B231" s="2">
        <f t="shared" si="7"/>
        <v>41423.826244825046</v>
      </c>
    </row>
    <row r="232" spans="1:2" x14ac:dyDescent="0.45">
      <c r="A232" s="1">
        <v>330.10248607640631</v>
      </c>
      <c r="B232" s="2">
        <f t="shared" si="7"/>
        <v>2875.5638044232815</v>
      </c>
    </row>
    <row r="233" spans="1:2" x14ac:dyDescent="0.45">
      <c r="A233" s="1">
        <v>459.81737145887951</v>
      </c>
      <c r="B233" s="2">
        <f t="shared" si="7"/>
        <v>33613.250926980894</v>
      </c>
    </row>
    <row r="234" spans="1:2" x14ac:dyDescent="0.45">
      <c r="A234" s="1">
        <v>184.61188525349203</v>
      </c>
      <c r="B234" s="2">
        <f t="shared" si="7"/>
        <v>8439.4202181556047</v>
      </c>
    </row>
    <row r="235" spans="1:2" x14ac:dyDescent="0.45">
      <c r="A235" s="1">
        <v>346.98833471843756</v>
      </c>
      <c r="B235" s="2">
        <f t="shared" si="7"/>
        <v>4971.6787656325678</v>
      </c>
    </row>
    <row r="236" spans="1:2" x14ac:dyDescent="0.45">
      <c r="A236" s="1">
        <v>460.73292823690343</v>
      </c>
      <c r="B236" s="2">
        <f t="shared" si="7"/>
        <v>33949.804009091749</v>
      </c>
    </row>
    <row r="237" spans="1:2" x14ac:dyDescent="0.45">
      <c r="A237" s="1">
        <v>467.9847413320195</v>
      </c>
      <c r="B237" s="2">
        <f t="shared" si="7"/>
        <v>36674.754470204578</v>
      </c>
    </row>
    <row r="238" spans="1:2" x14ac:dyDescent="0.45">
      <c r="A238" s="1">
        <v>77.622403875490676</v>
      </c>
      <c r="B238" s="2">
        <f t="shared" si="7"/>
        <v>39543.628589704196</v>
      </c>
    </row>
    <row r="239" spans="1:2" x14ac:dyDescent="0.45">
      <c r="A239" s="1">
        <v>119.58825745841665</v>
      </c>
      <c r="B239" s="2">
        <f t="shared" si="7"/>
        <v>24614.454810269119</v>
      </c>
    </row>
    <row r="240" spans="1:2" x14ac:dyDescent="0.45">
      <c r="A240" s="1">
        <v>309.06163789052243</v>
      </c>
      <c r="B240" s="2">
        <f t="shared" si="7"/>
        <v>1061.6802711695802</v>
      </c>
    </row>
    <row r="241" spans="1:2" x14ac:dyDescent="0.45">
      <c r="A241" s="1">
        <v>184.82720896225106</v>
      </c>
      <c r="B241" s="2">
        <f t="shared" si="7"/>
        <v>8399.9045902376529</v>
      </c>
    </row>
    <row r="242" spans="1:2" x14ac:dyDescent="0.45">
      <c r="A242" s="1">
        <v>371.43707688508533</v>
      </c>
      <c r="B242" s="2">
        <f t="shared" si="7"/>
        <v>9017.1878516475535</v>
      </c>
    </row>
    <row r="243" spans="1:2" x14ac:dyDescent="0.45">
      <c r="A243" s="1">
        <v>200.06010326821254</v>
      </c>
      <c r="B243" s="2">
        <f t="shared" si="7"/>
        <v>5839.7258683381851</v>
      </c>
    </row>
    <row r="244" spans="1:2" x14ac:dyDescent="0.45">
      <c r="A244" s="1">
        <v>208.77621431110893</v>
      </c>
      <c r="B244" s="2">
        <f t="shared" si="7"/>
        <v>4583.5591853610576</v>
      </c>
    </row>
    <row r="245" spans="1:2" x14ac:dyDescent="0.45">
      <c r="A245" s="1">
        <v>292.37011409145134</v>
      </c>
      <c r="B245" s="2">
        <f t="shared" si="7"/>
        <v>252.55285857674716</v>
      </c>
    </row>
    <row r="246" spans="1:2" x14ac:dyDescent="0.45">
      <c r="A246" s="1">
        <v>264.26874188234132</v>
      </c>
      <c r="B246" s="2">
        <f t="shared" si="7"/>
        <v>149.07092508136535</v>
      </c>
    </row>
    <row r="247" spans="1:2" x14ac:dyDescent="0.45">
      <c r="A247" s="1">
        <v>429.0765170360126</v>
      </c>
      <c r="B247" s="2">
        <f t="shared" si="7"/>
        <v>23286.245642886042</v>
      </c>
    </row>
    <row r="248" spans="1:2" x14ac:dyDescent="0.45">
      <c r="A248" s="1">
        <v>867.77584494766484</v>
      </c>
      <c r="B248" s="2">
        <f t="shared" si="7"/>
        <v>349632.90213332052</v>
      </c>
    </row>
    <row r="249" spans="1:2" x14ac:dyDescent="0.45">
      <c r="A249" s="1">
        <v>130.81690961984725</v>
      </c>
      <c r="B249" s="2">
        <f t="shared" si="7"/>
        <v>21217.212201847924</v>
      </c>
    </row>
    <row r="250" spans="1:2" x14ac:dyDescent="0.45">
      <c r="A250" s="1">
        <v>184.54945804544684</v>
      </c>
      <c r="B250" s="2">
        <f t="shared" si="7"/>
        <v>8450.8940306922359</v>
      </c>
    </row>
    <row r="251" spans="1:2" x14ac:dyDescent="0.45">
      <c r="A251" s="1">
        <v>142.39879947909134</v>
      </c>
      <c r="B251" s="2">
        <f t="shared" si="7"/>
        <v>17977.286276086797</v>
      </c>
    </row>
    <row r="252" spans="1:2" x14ac:dyDescent="0.45">
      <c r="A252" s="1">
        <v>291.26399274604813</v>
      </c>
      <c r="B252" s="2">
        <f t="shared" si="7"/>
        <v>218.61959742994262</v>
      </c>
    </row>
    <row r="253" spans="1:2" x14ac:dyDescent="0.45">
      <c r="A253" s="1">
        <v>179.83761527092958</v>
      </c>
      <c r="B253" s="2">
        <f t="shared" si="7"/>
        <v>9339.4030723333381</v>
      </c>
    </row>
    <row r="254" spans="1:2" x14ac:dyDescent="0.45">
      <c r="A254" s="1">
        <v>79.013566197284092</v>
      </c>
      <c r="B254" s="2">
        <f t="shared" si="7"/>
        <v>38992.282533674632</v>
      </c>
    </row>
    <row r="255" spans="1:2" x14ac:dyDescent="0.45">
      <c r="A255" s="1">
        <v>424.13906377686402</v>
      </c>
      <c r="B255" s="2">
        <f t="shared" si="7"/>
        <v>21803.729995267018</v>
      </c>
    </row>
    <row r="256" spans="1:2" x14ac:dyDescent="0.45">
      <c r="A256" s="1">
        <v>210.27814426747537</v>
      </c>
      <c r="B256" s="2">
        <f t="shared" si="7"/>
        <v>4382.4476910516241</v>
      </c>
    </row>
    <row r="257" spans="1:2" x14ac:dyDescent="0.45">
      <c r="A257" s="1">
        <v>334.75080264001713</v>
      </c>
      <c r="B257" s="2">
        <f t="shared" si="7"/>
        <v>3395.6959437485225</v>
      </c>
    </row>
    <row r="258" spans="1:2" x14ac:dyDescent="0.45">
      <c r="A258" s="1">
        <v>518.77563511668131</v>
      </c>
      <c r="B258" s="2">
        <f t="shared" si="7"/>
        <v>58708.045921949895</v>
      </c>
    </row>
    <row r="259" spans="1:2" x14ac:dyDescent="0.45">
      <c r="A259" s="1">
        <v>61.397898222383425</v>
      </c>
      <c r="B259" s="2">
        <f t="shared" ref="B259:B301" si="8">(A259-$G$4)*(A259-$G$4)</f>
        <v>46259.537226623535</v>
      </c>
    </row>
    <row r="260" spans="1:2" x14ac:dyDescent="0.45">
      <c r="A260" s="1">
        <v>281.6184921872071</v>
      </c>
      <c r="B260" s="2">
        <f t="shared" si="8"/>
        <v>26.422579538904053</v>
      </c>
    </row>
    <row r="261" spans="1:2" x14ac:dyDescent="0.45">
      <c r="A261" s="1">
        <v>290.77485568812358</v>
      </c>
      <c r="B261" s="2">
        <f t="shared" si="8"/>
        <v>204.39429647136595</v>
      </c>
    </row>
    <row r="262" spans="1:2" x14ac:dyDescent="0.45">
      <c r="A262" s="1">
        <v>620.76555402821157</v>
      </c>
      <c r="B262" s="2">
        <f t="shared" si="8"/>
        <v>118533.78052080153</v>
      </c>
    </row>
    <row r="263" spans="1:2" x14ac:dyDescent="0.45">
      <c r="A263" s="1">
        <v>277.16883007229029</v>
      </c>
      <c r="B263" s="2">
        <f t="shared" si="8"/>
        <v>0.47696664117727705</v>
      </c>
    </row>
    <row r="264" spans="1:2" x14ac:dyDescent="0.45">
      <c r="A264" s="1">
        <v>130.53417702164145</v>
      </c>
      <c r="B264" s="2">
        <f t="shared" si="8"/>
        <v>21299.65853107717</v>
      </c>
    </row>
    <row r="265" spans="1:2" x14ac:dyDescent="0.45">
      <c r="A265" s="1">
        <v>224.6911762536235</v>
      </c>
      <c r="B265" s="2">
        <f t="shared" si="8"/>
        <v>2681.8960726280361</v>
      </c>
    </row>
    <row r="266" spans="1:2" x14ac:dyDescent="0.45">
      <c r="A266" s="1">
        <v>91.293203068559166</v>
      </c>
      <c r="B266" s="2">
        <f t="shared" si="8"/>
        <v>34293.483961446371</v>
      </c>
    </row>
    <row r="267" spans="1:2" x14ac:dyDescent="0.45">
      <c r="A267" s="1">
        <v>489.83729786120944</v>
      </c>
      <c r="B267" s="2">
        <f t="shared" si="8"/>
        <v>45522.103634389867</v>
      </c>
    </row>
    <row r="268" spans="1:2" x14ac:dyDescent="0.45">
      <c r="A268" s="1">
        <v>171.93808248286928</v>
      </c>
      <c r="B268" s="2">
        <f t="shared" si="8"/>
        <v>10928.636663290024</v>
      </c>
    </row>
    <row r="269" spans="1:2" x14ac:dyDescent="0.45">
      <c r="A269" s="1">
        <v>127.74069801309761</v>
      </c>
      <c r="B269" s="2">
        <f t="shared" si="8"/>
        <v>22122.845198441573</v>
      </c>
    </row>
    <row r="270" spans="1:2" x14ac:dyDescent="0.45">
      <c r="A270" s="1">
        <v>662.8111931353335</v>
      </c>
      <c r="B270" s="2">
        <f t="shared" si="8"/>
        <v>149253.17976375998</v>
      </c>
    </row>
    <row r="271" spans="1:2" x14ac:dyDescent="0.45">
      <c r="A271" s="1">
        <v>313.04575332232662</v>
      </c>
      <c r="B271" s="2">
        <f t="shared" si="8"/>
        <v>1337.1857836044171</v>
      </c>
    </row>
    <row r="272" spans="1:2" x14ac:dyDescent="0.45">
      <c r="A272" s="1">
        <v>310.21369813644799</v>
      </c>
      <c r="B272" s="2">
        <f t="shared" si="8"/>
        <v>1138.0836754876048</v>
      </c>
    </row>
    <row r="273" spans="1:2" x14ac:dyDescent="0.45">
      <c r="A273" s="1">
        <v>92.858391169629328</v>
      </c>
      <c r="B273" s="2">
        <f t="shared" si="8"/>
        <v>33716.235060472311</v>
      </c>
    </row>
    <row r="274" spans="1:2" x14ac:dyDescent="0.45">
      <c r="A274" s="1">
        <v>124.30171322792503</v>
      </c>
      <c r="B274" s="2">
        <f t="shared" si="8"/>
        <v>23157.68384364041</v>
      </c>
    </row>
    <row r="275" spans="1:2" x14ac:dyDescent="0.45">
      <c r="A275" s="1">
        <v>323.14036860304128</v>
      </c>
      <c r="B275" s="2">
        <f t="shared" si="8"/>
        <v>2177.3577587765853</v>
      </c>
    </row>
    <row r="276" spans="1:2" x14ac:dyDescent="0.45">
      <c r="A276" s="1">
        <v>149.17970318256215</v>
      </c>
      <c r="B276" s="2">
        <f t="shared" si="8"/>
        <v>16204.907892055102</v>
      </c>
    </row>
    <row r="277" spans="1:2" x14ac:dyDescent="0.45">
      <c r="A277" s="1">
        <v>80.646400483547254</v>
      </c>
      <c r="B277" s="2">
        <f t="shared" si="8"/>
        <v>38350.094624989011</v>
      </c>
    </row>
    <row r="278" spans="1:2" x14ac:dyDescent="0.45">
      <c r="A278" s="1">
        <v>454.99203276299579</v>
      </c>
      <c r="B278" s="2">
        <f t="shared" si="8"/>
        <v>31867.1876462336</v>
      </c>
    </row>
    <row r="279" spans="1:2" x14ac:dyDescent="0.45">
      <c r="A279" s="1">
        <v>332.40057234751691</v>
      </c>
      <c r="B279" s="2">
        <f t="shared" si="8"/>
        <v>3127.3114653603307</v>
      </c>
    </row>
    <row r="280" spans="1:2" x14ac:dyDescent="0.45">
      <c r="A280" s="1">
        <v>612.4557931085468</v>
      </c>
      <c r="B280" s="2">
        <f t="shared" si="8"/>
        <v>112880.94148723828</v>
      </c>
    </row>
    <row r="281" spans="1:2" x14ac:dyDescent="0.45">
      <c r="A281" s="1">
        <v>572.58474270260967</v>
      </c>
      <c r="B281" s="2">
        <f t="shared" si="8"/>
        <v>87679.083235467682</v>
      </c>
    </row>
    <row r="282" spans="1:2" x14ac:dyDescent="0.45">
      <c r="A282" s="1">
        <v>56.083659595874558</v>
      </c>
      <c r="B282" s="2">
        <f t="shared" si="8"/>
        <v>48573.75447886953</v>
      </c>
    </row>
    <row r="283" spans="1:2" x14ac:dyDescent="0.45">
      <c r="A283" s="1">
        <v>329.4403542661974</v>
      </c>
      <c r="B283" s="2">
        <f t="shared" si="8"/>
        <v>2804.9895348567511</v>
      </c>
    </row>
    <row r="284" spans="1:2" x14ac:dyDescent="0.45">
      <c r="A284" s="1">
        <v>365.64599340118349</v>
      </c>
      <c r="B284" s="2">
        <f t="shared" si="8"/>
        <v>7950.8949597056489</v>
      </c>
    </row>
    <row r="285" spans="1:2" x14ac:dyDescent="0.45">
      <c r="A285" s="1">
        <v>126.82603233645506</v>
      </c>
      <c r="B285" s="2">
        <f t="shared" si="8"/>
        <v>22395.771991847214</v>
      </c>
    </row>
    <row r="286" spans="1:2" x14ac:dyDescent="0.45">
      <c r="A286" s="1">
        <v>294.07961924215846</v>
      </c>
      <c r="B286" s="2">
        <f t="shared" si="8"/>
        <v>309.80987636642044</v>
      </c>
    </row>
    <row r="287" spans="1:2" x14ac:dyDescent="0.45">
      <c r="A287" s="1">
        <v>1175.2574865837441</v>
      </c>
      <c r="B287" s="2">
        <f t="shared" si="8"/>
        <v>807804.20175520377</v>
      </c>
    </row>
    <row r="288" spans="1:2" x14ac:dyDescent="0.45">
      <c r="A288" s="1">
        <v>194.39564368997893</v>
      </c>
      <c r="B288" s="2">
        <f t="shared" si="8"/>
        <v>6737.5464373189916</v>
      </c>
    </row>
    <row r="289" spans="1:2" x14ac:dyDescent="0.45">
      <c r="A289" s="1">
        <v>484.62499695018482</v>
      </c>
      <c r="B289" s="2">
        <f t="shared" si="8"/>
        <v>43325.0880994326</v>
      </c>
    </row>
    <row r="290" spans="1:2" x14ac:dyDescent="0.45">
      <c r="A290" s="1">
        <v>81.820791783476238</v>
      </c>
      <c r="B290" s="2">
        <f t="shared" si="8"/>
        <v>37891.507491175253</v>
      </c>
    </row>
    <row r="291" spans="1:2" x14ac:dyDescent="0.45">
      <c r="A291" s="1">
        <v>216.83048561323341</v>
      </c>
      <c r="B291" s="2">
        <f t="shared" si="8"/>
        <v>3557.8501127402787</v>
      </c>
    </row>
    <row r="292" spans="1:2" x14ac:dyDescent="0.45">
      <c r="A292" s="1">
        <v>166.16341596586523</v>
      </c>
      <c r="B292" s="2">
        <f t="shared" si="8"/>
        <v>12169.352096513678</v>
      </c>
    </row>
    <row r="293" spans="1:2" x14ac:dyDescent="0.45">
      <c r="A293" s="1">
        <v>119.94525731901157</v>
      </c>
      <c r="B293" s="2">
        <f t="shared" si="8"/>
        <v>24502.56288225453</v>
      </c>
    </row>
    <row r="294" spans="1:2" x14ac:dyDescent="0.45">
      <c r="A294" s="1">
        <v>166.84843737976666</v>
      </c>
      <c r="B294" s="2">
        <f t="shared" si="8"/>
        <v>12018.68536895545</v>
      </c>
    </row>
    <row r="295" spans="1:2" x14ac:dyDescent="0.45">
      <c r="A295" s="1">
        <v>776.85745898782318</v>
      </c>
      <c r="B295" s="2">
        <f t="shared" si="8"/>
        <v>250379.40046645157</v>
      </c>
    </row>
    <row r="296" spans="1:2" x14ac:dyDescent="0.45">
      <c r="A296" s="1">
        <v>268.29252853274653</v>
      </c>
      <c r="B296" s="2">
        <f t="shared" si="8"/>
        <v>67.005255956473547</v>
      </c>
    </row>
    <row r="297" spans="1:2" x14ac:dyDescent="0.45">
      <c r="A297" s="1">
        <v>100.90005371730453</v>
      </c>
      <c r="B297" s="2">
        <f t="shared" si="8"/>
        <v>30827.686279730235</v>
      </c>
    </row>
    <row r="298" spans="1:2" x14ac:dyDescent="0.45">
      <c r="A298" s="1">
        <v>132.23708960717579</v>
      </c>
      <c r="B298" s="2">
        <f t="shared" si="8"/>
        <v>20805.498607297017</v>
      </c>
    </row>
    <row r="299" spans="1:2" x14ac:dyDescent="0.45">
      <c r="A299" s="1">
        <v>355.01246274237479</v>
      </c>
      <c r="B299" s="2">
        <f t="shared" si="8"/>
        <v>6167.6300542835561</v>
      </c>
    </row>
    <row r="300" spans="1:2" x14ac:dyDescent="0.45">
      <c r="A300" s="1">
        <v>287.47470278036786</v>
      </c>
      <c r="B300" s="2">
        <f t="shared" si="8"/>
        <v>120.92302156192875</v>
      </c>
    </row>
    <row r="301" spans="1:2" x14ac:dyDescent="0.45">
      <c r="A301" s="1">
        <v>218.61940586082983</v>
      </c>
      <c r="B301" s="2">
        <f t="shared" si="8"/>
        <v>3347.6403319810288</v>
      </c>
    </row>
  </sheetData>
  <mergeCells count="1">
    <mergeCell ref="D8:D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4E34-D3FC-402D-884D-009AEEB378D9}">
  <sheetPr codeName="Лист6"/>
  <dimension ref="A1:P301"/>
  <sheetViews>
    <sheetView workbookViewId="0">
      <selection activeCell="O4" sqref="O4:O10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 s="1">
        <v>107.28158389327129</v>
      </c>
      <c r="B2" s="2">
        <f>(A2-$G$4)*(A2-$G$4)</f>
        <v>24903.047752011877</v>
      </c>
      <c r="F2" t="s">
        <v>9</v>
      </c>
      <c r="G2">
        <f>G3</f>
        <v>200</v>
      </c>
      <c r="O2" t="s">
        <v>11</v>
      </c>
    </row>
    <row r="3" spans="1:16" x14ac:dyDescent="0.45">
      <c r="A3" s="1">
        <v>127.82735370530034</v>
      </c>
      <c r="B3" s="2">
        <f t="shared" ref="B3:B66" si="0">(A3-$G$4)*(A3-$G$4)</f>
        <v>18840.644010628224</v>
      </c>
      <c r="E3" t="s">
        <v>6</v>
      </c>
      <c r="G3" s="2">
        <f>COUNT(A:A)</f>
        <v>200</v>
      </c>
      <c r="O3" s="4"/>
    </row>
    <row r="4" spans="1:16" x14ac:dyDescent="0.45">
      <c r="A4" s="1">
        <v>408.3546686385011</v>
      </c>
      <c r="B4" s="2">
        <f t="shared" si="0"/>
        <v>20525.172397277565</v>
      </c>
      <c r="E4" t="s">
        <v>0</v>
      </c>
      <c r="F4" s="2"/>
      <c r="G4" s="2">
        <f>SUM(A:A)/G2</f>
        <v>265.08857915017325</v>
      </c>
      <c r="O4" s="5">
        <f>(P4-G4)/G4</f>
        <v>4.2965348576326903E-2</v>
      </c>
      <c r="P4">
        <f>'300'!G4</f>
        <v>276.47820235696366</v>
      </c>
    </row>
    <row r="5" spans="1:16" x14ac:dyDescent="0.45">
      <c r="A5" s="1">
        <v>98.890546210211852</v>
      </c>
      <c r="B5" s="2">
        <f t="shared" si="0"/>
        <v>27621.786153112491</v>
      </c>
      <c r="E5" t="s">
        <v>1</v>
      </c>
      <c r="F5" s="2"/>
      <c r="G5" s="2">
        <f>SUM(B:B)/(G2-1)</f>
        <v>24872.851705375226</v>
      </c>
      <c r="O5" s="5">
        <f t="shared" ref="O5:O10" si="1">(P5-G5)/G5</f>
        <v>0.17791773126558524</v>
      </c>
      <c r="P5">
        <f>'300'!G5</f>
        <v>29298.173050900929</v>
      </c>
    </row>
    <row r="6" spans="1:16" x14ac:dyDescent="0.45">
      <c r="A6" s="1">
        <v>701.75957763374743</v>
      </c>
      <c r="B6" s="2">
        <f t="shared" si="0"/>
        <v>190681.56091664164</v>
      </c>
      <c r="E6" t="s">
        <v>2</v>
      </c>
      <c r="F6" s="2"/>
      <c r="G6" s="2">
        <f>SQRT(G5)</f>
        <v>157.71129225700747</v>
      </c>
      <c r="J6" s="3"/>
      <c r="O6" s="5">
        <f t="shared" si="1"/>
        <v>8.5319184049367766E-2</v>
      </c>
      <c r="P6">
        <f>'300'!G6</f>
        <v>171.16709102774672</v>
      </c>
    </row>
    <row r="7" spans="1:16" ht="14.25" customHeight="1" x14ac:dyDescent="0.45">
      <c r="A7" s="1">
        <v>271.81439391360277</v>
      </c>
      <c r="B7" s="2">
        <f t="shared" si="0"/>
        <v>45.236584231966567</v>
      </c>
      <c r="E7" t="s">
        <v>3</v>
      </c>
      <c r="F7" s="2"/>
      <c r="G7" s="2">
        <f>G6/G4</f>
        <v>0.59493808734650799</v>
      </c>
      <c r="J7" s="3"/>
      <c r="O7" s="5">
        <f t="shared" si="1"/>
        <v>4.060905334089468E-2</v>
      </c>
      <c r="P7">
        <f>'300'!G7</f>
        <v>0.6190979598700922</v>
      </c>
    </row>
    <row r="8" spans="1:16" x14ac:dyDescent="0.45">
      <c r="A8" s="1">
        <v>320.49549343299248</v>
      </c>
      <c r="B8" s="2">
        <f t="shared" si="0"/>
        <v>3069.9261503436774</v>
      </c>
      <c r="D8" s="7" t="s">
        <v>4</v>
      </c>
      <c r="E8">
        <v>0.9</v>
      </c>
      <c r="F8" s="2">
        <v>1.6839999999999999</v>
      </c>
      <c r="G8" s="2">
        <f>$G$13*F8</f>
        <v>18.779753159426587</v>
      </c>
      <c r="I8">
        <f>K8-G8</f>
        <v>246.30882599074667</v>
      </c>
      <c r="J8" s="3" t="s">
        <v>10</v>
      </c>
      <c r="K8">
        <f>$G$4</f>
        <v>265.08857915017325</v>
      </c>
      <c r="L8" s="3" t="s">
        <v>10</v>
      </c>
      <c r="M8">
        <f>K8+G8</f>
        <v>283.86833230959985</v>
      </c>
      <c r="O8" s="5">
        <f t="shared" si="1"/>
        <v>-0.11384059700842195</v>
      </c>
      <c r="P8">
        <f>'300'!G8</f>
        <v>16.641854848086666</v>
      </c>
    </row>
    <row r="9" spans="1:16" x14ac:dyDescent="0.45">
      <c r="A9" s="1">
        <v>248.02335172534512</v>
      </c>
      <c r="B9" s="2">
        <f t="shared" si="0"/>
        <v>291.22198706110589</v>
      </c>
      <c r="D9" s="7"/>
      <c r="E9">
        <v>0.95</v>
      </c>
      <c r="F9" s="2">
        <v>1.96</v>
      </c>
      <c r="G9" s="2">
        <f t="shared" ref="G9:G10" si="2">$G$13*F9</f>
        <v>21.857669948026192</v>
      </c>
      <c r="I9">
        <f t="shared" ref="I9:I10" si="3">K9-G9</f>
        <v>243.23090920214705</v>
      </c>
      <c r="J9" s="3" t="s">
        <v>10</v>
      </c>
      <c r="K9">
        <f t="shared" ref="K9:K10" si="4">$G$4</f>
        <v>265.08857915017325</v>
      </c>
      <c r="L9" s="3" t="s">
        <v>10</v>
      </c>
      <c r="M9">
        <f t="shared" ref="M9:M10" si="5">K9+G9</f>
        <v>286.94624909819942</v>
      </c>
      <c r="O9" s="5">
        <f t="shared" si="1"/>
        <v>-0.11384059700842189</v>
      </c>
      <c r="P9">
        <f>'300'!G9</f>
        <v>19.369379751929849</v>
      </c>
    </row>
    <row r="10" spans="1:16" x14ac:dyDescent="0.45">
      <c r="A10" s="1">
        <v>224.91195357298182</v>
      </c>
      <c r="B10" s="2">
        <f t="shared" si="0"/>
        <v>1614.1612427698326</v>
      </c>
      <c r="D10" s="7"/>
      <c r="E10">
        <v>0.99</v>
      </c>
      <c r="F10" s="2">
        <v>2.5790000000000002</v>
      </c>
      <c r="G10" s="2">
        <f t="shared" si="2"/>
        <v>28.760678977530386</v>
      </c>
      <c r="I10">
        <f t="shared" si="3"/>
        <v>236.32790017264287</v>
      </c>
      <c r="J10" s="3" t="s">
        <v>10</v>
      </c>
      <c r="K10">
        <f t="shared" si="4"/>
        <v>265.08857915017325</v>
      </c>
      <c r="L10" s="3" t="s">
        <v>10</v>
      </c>
      <c r="M10">
        <f t="shared" si="5"/>
        <v>293.84925812770365</v>
      </c>
      <c r="O10" s="5">
        <f t="shared" si="1"/>
        <v>-0.11384059700842196</v>
      </c>
      <c r="P10">
        <f>'300'!G10</f>
        <v>25.486546112360756</v>
      </c>
    </row>
    <row r="11" spans="1:16" x14ac:dyDescent="0.45">
      <c r="A11" s="1">
        <v>454.21521094440101</v>
      </c>
      <c r="B11" s="2">
        <f t="shared" si="0"/>
        <v>35768.882853829404</v>
      </c>
      <c r="E11" t="s">
        <v>5</v>
      </c>
      <c r="F11" s="2"/>
      <c r="G11" s="2"/>
      <c r="O11" s="4"/>
    </row>
    <row r="12" spans="1:16" x14ac:dyDescent="0.45">
      <c r="A12" s="1">
        <v>254.47077882330547</v>
      </c>
      <c r="B12" s="2">
        <f t="shared" si="0"/>
        <v>112.73768378123353</v>
      </c>
      <c r="F12" s="2"/>
      <c r="G12" s="2"/>
    </row>
    <row r="13" spans="1:16" x14ac:dyDescent="0.45">
      <c r="A13" s="1">
        <v>216.90657928262164</v>
      </c>
      <c r="B13" s="2">
        <f t="shared" si="0"/>
        <v>2321.5051112367432</v>
      </c>
      <c r="E13" t="s">
        <v>8</v>
      </c>
      <c r="F13" s="2"/>
      <c r="G13" s="2">
        <f>SQRT(G5/G2)</f>
        <v>11.151872422462343</v>
      </c>
    </row>
    <row r="14" spans="1:16" x14ac:dyDescent="0.45">
      <c r="A14" s="1">
        <v>797.62537343667645</v>
      </c>
      <c r="B14" s="2">
        <f t="shared" si="0"/>
        <v>283595.43726894545</v>
      </c>
      <c r="F14" s="2"/>
      <c r="G14" s="2"/>
    </row>
    <row r="15" spans="1:16" x14ac:dyDescent="0.45">
      <c r="A15" s="1">
        <v>630.35309829085122</v>
      </c>
      <c r="B15" s="2">
        <f t="shared" si="0"/>
        <v>133418.16894307072</v>
      </c>
      <c r="F15" s="2"/>
      <c r="G15" s="2"/>
    </row>
    <row r="16" spans="1:16" x14ac:dyDescent="0.45">
      <c r="A16" s="1">
        <v>187.66933410519863</v>
      </c>
      <c r="B16" s="2">
        <f t="shared" si="0"/>
        <v>5993.7395033338271</v>
      </c>
    </row>
    <row r="17" spans="1:2" x14ac:dyDescent="0.45">
      <c r="A17" s="1">
        <v>81.610533594883279</v>
      </c>
      <c r="B17" s="2">
        <f t="shared" si="0"/>
        <v>33664.193200789057</v>
      </c>
    </row>
    <row r="18" spans="1:2" x14ac:dyDescent="0.45">
      <c r="A18" s="1">
        <v>283.24936593557317</v>
      </c>
      <c r="B18" s="2">
        <f t="shared" si="0"/>
        <v>329.81417666475642</v>
      </c>
    </row>
    <row r="19" spans="1:2" x14ac:dyDescent="0.45">
      <c r="A19" s="1">
        <v>151.51033225013779</v>
      </c>
      <c r="B19" s="2">
        <f t="shared" si="0"/>
        <v>12900.018168885414</v>
      </c>
    </row>
    <row r="20" spans="1:2" x14ac:dyDescent="0.45">
      <c r="A20" s="1">
        <v>407.89408014857736</v>
      </c>
      <c r="B20" s="2">
        <f t="shared" si="0"/>
        <v>20393.411115405197</v>
      </c>
    </row>
    <row r="21" spans="1:2" x14ac:dyDescent="0.45">
      <c r="A21" s="1">
        <v>196.50012539926712</v>
      </c>
      <c r="B21" s="2">
        <f t="shared" si="0"/>
        <v>4704.3759879401887</v>
      </c>
    </row>
    <row r="22" spans="1:2" x14ac:dyDescent="0.45">
      <c r="A22" s="1">
        <v>226.10190058519862</v>
      </c>
      <c r="B22" s="2">
        <f t="shared" si="0"/>
        <v>1519.9611055286518</v>
      </c>
    </row>
    <row r="23" spans="1:2" x14ac:dyDescent="0.45">
      <c r="A23" s="1">
        <v>296.82006676145301</v>
      </c>
      <c r="B23" s="2">
        <f t="shared" si="0"/>
        <v>1006.887306024801</v>
      </c>
    </row>
    <row r="24" spans="1:2" x14ac:dyDescent="0.45">
      <c r="A24" s="1">
        <v>365.89967866417624</v>
      </c>
      <c r="B24" s="2">
        <f t="shared" si="0"/>
        <v>10162.877785222214</v>
      </c>
    </row>
    <row r="25" spans="1:2" x14ac:dyDescent="0.45">
      <c r="A25" s="1">
        <v>126.08793960916096</v>
      </c>
      <c r="B25" s="2">
        <f t="shared" si="0"/>
        <v>19321.177792810424</v>
      </c>
    </row>
    <row r="26" spans="1:2" x14ac:dyDescent="0.45">
      <c r="A26" s="1">
        <v>158.17331398046889</v>
      </c>
      <c r="B26" s="2">
        <f t="shared" si="0"/>
        <v>11430.873926308197</v>
      </c>
    </row>
    <row r="27" spans="1:2" x14ac:dyDescent="0.45">
      <c r="A27" s="1">
        <v>169.31814511084991</v>
      </c>
      <c r="B27" s="2">
        <f t="shared" si="0"/>
        <v>9171.9760360803812</v>
      </c>
    </row>
    <row r="28" spans="1:2" x14ac:dyDescent="0.45">
      <c r="A28" s="1">
        <v>356.99176152030975</v>
      </c>
      <c r="B28" s="2">
        <f t="shared" si="0"/>
        <v>8446.1949297585688</v>
      </c>
    </row>
    <row r="29" spans="1:2" x14ac:dyDescent="0.45">
      <c r="A29" s="1">
        <v>51.531820594945302</v>
      </c>
      <c r="B29" s="2">
        <f t="shared" si="0"/>
        <v>45606.489124615917</v>
      </c>
    </row>
    <row r="30" spans="1:2" x14ac:dyDescent="0.45">
      <c r="A30" s="1">
        <v>138.94007100937398</v>
      </c>
      <c r="B30" s="2">
        <f t="shared" si="0"/>
        <v>15913.446106149298</v>
      </c>
    </row>
    <row r="31" spans="1:2" x14ac:dyDescent="0.45">
      <c r="A31" s="1">
        <v>122.36436339055496</v>
      </c>
      <c r="B31" s="2">
        <f t="shared" si="0"/>
        <v>20370.201764198075</v>
      </c>
    </row>
    <row r="32" spans="1:2" x14ac:dyDescent="0.45">
      <c r="A32" s="1">
        <v>192.42385978046303</v>
      </c>
      <c r="B32" s="2">
        <f t="shared" si="0"/>
        <v>5280.1614410787388</v>
      </c>
    </row>
    <row r="33" spans="1:2" x14ac:dyDescent="0.45">
      <c r="A33" s="1">
        <v>314.19161734563977</v>
      </c>
      <c r="B33" s="2">
        <f t="shared" si="0"/>
        <v>2411.1083600254442</v>
      </c>
    </row>
    <row r="34" spans="1:2" x14ac:dyDescent="0.45">
      <c r="A34" s="1">
        <v>224.76623940791234</v>
      </c>
      <c r="B34" s="2">
        <f t="shared" si="0"/>
        <v>1625.8910822903135</v>
      </c>
    </row>
    <row r="35" spans="1:2" x14ac:dyDescent="0.45">
      <c r="A35" s="1">
        <v>55.898927187361181</v>
      </c>
      <c r="B35" s="2">
        <f t="shared" si="0"/>
        <v>43760.310488322444</v>
      </c>
    </row>
    <row r="36" spans="1:2" x14ac:dyDescent="0.45">
      <c r="A36" s="1">
        <v>327.76712307497064</v>
      </c>
      <c r="B36" s="2">
        <f t="shared" si="0"/>
        <v>3928.5998685327563</v>
      </c>
    </row>
    <row r="37" spans="1:2" x14ac:dyDescent="0.45">
      <c r="A37" s="1">
        <v>375.33573039261597</v>
      </c>
      <c r="B37" s="2">
        <f t="shared" si="0"/>
        <v>12154.43435707404</v>
      </c>
    </row>
    <row r="38" spans="1:2" x14ac:dyDescent="0.45">
      <c r="A38" s="1">
        <v>227.86161586375553</v>
      </c>
      <c r="B38" s="2">
        <f t="shared" si="0"/>
        <v>1385.8467955282924</v>
      </c>
    </row>
    <row r="39" spans="1:2" x14ac:dyDescent="0.45">
      <c r="A39" s="1">
        <v>355.13663052220119</v>
      </c>
      <c r="B39" s="2">
        <f t="shared" si="0"/>
        <v>8108.6515558993833</v>
      </c>
    </row>
    <row r="40" spans="1:2" x14ac:dyDescent="0.45">
      <c r="A40" s="1">
        <v>286.7413177403497</v>
      </c>
      <c r="B40" s="2">
        <f t="shared" si="0"/>
        <v>468.84108845451664</v>
      </c>
    </row>
    <row r="41" spans="1:2" x14ac:dyDescent="0.45">
      <c r="A41" s="1">
        <v>133.99561157809518</v>
      </c>
      <c r="B41" s="2">
        <f t="shared" si="0"/>
        <v>17185.36614685391</v>
      </c>
    </row>
    <row r="42" spans="1:2" x14ac:dyDescent="0.45">
      <c r="A42" s="1">
        <v>229.31356051547908</v>
      </c>
      <c r="B42" s="2">
        <f t="shared" si="0"/>
        <v>1279.8519583127147</v>
      </c>
    </row>
    <row r="43" spans="1:2" x14ac:dyDescent="0.45">
      <c r="A43" s="1">
        <v>427.5796519704889</v>
      </c>
      <c r="B43" s="2">
        <f t="shared" si="0"/>
        <v>26403.348746297124</v>
      </c>
    </row>
    <row r="44" spans="1:2" x14ac:dyDescent="0.45">
      <c r="A44" s="1">
        <v>379.88380148467013</v>
      </c>
      <c r="B44" s="2">
        <f t="shared" si="0"/>
        <v>13177.943070826572</v>
      </c>
    </row>
    <row r="45" spans="1:2" x14ac:dyDescent="0.45">
      <c r="A45" s="1">
        <v>470.07277475710123</v>
      </c>
      <c r="B45" s="2">
        <f t="shared" si="0"/>
        <v>42018.520448619311</v>
      </c>
    </row>
    <row r="46" spans="1:2" x14ac:dyDescent="0.45">
      <c r="A46" s="1">
        <v>270.68980051071156</v>
      </c>
      <c r="B46" s="2">
        <f t="shared" si="0"/>
        <v>31.373680729750728</v>
      </c>
    </row>
    <row r="47" spans="1:2" x14ac:dyDescent="0.45">
      <c r="A47" s="1">
        <v>151.08022269670758</v>
      </c>
      <c r="B47" s="2">
        <f t="shared" si="0"/>
        <v>12997.905341220487</v>
      </c>
    </row>
    <row r="48" spans="1:2" x14ac:dyDescent="0.45">
      <c r="A48" s="1">
        <v>184.74179118427588</v>
      </c>
      <c r="B48" s="2">
        <f t="shared" si="0"/>
        <v>6455.6063364368692</v>
      </c>
    </row>
    <row r="49" spans="1:2" x14ac:dyDescent="0.45">
      <c r="A49" s="1">
        <v>484.80314732117779</v>
      </c>
      <c r="B49" s="2">
        <f t="shared" si="0"/>
        <v>48274.491466571002</v>
      </c>
    </row>
    <row r="50" spans="1:2" x14ac:dyDescent="0.45">
      <c r="A50" s="1">
        <v>130.8094017575973</v>
      </c>
      <c r="B50" s="2">
        <f t="shared" si="0"/>
        <v>18030.897481226879</v>
      </c>
    </row>
    <row r="51" spans="1:2" x14ac:dyDescent="0.45">
      <c r="A51" s="1">
        <v>184.10637657715995</v>
      </c>
      <c r="B51" s="2">
        <f t="shared" si="0"/>
        <v>6558.1171335765612</v>
      </c>
    </row>
    <row r="52" spans="1:2" x14ac:dyDescent="0.45">
      <c r="A52" s="1">
        <v>385.10511983287188</v>
      </c>
      <c r="B52" s="2">
        <f t="shared" si="0"/>
        <v>14403.970037441855</v>
      </c>
    </row>
    <row r="53" spans="1:2" x14ac:dyDescent="0.45">
      <c r="A53" s="1">
        <v>83.235214760513699</v>
      </c>
      <c r="B53" s="2">
        <f t="shared" si="0"/>
        <v>33070.646139838289</v>
      </c>
    </row>
    <row r="54" spans="1:2" x14ac:dyDescent="0.45">
      <c r="A54" s="1">
        <v>195.65674454690125</v>
      </c>
      <c r="B54" s="2">
        <f t="shared" si="0"/>
        <v>4820.7796563761185</v>
      </c>
    </row>
    <row r="55" spans="1:2" x14ac:dyDescent="0.45">
      <c r="A55" s="1">
        <v>540.52449203860169</v>
      </c>
      <c r="B55" s="2">
        <f t="shared" si="0"/>
        <v>75864.942108681949</v>
      </c>
    </row>
    <row r="56" spans="1:2" x14ac:dyDescent="0.45">
      <c r="A56" s="1">
        <v>343.16788171818587</v>
      </c>
      <c r="B56" s="2">
        <f t="shared" si="0"/>
        <v>6096.377489507262</v>
      </c>
    </row>
    <row r="57" spans="1:2" x14ac:dyDescent="0.45">
      <c r="A57" s="1">
        <v>377.46792019065362</v>
      </c>
      <c r="B57" s="2">
        <f t="shared" si="0"/>
        <v>12629.116292692595</v>
      </c>
    </row>
    <row r="58" spans="1:2" x14ac:dyDescent="0.45">
      <c r="A58" s="1">
        <v>763.05828906878878</v>
      </c>
      <c r="B58" s="2">
        <f t="shared" si="0"/>
        <v>247973.83199643009</v>
      </c>
    </row>
    <row r="59" spans="1:2" x14ac:dyDescent="0.45">
      <c r="A59" s="1">
        <v>114.1957280012459</v>
      </c>
      <c r="B59" s="2">
        <f t="shared" si="0"/>
        <v>22768.652527852344</v>
      </c>
    </row>
    <row r="60" spans="1:2" x14ac:dyDescent="0.45">
      <c r="A60" s="1">
        <v>93.828691587588537</v>
      </c>
      <c r="B60" s="2">
        <f t="shared" si="0"/>
        <v>29329.949087949157</v>
      </c>
    </row>
    <row r="61" spans="1:2" x14ac:dyDescent="0.45">
      <c r="A61" s="1">
        <v>288.55840885143232</v>
      </c>
      <c r="B61" s="2">
        <f t="shared" si="0"/>
        <v>550.83290620610251</v>
      </c>
    </row>
    <row r="62" spans="1:2" x14ac:dyDescent="0.45">
      <c r="A62" s="1">
        <v>527.20635732889855</v>
      </c>
      <c r="B62" s="2">
        <f t="shared" si="0"/>
        <v>68705.72963735144</v>
      </c>
    </row>
    <row r="63" spans="1:2" x14ac:dyDescent="0.45">
      <c r="A63" s="1">
        <v>684.17142200543822</v>
      </c>
      <c r="B63" s="2">
        <f t="shared" si="0"/>
        <v>175630.4291756507</v>
      </c>
    </row>
    <row r="64" spans="1:2" x14ac:dyDescent="0.45">
      <c r="A64" s="1">
        <v>318.45739323918156</v>
      </c>
      <c r="B64" s="2">
        <f t="shared" si="0"/>
        <v>2848.2303172671318</v>
      </c>
    </row>
    <row r="65" spans="1:2" x14ac:dyDescent="0.45">
      <c r="A65" s="1">
        <v>208.72149310978941</v>
      </c>
      <c r="B65" s="2">
        <f t="shared" si="0"/>
        <v>3177.2483886840346</v>
      </c>
    </row>
    <row r="66" spans="1:2" x14ac:dyDescent="0.45">
      <c r="A66" s="1">
        <v>246.93208789280652</v>
      </c>
      <c r="B66" s="2">
        <f t="shared" si="0"/>
        <v>329.65817477883428</v>
      </c>
    </row>
    <row r="67" spans="1:2" x14ac:dyDescent="0.45">
      <c r="A67" s="1">
        <v>135.05870598078235</v>
      </c>
      <c r="B67" s="2">
        <f t="shared" ref="B67:B130" si="6">(A67-$G$4)*(A67-$G$4)</f>
        <v>16907.767916447883</v>
      </c>
    </row>
    <row r="68" spans="1:2" x14ac:dyDescent="0.45">
      <c r="A68" s="1">
        <v>212.00109132019526</v>
      </c>
      <c r="B68" s="2">
        <f t="shared" si="6"/>
        <v>2818.2813640980612</v>
      </c>
    </row>
    <row r="69" spans="1:2" x14ac:dyDescent="0.45">
      <c r="A69" s="1">
        <v>65.071926371309047</v>
      </c>
      <c r="B69" s="2">
        <f t="shared" si="6"/>
        <v>40006.661388860724</v>
      </c>
    </row>
    <row r="70" spans="1:2" x14ac:dyDescent="0.45">
      <c r="A70" s="1">
        <v>477.48731714154536</v>
      </c>
      <c r="B70" s="2">
        <f t="shared" si="6"/>
        <v>45113.223900327539</v>
      </c>
    </row>
    <row r="71" spans="1:2" x14ac:dyDescent="0.45">
      <c r="A71" s="1">
        <v>379.10072832547741</v>
      </c>
      <c r="B71" s="2">
        <f t="shared" si="6"/>
        <v>12998.770159571808</v>
      </c>
    </row>
    <row r="72" spans="1:2" x14ac:dyDescent="0.45">
      <c r="A72" s="1">
        <v>419.18061229105331</v>
      </c>
      <c r="B72" s="2">
        <f t="shared" si="6"/>
        <v>23744.354677490079</v>
      </c>
    </row>
    <row r="73" spans="1:2" x14ac:dyDescent="0.45">
      <c r="A73" s="1">
        <v>92.051072390415982</v>
      </c>
      <c r="B73" s="2">
        <f t="shared" si="6"/>
        <v>29941.978745633041</v>
      </c>
    </row>
    <row r="74" spans="1:2" x14ac:dyDescent="0.45">
      <c r="A74" s="1">
        <v>505.15934999217063</v>
      </c>
      <c r="B74" s="2">
        <f t="shared" si="6"/>
        <v>57633.975012670824</v>
      </c>
    </row>
    <row r="75" spans="1:2" x14ac:dyDescent="0.45">
      <c r="A75" s="1">
        <v>204.64797660269062</v>
      </c>
      <c r="B75" s="2">
        <f t="shared" si="6"/>
        <v>3653.0664363027636</v>
      </c>
    </row>
    <row r="76" spans="1:2" x14ac:dyDescent="0.45">
      <c r="A76" s="1">
        <v>393.69557760716901</v>
      </c>
      <c r="B76" s="2">
        <f t="shared" si="6"/>
        <v>16539.760052117712</v>
      </c>
    </row>
    <row r="77" spans="1:2" x14ac:dyDescent="0.45">
      <c r="A77" s="1">
        <v>208.3377473171555</v>
      </c>
      <c r="B77" s="2">
        <f t="shared" si="6"/>
        <v>3220.6569137394599</v>
      </c>
    </row>
    <row r="78" spans="1:2" x14ac:dyDescent="0.45">
      <c r="A78" s="1">
        <v>131.10075713382952</v>
      </c>
      <c r="B78" s="2">
        <f t="shared" si="6"/>
        <v>17952.736448683405</v>
      </c>
    </row>
    <row r="79" spans="1:2" x14ac:dyDescent="0.45">
      <c r="A79" s="1">
        <v>200.34605210648334</v>
      </c>
      <c r="B79" s="2">
        <f t="shared" si="6"/>
        <v>4191.5948080029184</v>
      </c>
    </row>
    <row r="80" spans="1:2" x14ac:dyDescent="0.45">
      <c r="A80" s="1">
        <v>220.18785541026077</v>
      </c>
      <c r="B80" s="2">
        <f t="shared" si="6"/>
        <v>2016.07499236794</v>
      </c>
    </row>
    <row r="81" spans="1:2" x14ac:dyDescent="0.45">
      <c r="A81" s="1">
        <v>545.34426792191391</v>
      </c>
      <c r="B81" s="2">
        <f t="shared" si="6"/>
        <v>78543.251088922771</v>
      </c>
    </row>
    <row r="82" spans="1:2" x14ac:dyDescent="0.45">
      <c r="A82" s="1">
        <v>298.21504684333127</v>
      </c>
      <c r="B82" s="2">
        <f t="shared" si="6"/>
        <v>1097.3628618258419</v>
      </c>
    </row>
    <row r="83" spans="1:2" x14ac:dyDescent="0.45">
      <c r="A83" s="1">
        <v>35.333966596066375</v>
      </c>
      <c r="B83" s="2">
        <f t="shared" si="6"/>
        <v>52787.181989887766</v>
      </c>
    </row>
    <row r="84" spans="1:2" x14ac:dyDescent="0.45">
      <c r="A84" s="1">
        <v>185.44794327967338</v>
      </c>
      <c r="B84" s="2">
        <f t="shared" si="6"/>
        <v>6342.6308818575499</v>
      </c>
    </row>
    <row r="85" spans="1:2" x14ac:dyDescent="0.45">
      <c r="A85" s="1">
        <v>436.56347628770209</v>
      </c>
      <c r="B85" s="2">
        <f t="shared" si="6"/>
        <v>29403.640348326098</v>
      </c>
    </row>
    <row r="86" spans="1:2" x14ac:dyDescent="0.45">
      <c r="A86" s="1">
        <v>162.67977861718344</v>
      </c>
      <c r="B86" s="2">
        <f t="shared" si="6"/>
        <v>10487.562426605693</v>
      </c>
    </row>
    <row r="87" spans="1:2" x14ac:dyDescent="0.45">
      <c r="A87" s="1">
        <v>216.15215722346178</v>
      </c>
      <c r="B87" s="2">
        <f t="shared" si="6"/>
        <v>2394.7733909891263</v>
      </c>
    </row>
    <row r="88" spans="1:2" x14ac:dyDescent="0.45">
      <c r="A88" s="1">
        <v>249.61201762606564</v>
      </c>
      <c r="B88" s="2">
        <f t="shared" si="6"/>
        <v>239.52395660948804</v>
      </c>
    </row>
    <row r="89" spans="1:2" x14ac:dyDescent="0.45">
      <c r="A89" s="1">
        <v>341.69175316393586</v>
      </c>
      <c r="B89" s="2">
        <f t="shared" si="6"/>
        <v>5868.0462689827955</v>
      </c>
    </row>
    <row r="90" spans="1:2" x14ac:dyDescent="0.45">
      <c r="A90" s="1">
        <v>203.30563183272307</v>
      </c>
      <c r="B90" s="2">
        <f t="shared" si="6"/>
        <v>3817.1325792308244</v>
      </c>
    </row>
    <row r="91" spans="1:2" x14ac:dyDescent="0.45">
      <c r="A91" s="1">
        <v>388.73073722723774</v>
      </c>
      <c r="B91" s="2">
        <f t="shared" si="6"/>
        <v>15287.383253953805</v>
      </c>
    </row>
    <row r="92" spans="1:2" x14ac:dyDescent="0.45">
      <c r="A92" s="1">
        <v>158.91079043238744</v>
      </c>
      <c r="B92" s="2">
        <f t="shared" si="6"/>
        <v>11273.722816998761</v>
      </c>
    </row>
    <row r="93" spans="1:2" x14ac:dyDescent="0.45">
      <c r="A93" s="1">
        <v>79.627903538835881</v>
      </c>
      <c r="B93" s="2">
        <f t="shared" si="6"/>
        <v>34395.662198213708</v>
      </c>
    </row>
    <row r="94" spans="1:2" x14ac:dyDescent="0.45">
      <c r="A94" s="1">
        <v>127.99124370748665</v>
      </c>
      <c r="B94" s="2">
        <f t="shared" si="6"/>
        <v>18795.679385484527</v>
      </c>
    </row>
    <row r="95" spans="1:2" x14ac:dyDescent="0.45">
      <c r="A95" s="1">
        <v>395.60937797206873</v>
      </c>
      <c r="B95" s="2">
        <f t="shared" si="6"/>
        <v>17035.678925105713</v>
      </c>
    </row>
    <row r="96" spans="1:2" x14ac:dyDescent="0.45">
      <c r="A96" s="1">
        <v>211.19042812250598</v>
      </c>
      <c r="B96" s="2">
        <f t="shared" si="6"/>
        <v>2905.0106842012301</v>
      </c>
    </row>
    <row r="97" spans="1:2" x14ac:dyDescent="0.45">
      <c r="A97" s="1">
        <v>336.1261218728319</v>
      </c>
      <c r="B97" s="2">
        <f t="shared" si="6"/>
        <v>5046.3324760735541</v>
      </c>
    </row>
    <row r="98" spans="1:2" x14ac:dyDescent="0.45">
      <c r="A98" s="1">
        <v>283.75273249906081</v>
      </c>
      <c r="B98" s="2">
        <f t="shared" si="6"/>
        <v>348.35062023079098</v>
      </c>
    </row>
    <row r="99" spans="1:2" x14ac:dyDescent="0.45">
      <c r="A99" s="1">
        <v>105.02116918454753</v>
      </c>
      <c r="B99" s="2">
        <f t="shared" si="6"/>
        <v>25621.575733103691</v>
      </c>
    </row>
    <row r="100" spans="1:2" x14ac:dyDescent="0.45">
      <c r="A100" s="1">
        <v>425.36850075864334</v>
      </c>
      <c r="B100" s="2">
        <f t="shared" si="6"/>
        <v>25689.653270817318</v>
      </c>
    </row>
    <row r="101" spans="1:2" x14ac:dyDescent="0.45">
      <c r="A101" s="1">
        <v>102.97001833383734</v>
      </c>
      <c r="B101" s="2">
        <f t="shared" si="6"/>
        <v>26282.427761160001</v>
      </c>
    </row>
    <row r="102" spans="1:2" x14ac:dyDescent="0.45">
      <c r="A102" s="1">
        <v>366.03119660905475</v>
      </c>
      <c r="B102" s="2">
        <f t="shared" si="6"/>
        <v>10189.412019450088</v>
      </c>
    </row>
    <row r="103" spans="1:2" x14ac:dyDescent="0.45">
      <c r="A103" s="1">
        <v>340.31592031699176</v>
      </c>
      <c r="B103" s="2">
        <f t="shared" si="6"/>
        <v>5659.1528590289081</v>
      </c>
    </row>
    <row r="104" spans="1:2" x14ac:dyDescent="0.45">
      <c r="A104" s="1">
        <v>89.406776230258188</v>
      </c>
      <c r="B104" s="2">
        <f t="shared" si="6"/>
        <v>30864.095877191881</v>
      </c>
    </row>
    <row r="105" spans="1:2" x14ac:dyDescent="0.45">
      <c r="A105" s="1">
        <v>86.036017111450917</v>
      </c>
      <c r="B105" s="2">
        <f t="shared" si="6"/>
        <v>32059.819972630507</v>
      </c>
    </row>
    <row r="106" spans="1:2" x14ac:dyDescent="0.45">
      <c r="A106" s="1">
        <v>180.52809446994971</v>
      </c>
      <c r="B106" s="2">
        <f t="shared" si="6"/>
        <v>7150.4755693543202</v>
      </c>
    </row>
    <row r="107" spans="1:2" x14ac:dyDescent="0.45">
      <c r="A107" s="1">
        <v>156.25047183375975</v>
      </c>
      <c r="B107" s="2">
        <f t="shared" si="6"/>
        <v>11845.733604219142</v>
      </c>
    </row>
    <row r="108" spans="1:2" x14ac:dyDescent="0.45">
      <c r="A108" s="1">
        <v>348.9796212775168</v>
      </c>
      <c r="B108" s="2">
        <f t="shared" si="6"/>
        <v>7037.7069492117307</v>
      </c>
    </row>
    <row r="109" spans="1:2" x14ac:dyDescent="0.45">
      <c r="A109" s="1">
        <v>26.25929918955304</v>
      </c>
      <c r="B109" s="2">
        <f t="shared" si="6"/>
        <v>57039.424966508297</v>
      </c>
    </row>
    <row r="110" spans="1:2" x14ac:dyDescent="0.45">
      <c r="A110" s="1">
        <v>203.68345331447091</v>
      </c>
      <c r="B110" s="2">
        <f t="shared" si="6"/>
        <v>3770.5894788984383</v>
      </c>
    </row>
    <row r="111" spans="1:2" x14ac:dyDescent="0.45">
      <c r="A111" s="1">
        <v>102.17919882822795</v>
      </c>
      <c r="B111" s="2">
        <f t="shared" si="6"/>
        <v>26539.466196880217</v>
      </c>
    </row>
    <row r="112" spans="1:2" x14ac:dyDescent="0.45">
      <c r="A112" s="1">
        <v>190.51609288178926</v>
      </c>
      <c r="B112" s="2">
        <f t="shared" si="6"/>
        <v>5561.0557082483174</v>
      </c>
    </row>
    <row r="113" spans="1:2" x14ac:dyDescent="0.45">
      <c r="A113" s="1">
        <v>235.64677760754643</v>
      </c>
      <c r="B113" s="2">
        <f t="shared" si="6"/>
        <v>866.81967807542298</v>
      </c>
    </row>
    <row r="114" spans="1:2" x14ac:dyDescent="0.45">
      <c r="A114" s="1">
        <v>250.73257522774867</v>
      </c>
      <c r="B114" s="2">
        <f t="shared" si="6"/>
        <v>206.09484862066984</v>
      </c>
    </row>
    <row r="115" spans="1:2" x14ac:dyDescent="0.45">
      <c r="A115" s="1">
        <v>124.48179450312151</v>
      </c>
      <c r="B115" s="2">
        <f t="shared" si="6"/>
        <v>19770.267888782386</v>
      </c>
    </row>
    <row r="116" spans="1:2" x14ac:dyDescent="0.45">
      <c r="A116" s="1">
        <v>87.931068082034301</v>
      </c>
      <c r="B116" s="2">
        <f t="shared" si="6"/>
        <v>31384.783727857772</v>
      </c>
    </row>
    <row r="117" spans="1:2" x14ac:dyDescent="0.45">
      <c r="A117" s="1">
        <v>321.42360626576317</v>
      </c>
      <c r="B117" s="2">
        <f t="shared" si="6"/>
        <v>3173.6352801142521</v>
      </c>
    </row>
    <row r="118" spans="1:2" x14ac:dyDescent="0.45">
      <c r="A118" s="1">
        <v>190.79671678950294</v>
      </c>
      <c r="B118" s="2">
        <f t="shared" si="6"/>
        <v>5519.2808130167814</v>
      </c>
    </row>
    <row r="119" spans="1:2" x14ac:dyDescent="0.45">
      <c r="A119" s="1">
        <v>86.592257298542492</v>
      </c>
      <c r="B119" s="2">
        <f t="shared" si="6"/>
        <v>31860.936914560949</v>
      </c>
    </row>
    <row r="120" spans="1:2" x14ac:dyDescent="0.45">
      <c r="A120" s="1">
        <v>474.05599626791059</v>
      </c>
      <c r="B120" s="2">
        <f t="shared" si="6"/>
        <v>43667.381416858429</v>
      </c>
    </row>
    <row r="121" spans="1:2" x14ac:dyDescent="0.45">
      <c r="A121" s="1">
        <v>108.43545068003378</v>
      </c>
      <c r="B121" s="2">
        <f t="shared" si="6"/>
        <v>24540.202659482016</v>
      </c>
    </row>
    <row r="122" spans="1:2" x14ac:dyDescent="0.45">
      <c r="A122" s="1">
        <v>442.97592651122511</v>
      </c>
      <c r="B122" s="2">
        <f t="shared" si="6"/>
        <v>31643.908351151527</v>
      </c>
    </row>
    <row r="123" spans="1:2" x14ac:dyDescent="0.45">
      <c r="A123" s="1">
        <v>314.68068213842207</v>
      </c>
      <c r="B123" s="2">
        <f t="shared" si="6"/>
        <v>2459.3766787970781</v>
      </c>
    </row>
    <row r="124" spans="1:2" x14ac:dyDescent="0.45">
      <c r="A124" s="1">
        <v>536.39248842962934</v>
      </c>
      <c r="B124" s="2">
        <f t="shared" si="6"/>
        <v>73605.811190315348</v>
      </c>
    </row>
    <row r="125" spans="1:2" x14ac:dyDescent="0.45">
      <c r="A125" s="1">
        <v>220.93049742013136</v>
      </c>
      <c r="B125" s="2">
        <f t="shared" si="6"/>
        <v>1949.9361820770589</v>
      </c>
    </row>
    <row r="126" spans="1:2" x14ac:dyDescent="0.45">
      <c r="A126" s="1">
        <v>255.22691671136863</v>
      </c>
      <c r="B126" s="2">
        <f t="shared" si="6"/>
        <v>97.25238605692978</v>
      </c>
    </row>
    <row r="127" spans="1:2" x14ac:dyDescent="0.45">
      <c r="A127" s="1">
        <v>135.59061651296579</v>
      </c>
      <c r="B127" s="2">
        <f t="shared" si="6"/>
        <v>16769.722327187577</v>
      </c>
    </row>
    <row r="128" spans="1:2" x14ac:dyDescent="0.45">
      <c r="A128" s="1">
        <v>472.47974649011212</v>
      </c>
      <c r="B128" s="2">
        <f t="shared" si="6"/>
        <v>43011.096290622532</v>
      </c>
    </row>
    <row r="129" spans="1:2" x14ac:dyDescent="0.45">
      <c r="A129" s="1">
        <v>679.95273325503615</v>
      </c>
      <c r="B129" s="2">
        <f t="shared" si="6"/>
        <v>172112.26636114344</v>
      </c>
    </row>
    <row r="130" spans="1:2" x14ac:dyDescent="0.45">
      <c r="A130" s="1">
        <v>117.46470521298471</v>
      </c>
      <c r="B130" s="2">
        <f t="shared" si="6"/>
        <v>21792.808156222931</v>
      </c>
    </row>
    <row r="131" spans="1:2" x14ac:dyDescent="0.45">
      <c r="A131" s="1">
        <v>59.92031507532073</v>
      </c>
      <c r="B131" s="2">
        <f t="shared" ref="B131:B194" si="7">(A131-$G$4)*(A131-$G$4)</f>
        <v>42094.016583488417</v>
      </c>
    </row>
    <row r="132" spans="1:2" x14ac:dyDescent="0.45">
      <c r="A132" s="1">
        <v>187.10412979569011</v>
      </c>
      <c r="B132" s="2">
        <f t="shared" si="7"/>
        <v>6081.5743411219446</v>
      </c>
    </row>
    <row r="133" spans="1:2" x14ac:dyDescent="0.45">
      <c r="A133" s="1">
        <v>251.00913706758195</v>
      </c>
      <c r="B133" s="2">
        <f t="shared" si="7"/>
        <v>198.23068935704282</v>
      </c>
    </row>
    <row r="134" spans="1:2" x14ac:dyDescent="0.45">
      <c r="A134" s="1">
        <v>218.43906919934599</v>
      </c>
      <c r="B134" s="2">
        <f t="shared" si="7"/>
        <v>2176.176778652331</v>
      </c>
    </row>
    <row r="135" spans="1:2" x14ac:dyDescent="0.45">
      <c r="A135" s="1">
        <v>434.82516443016164</v>
      </c>
      <c r="B135" s="2">
        <f t="shared" si="7"/>
        <v>28810.508382510772</v>
      </c>
    </row>
    <row r="136" spans="1:2" x14ac:dyDescent="0.45">
      <c r="A136" s="1">
        <v>221.11042209559358</v>
      </c>
      <c r="B136" s="2">
        <f t="shared" si="7"/>
        <v>1934.0782979172754</v>
      </c>
    </row>
    <row r="137" spans="1:2" x14ac:dyDescent="0.45">
      <c r="A137" s="1">
        <v>172.53484271505926</v>
      </c>
      <c r="B137" s="2">
        <f t="shared" si="7"/>
        <v>8566.1941281005475</v>
      </c>
    </row>
    <row r="138" spans="1:2" x14ac:dyDescent="0.45">
      <c r="A138" s="1">
        <v>495.71101325955192</v>
      </c>
      <c r="B138" s="2">
        <f t="shared" si="7"/>
        <v>53186.707114534707</v>
      </c>
    </row>
    <row r="139" spans="1:2" x14ac:dyDescent="0.45">
      <c r="A139" s="1">
        <v>213.86728633348781</v>
      </c>
      <c r="B139" s="2">
        <f t="shared" si="7"/>
        <v>2623.6208378126307</v>
      </c>
    </row>
    <row r="140" spans="1:2" x14ac:dyDescent="0.45">
      <c r="A140" s="1">
        <v>511.496427037648</v>
      </c>
      <c r="B140" s="2">
        <f t="shared" si="7"/>
        <v>60716.8275005369</v>
      </c>
    </row>
    <row r="141" spans="1:2" x14ac:dyDescent="0.45">
      <c r="A141" s="1">
        <v>74.011159316182813</v>
      </c>
      <c r="B141" s="2">
        <f t="shared" si="7"/>
        <v>36510.580370415038</v>
      </c>
    </row>
    <row r="142" spans="1:2" x14ac:dyDescent="0.45">
      <c r="A142" s="1">
        <v>206.16605378324252</v>
      </c>
      <c r="B142" s="2">
        <f t="shared" si="7"/>
        <v>3471.8639956165953</v>
      </c>
    </row>
    <row r="143" spans="1:2" x14ac:dyDescent="0.45">
      <c r="A143" s="1">
        <v>76.461815482975467</v>
      </c>
      <c r="B143" s="2">
        <f t="shared" si="7"/>
        <v>35580.055971560891</v>
      </c>
    </row>
    <row r="144" spans="1:2" x14ac:dyDescent="0.45">
      <c r="A144" s="1">
        <v>47.67542915595395</v>
      </c>
      <c r="B144" s="2">
        <f t="shared" si="7"/>
        <v>47268.477790408891</v>
      </c>
    </row>
    <row r="145" spans="1:2" x14ac:dyDescent="0.45">
      <c r="A145" s="1">
        <v>291.17677702452175</v>
      </c>
      <c r="B145" s="2">
        <f t="shared" si="7"/>
        <v>680.59406833116202</v>
      </c>
    </row>
    <row r="146" spans="1:2" x14ac:dyDescent="0.45">
      <c r="A146" s="1">
        <v>134.87230332402521</v>
      </c>
      <c r="B146" s="2">
        <f t="shared" si="7"/>
        <v>16956.278490031465</v>
      </c>
    </row>
    <row r="147" spans="1:2" x14ac:dyDescent="0.45">
      <c r="A147" s="1">
        <v>199.11543644843971</v>
      </c>
      <c r="B147" s="2">
        <f t="shared" si="7"/>
        <v>4352.4555579432972</v>
      </c>
    </row>
    <row r="148" spans="1:2" x14ac:dyDescent="0.45">
      <c r="A148" s="1">
        <v>530.99578288292787</v>
      </c>
      <c r="B148" s="2">
        <f t="shared" si="7"/>
        <v>70706.640996972681</v>
      </c>
    </row>
    <row r="149" spans="1:2" x14ac:dyDescent="0.45">
      <c r="A149" s="1">
        <v>20.670413649223192</v>
      </c>
      <c r="B149" s="2">
        <f t="shared" si="7"/>
        <v>59740.23962684982</v>
      </c>
    </row>
    <row r="150" spans="1:2" x14ac:dyDescent="0.45">
      <c r="A150" s="1">
        <v>284.26678006048337</v>
      </c>
      <c r="B150" s="2">
        <f t="shared" si="7"/>
        <v>367.80339015622008</v>
      </c>
    </row>
    <row r="151" spans="1:2" x14ac:dyDescent="0.45">
      <c r="A151" s="1">
        <v>82.119068833463558</v>
      </c>
      <c r="B151" s="2">
        <f t="shared" si="7"/>
        <v>33477.841705536535</v>
      </c>
    </row>
    <row r="152" spans="1:2" x14ac:dyDescent="0.45">
      <c r="A152" s="1">
        <v>376.28476153968569</v>
      </c>
      <c r="B152" s="2">
        <f t="shared" si="7"/>
        <v>12364.590978001717</v>
      </c>
    </row>
    <row r="153" spans="1:2" x14ac:dyDescent="0.45">
      <c r="A153" s="1">
        <v>89.209363168845584</v>
      </c>
      <c r="B153" s="2">
        <f t="shared" si="7"/>
        <v>30933.498614206503</v>
      </c>
    </row>
    <row r="154" spans="1:2" x14ac:dyDescent="0.45">
      <c r="A154" s="1">
        <v>422.97353373003557</v>
      </c>
      <c r="B154" s="2">
        <f t="shared" si="7"/>
        <v>24927.658882685188</v>
      </c>
    </row>
    <row r="155" spans="1:2" x14ac:dyDescent="0.45">
      <c r="A155" s="1">
        <v>186.37499794933927</v>
      </c>
      <c r="B155" s="2">
        <f t="shared" si="7"/>
        <v>6195.8278654602827</v>
      </c>
    </row>
    <row r="156" spans="1:2" x14ac:dyDescent="0.45">
      <c r="A156" s="1">
        <v>275.58962231740099</v>
      </c>
      <c r="B156" s="2">
        <f t="shared" si="7"/>
        <v>110.27190759998059</v>
      </c>
    </row>
    <row r="157" spans="1:2" x14ac:dyDescent="0.45">
      <c r="A157" s="1">
        <v>279.71092227464675</v>
      </c>
      <c r="B157" s="2">
        <f t="shared" si="7"/>
        <v>213.8129184498375</v>
      </c>
    </row>
    <row r="158" spans="1:2" x14ac:dyDescent="0.45">
      <c r="A158" s="1">
        <v>256.5777260229512</v>
      </c>
      <c r="B158" s="2">
        <f t="shared" si="7"/>
        <v>72.434620953145327</v>
      </c>
    </row>
    <row r="159" spans="1:2" x14ac:dyDescent="0.45">
      <c r="A159" s="1">
        <v>339.84848550874926</v>
      </c>
      <c r="B159" s="2">
        <f t="shared" si="7"/>
        <v>5589.0435987430546</v>
      </c>
    </row>
    <row r="160" spans="1:2" x14ac:dyDescent="0.45">
      <c r="A160" s="1">
        <v>91.16298936540359</v>
      </c>
      <c r="B160" s="2">
        <f t="shared" si="7"/>
        <v>30250.110781979976</v>
      </c>
    </row>
    <row r="161" spans="1:2" x14ac:dyDescent="0.45">
      <c r="A161" s="1">
        <v>371.57228795950266</v>
      </c>
      <c r="B161" s="2">
        <f t="shared" si="7"/>
        <v>11338.780241790058</v>
      </c>
    </row>
    <row r="162" spans="1:2" x14ac:dyDescent="0.45">
      <c r="A162" s="1">
        <v>165.73533880031849</v>
      </c>
      <c r="B162" s="2">
        <f t="shared" si="7"/>
        <v>9871.0663680160069</v>
      </c>
    </row>
    <row r="163" spans="1:2" x14ac:dyDescent="0.45">
      <c r="A163" s="1">
        <v>431.84785533197737</v>
      </c>
      <c r="B163" s="2">
        <f t="shared" si="7"/>
        <v>27808.656192679224</v>
      </c>
    </row>
    <row r="164" spans="1:2" x14ac:dyDescent="0.45">
      <c r="A164" s="1">
        <v>518.50225693162645</v>
      </c>
      <c r="B164" s="2">
        <f t="shared" si="7"/>
        <v>64218.492086722188</v>
      </c>
    </row>
    <row r="165" spans="1:2" x14ac:dyDescent="0.45">
      <c r="A165" s="1">
        <v>597.67486927964592</v>
      </c>
      <c r="B165" s="2">
        <f t="shared" si="7"/>
        <v>110613.64038208577</v>
      </c>
    </row>
    <row r="166" spans="1:2" x14ac:dyDescent="0.45">
      <c r="A166" s="1">
        <v>70.562148340304248</v>
      </c>
      <c r="B166" s="2">
        <f t="shared" si="7"/>
        <v>37840.532283626751</v>
      </c>
    </row>
    <row r="167" spans="1:2" x14ac:dyDescent="0.45">
      <c r="A167" s="1">
        <v>161.71169634723401</v>
      </c>
      <c r="B167" s="2">
        <f t="shared" si="7"/>
        <v>10686.779898052633</v>
      </c>
    </row>
    <row r="168" spans="1:2" x14ac:dyDescent="0.45">
      <c r="A168" s="1">
        <v>365.92766702071486</v>
      </c>
      <c r="B168" s="2">
        <f t="shared" si="7"/>
        <v>10168.521642562813</v>
      </c>
    </row>
    <row r="169" spans="1:2" x14ac:dyDescent="0.45">
      <c r="A169" s="1">
        <v>377.45761753511613</v>
      </c>
      <c r="B169" s="2">
        <f t="shared" si="7"/>
        <v>12626.800787556767</v>
      </c>
    </row>
    <row r="170" spans="1:2" x14ac:dyDescent="0.45">
      <c r="A170" s="1">
        <v>244.57049680440883</v>
      </c>
      <c r="B170" s="2">
        <f t="shared" si="7"/>
        <v>420.99170314756924</v>
      </c>
    </row>
    <row r="171" spans="1:2" x14ac:dyDescent="0.45">
      <c r="A171" s="1">
        <v>380.53299535209015</v>
      </c>
      <c r="B171" s="2">
        <f t="shared" si="7"/>
        <v>13327.413232201416</v>
      </c>
    </row>
    <row r="172" spans="1:2" x14ac:dyDescent="0.45">
      <c r="A172" s="1">
        <v>119.77504990150319</v>
      </c>
      <c r="B172" s="2">
        <f t="shared" si="7"/>
        <v>21116.021782704087</v>
      </c>
    </row>
    <row r="173" spans="1:2" x14ac:dyDescent="0.45">
      <c r="A173" s="1">
        <v>218.24048797629771</v>
      </c>
      <c r="B173" s="2">
        <f t="shared" si="7"/>
        <v>2194.7436466357544</v>
      </c>
    </row>
    <row r="174" spans="1:2" x14ac:dyDescent="0.45">
      <c r="A174" s="1">
        <v>354.80386610839338</v>
      </c>
      <c r="B174" s="2">
        <f t="shared" si="7"/>
        <v>8048.8327139957837</v>
      </c>
    </row>
    <row r="175" spans="1:2" x14ac:dyDescent="0.45">
      <c r="A175" s="1">
        <v>200.41425382552194</v>
      </c>
      <c r="B175" s="2">
        <f t="shared" si="7"/>
        <v>4182.7683561988333</v>
      </c>
    </row>
    <row r="176" spans="1:2" x14ac:dyDescent="0.45">
      <c r="A176" s="1">
        <v>214.707941943381</v>
      </c>
      <c r="B176" s="2">
        <f t="shared" si="7"/>
        <v>2538.2086053624189</v>
      </c>
    </row>
    <row r="177" spans="1:2" x14ac:dyDescent="0.45">
      <c r="A177" s="1">
        <v>128.24713187599914</v>
      </c>
      <c r="B177" s="2">
        <f t="shared" si="7"/>
        <v>18725.581692090571</v>
      </c>
    </row>
    <row r="178" spans="1:2" x14ac:dyDescent="0.45">
      <c r="A178" s="1">
        <v>205.95740635096305</v>
      </c>
      <c r="B178" s="2">
        <f t="shared" si="7"/>
        <v>3496.4955966100551</v>
      </c>
    </row>
    <row r="179" spans="1:2" x14ac:dyDescent="0.45">
      <c r="A179" s="1">
        <v>321.52646634498285</v>
      </c>
      <c r="B179" s="2">
        <f t="shared" si="7"/>
        <v>3185.2351110140539</v>
      </c>
    </row>
    <row r="180" spans="1:2" x14ac:dyDescent="0.45">
      <c r="A180" s="1">
        <v>288.73933496950207</v>
      </c>
      <c r="B180" s="2">
        <f t="shared" si="7"/>
        <v>559.35825082551617</v>
      </c>
    </row>
    <row r="181" spans="1:2" x14ac:dyDescent="0.45">
      <c r="A181" s="1">
        <v>235.36159506521165</v>
      </c>
      <c r="B181" s="2">
        <f t="shared" si="7"/>
        <v>883.69358278756022</v>
      </c>
    </row>
    <row r="182" spans="1:2" x14ac:dyDescent="0.45">
      <c r="A182" s="1">
        <v>536.03507312259637</v>
      </c>
      <c r="B182" s="2">
        <f t="shared" si="7"/>
        <v>73412.002595948317</v>
      </c>
    </row>
    <row r="183" spans="1:2" x14ac:dyDescent="0.45">
      <c r="A183" s="1">
        <v>228.25600047470829</v>
      </c>
      <c r="B183" s="2">
        <f t="shared" si="7"/>
        <v>1356.638851884316</v>
      </c>
    </row>
    <row r="184" spans="1:2" x14ac:dyDescent="0.45">
      <c r="A184" s="1">
        <v>215.51690149816432</v>
      </c>
      <c r="B184" s="2">
        <f t="shared" si="7"/>
        <v>2457.3512252346814</v>
      </c>
    </row>
    <row r="185" spans="1:2" x14ac:dyDescent="0.45">
      <c r="A185" s="1">
        <v>172.97098123856031</v>
      </c>
      <c r="B185" s="2">
        <f t="shared" si="7"/>
        <v>8485.6518450055955</v>
      </c>
    </row>
    <row r="186" spans="1:2" x14ac:dyDescent="0.45">
      <c r="A186" s="1">
        <v>298.65735848541505</v>
      </c>
      <c r="B186" s="2">
        <f t="shared" si="7"/>
        <v>1126.8629460581569</v>
      </c>
    </row>
    <row r="187" spans="1:2" x14ac:dyDescent="0.45">
      <c r="A187" s="1">
        <v>157.53435581019252</v>
      </c>
      <c r="B187" s="2">
        <f t="shared" si="7"/>
        <v>11567.910958266453</v>
      </c>
    </row>
    <row r="188" spans="1:2" x14ac:dyDescent="0.45">
      <c r="A188" s="1">
        <v>84.03211744007605</v>
      </c>
      <c r="B188" s="2">
        <f t="shared" si="7"/>
        <v>32781.442326979894</v>
      </c>
    </row>
    <row r="189" spans="1:2" x14ac:dyDescent="0.45">
      <c r="A189" s="1">
        <v>188.71752493582289</v>
      </c>
      <c r="B189" s="2">
        <f t="shared" si="7"/>
        <v>5832.5379218112403</v>
      </c>
    </row>
    <row r="190" spans="1:2" x14ac:dyDescent="0.45">
      <c r="A190" s="1">
        <v>116.60437593747307</v>
      </c>
      <c r="B190" s="2">
        <f t="shared" si="7"/>
        <v>22047.558603710444</v>
      </c>
    </row>
    <row r="191" spans="1:2" x14ac:dyDescent="0.45">
      <c r="A191" s="1">
        <v>134.94640883037687</v>
      </c>
      <c r="B191" s="2">
        <f t="shared" si="7"/>
        <v>16936.984495546891</v>
      </c>
    </row>
    <row r="192" spans="1:2" x14ac:dyDescent="0.45">
      <c r="A192" s="1">
        <v>435.11415526329688</v>
      </c>
      <c r="B192" s="2">
        <f t="shared" si="7"/>
        <v>28908.696532599599</v>
      </c>
    </row>
    <row r="193" spans="1:2" x14ac:dyDescent="0.45">
      <c r="A193" s="1">
        <v>177.72815000706601</v>
      </c>
      <c r="B193" s="2">
        <f t="shared" si="7"/>
        <v>7631.844580067861</v>
      </c>
    </row>
    <row r="194" spans="1:2" x14ac:dyDescent="0.45">
      <c r="A194" s="1">
        <v>134.98922638929375</v>
      </c>
      <c r="B194" s="2">
        <f t="shared" si="7"/>
        <v>16925.841588799765</v>
      </c>
    </row>
    <row r="195" spans="1:2" x14ac:dyDescent="0.45">
      <c r="A195" s="1">
        <v>726.69771335095948</v>
      </c>
      <c r="B195" s="2">
        <f t="shared" ref="B195:B201" si="8">(A195-$G$4)*(A195-$G$4)</f>
        <v>213082.99277759946</v>
      </c>
    </row>
    <row r="196" spans="1:2" x14ac:dyDescent="0.45">
      <c r="A196" s="1">
        <v>37.717606599446796</v>
      </c>
      <c r="B196" s="2">
        <f t="shared" si="8"/>
        <v>51697.559158663193</v>
      </c>
    </row>
    <row r="197" spans="1:2" x14ac:dyDescent="0.45">
      <c r="A197" s="1">
        <v>110.9162647661596</v>
      </c>
      <c r="B197" s="2">
        <f t="shared" si="8"/>
        <v>23769.102522523142</v>
      </c>
    </row>
    <row r="198" spans="1:2" x14ac:dyDescent="0.45">
      <c r="A198" s="1">
        <v>416.9380434712856</v>
      </c>
      <c r="B198" s="2">
        <f t="shared" si="8"/>
        <v>23058.259814608773</v>
      </c>
    </row>
    <row r="199" spans="1:2" x14ac:dyDescent="0.45">
      <c r="A199" s="1">
        <v>463.39474499202589</v>
      </c>
      <c r="B199" s="2">
        <f t="shared" si="8"/>
        <v>39325.335410896369</v>
      </c>
    </row>
    <row r="200" spans="1:2" x14ac:dyDescent="0.45">
      <c r="A200" s="1">
        <v>445.64779833094963</v>
      </c>
      <c r="B200" s="2">
        <f t="shared" si="8"/>
        <v>32601.631631171644</v>
      </c>
    </row>
    <row r="201" spans="1:2" x14ac:dyDescent="0.45">
      <c r="A201" s="1">
        <v>90.023263673380285</v>
      </c>
      <c r="B201" s="2">
        <f t="shared" si="8"/>
        <v>30647.864682989046</v>
      </c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2A22-6435-47C1-AF12-E1AA0E2C863E}">
  <sheetPr codeName="Лист5"/>
  <dimension ref="A1:P301"/>
  <sheetViews>
    <sheetView workbookViewId="0">
      <selection activeCell="K29" sqref="K29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 s="1">
        <v>107.28158389327129</v>
      </c>
      <c r="B2" s="2">
        <f>(A2-$G$4)*(A2-$G$4)</f>
        <v>28784.490781158191</v>
      </c>
      <c r="F2" t="s">
        <v>9</v>
      </c>
      <c r="G2" s="2">
        <f>G3</f>
        <v>100</v>
      </c>
      <c r="O2" t="s">
        <v>11</v>
      </c>
    </row>
    <row r="3" spans="1:16" x14ac:dyDescent="0.45">
      <c r="A3" s="1">
        <v>127.82735370530034</v>
      </c>
      <c r="B3" s="2">
        <f t="shared" ref="B3:B66" si="0">(A3-$G$4)*(A3-$G$4)</f>
        <v>22235.03183126355</v>
      </c>
      <c r="E3" t="s">
        <v>6</v>
      </c>
      <c r="G3" s="2">
        <f>COUNT(A:A)</f>
        <v>100</v>
      </c>
      <c r="O3" s="4"/>
    </row>
    <row r="4" spans="1:16" x14ac:dyDescent="0.45">
      <c r="A4" s="1">
        <v>408.3546686385011</v>
      </c>
      <c r="B4" s="2">
        <f t="shared" si="0"/>
        <v>17269.418066129241</v>
      </c>
      <c r="E4" t="s">
        <v>0</v>
      </c>
      <c r="F4" s="2"/>
      <c r="G4" s="2">
        <f>SUM(A:A)/G2</f>
        <v>276.94151075037621</v>
      </c>
      <c r="O4" s="5">
        <f>(P4-G4)/G4</f>
        <v>-1.6729467249499983E-3</v>
      </c>
      <c r="P4">
        <f>'300'!G4</f>
        <v>276.47820235696366</v>
      </c>
    </row>
    <row r="5" spans="1:16" x14ac:dyDescent="0.45">
      <c r="A5" s="1">
        <v>98.890546210211852</v>
      </c>
      <c r="B5" s="2">
        <f t="shared" si="0"/>
        <v>31702.145973682866</v>
      </c>
      <c r="E5" t="s">
        <v>1</v>
      </c>
      <c r="F5" s="2"/>
      <c r="G5" s="2">
        <f>SUM(B:B)/(G2-1)</f>
        <v>25957.930049012415</v>
      </c>
      <c r="O5" s="5">
        <f t="shared" ref="O5:O10" si="1">(P5-G5)/G5</f>
        <v>0.12867909712298478</v>
      </c>
      <c r="P5">
        <f>'300'!G5</f>
        <v>29298.173050900929</v>
      </c>
    </row>
    <row r="6" spans="1:16" x14ac:dyDescent="0.45">
      <c r="A6" s="1">
        <v>701.75957763374743</v>
      </c>
      <c r="B6" s="2">
        <f t="shared" si="0"/>
        <v>180470.38995052446</v>
      </c>
      <c r="E6" t="s">
        <v>2</v>
      </c>
      <c r="F6" s="2"/>
      <c r="G6" s="2">
        <f>SQRT(G5)</f>
        <v>161.11464877227152</v>
      </c>
      <c r="J6" s="3"/>
      <c r="O6" s="5">
        <f t="shared" si="1"/>
        <v>6.2393099150679247E-2</v>
      </c>
      <c r="P6">
        <f>'300'!G6</f>
        <v>171.16709102774672</v>
      </c>
    </row>
    <row r="7" spans="1:16" ht="14.25" customHeight="1" x14ac:dyDescent="0.45">
      <c r="A7" s="1">
        <v>271.81439391360277</v>
      </c>
      <c r="B7" s="2">
        <f t="shared" si="0"/>
        <v>26.287327057925676</v>
      </c>
      <c r="E7" t="s">
        <v>3</v>
      </c>
      <c r="F7" s="2"/>
      <c r="G7" s="2">
        <f>G6/G4</f>
        <v>0.58176417228218891</v>
      </c>
      <c r="J7" s="3"/>
      <c r="O7" s="5">
        <f t="shared" si="1"/>
        <v>6.4173404562621064E-2</v>
      </c>
      <c r="P7">
        <f>'300'!G7</f>
        <v>0.6190979598700922</v>
      </c>
    </row>
    <row r="8" spans="1:16" x14ac:dyDescent="0.45">
      <c r="A8" s="1">
        <v>320.49549343299248</v>
      </c>
      <c r="B8" s="2">
        <f t="shared" si="0"/>
        <v>1896.9494075176376</v>
      </c>
      <c r="D8" s="7" t="s">
        <v>4</v>
      </c>
      <c r="E8">
        <v>0.9</v>
      </c>
      <c r="F8" s="2">
        <v>1.6839999999999999</v>
      </c>
      <c r="G8" s="2">
        <f>$G$13*F8</f>
        <v>27.131706853250524</v>
      </c>
      <c r="I8">
        <f>K8-G8</f>
        <v>249.80980389712568</v>
      </c>
      <c r="J8" s="3" t="s">
        <v>10</v>
      </c>
      <c r="K8">
        <f>$G$4</f>
        <v>276.94151075037621</v>
      </c>
      <c r="L8" s="3" t="s">
        <v>10</v>
      </c>
      <c r="M8">
        <f>K8+G8</f>
        <v>304.07321760362674</v>
      </c>
      <c r="O8" s="5">
        <f t="shared" si="1"/>
        <v>-0.38662705822015458</v>
      </c>
      <c r="P8">
        <f>'300'!G8</f>
        <v>16.641854848086666</v>
      </c>
    </row>
    <row r="9" spans="1:16" x14ac:dyDescent="0.45">
      <c r="A9" s="1">
        <v>248.02335172534512</v>
      </c>
      <c r="B9" s="2">
        <f t="shared" si="0"/>
        <v>836.2599213969869</v>
      </c>
      <c r="D9" s="7"/>
      <c r="E9">
        <v>0.95</v>
      </c>
      <c r="F9" s="2">
        <v>1.96</v>
      </c>
      <c r="G9" s="2">
        <f t="shared" ref="G9:G10" si="2">$G$13*F9</f>
        <v>31.578471159365218</v>
      </c>
      <c r="I9">
        <f t="shared" ref="I9:I10" si="3">K9-G9</f>
        <v>245.36303959101099</v>
      </c>
      <c r="J9" s="3" t="s">
        <v>10</v>
      </c>
      <c r="K9">
        <f t="shared" ref="K9:K10" si="4">$G$4</f>
        <v>276.94151075037621</v>
      </c>
      <c r="L9" s="3" t="s">
        <v>10</v>
      </c>
      <c r="M9">
        <f t="shared" ref="M9:M10" si="5">K9+G9</f>
        <v>308.51998190974143</v>
      </c>
      <c r="O9" s="5">
        <f t="shared" si="1"/>
        <v>-0.38662705822015464</v>
      </c>
      <c r="P9">
        <f>'300'!G9</f>
        <v>19.369379751929849</v>
      </c>
    </row>
    <row r="10" spans="1:16" x14ac:dyDescent="0.45">
      <c r="A10" s="1">
        <v>224.91195357298182</v>
      </c>
      <c r="B10" s="2">
        <f t="shared" si="0"/>
        <v>2707.0748200757525</v>
      </c>
      <c r="D10" s="7"/>
      <c r="E10">
        <v>0.99</v>
      </c>
      <c r="F10" s="2">
        <v>2.5790000000000002</v>
      </c>
      <c r="G10" s="2">
        <f t="shared" si="2"/>
        <v>41.551467918368829</v>
      </c>
      <c r="I10">
        <f t="shared" si="3"/>
        <v>235.3900428320074</v>
      </c>
      <c r="J10" s="3" t="s">
        <v>10</v>
      </c>
      <c r="K10">
        <f t="shared" si="4"/>
        <v>276.94151075037621</v>
      </c>
      <c r="L10" s="3" t="s">
        <v>10</v>
      </c>
      <c r="M10">
        <f t="shared" si="5"/>
        <v>318.49297866874502</v>
      </c>
      <c r="O10" s="5">
        <f t="shared" si="1"/>
        <v>-0.38662705822015464</v>
      </c>
      <c r="P10">
        <f>'300'!G10</f>
        <v>25.486546112360756</v>
      </c>
    </row>
    <row r="11" spans="1:16" x14ac:dyDescent="0.45">
      <c r="A11" s="1">
        <v>454.21521094440101</v>
      </c>
      <c r="B11" s="2">
        <f t="shared" si="0"/>
        <v>31425.964780480987</v>
      </c>
      <c r="E11" t="s">
        <v>5</v>
      </c>
      <c r="F11" s="2"/>
      <c r="G11" s="2"/>
      <c r="O11" s="4"/>
    </row>
    <row r="12" spans="1:16" x14ac:dyDescent="0.45">
      <c r="A12" s="1">
        <v>254.47077882330547</v>
      </c>
      <c r="B12" s="2">
        <f t="shared" si="0"/>
        <v>504.93379333827647</v>
      </c>
      <c r="F12" s="2"/>
      <c r="G12" s="2"/>
    </row>
    <row r="13" spans="1:16" x14ac:dyDescent="0.45">
      <c r="A13" s="1">
        <v>216.90657928262164</v>
      </c>
      <c r="B13" s="2">
        <f t="shared" si="0"/>
        <v>3604.1929963379885</v>
      </c>
      <c r="E13" t="s">
        <v>8</v>
      </c>
      <c r="F13" s="2"/>
      <c r="G13" s="2">
        <f>SQRT(G5/G2)</f>
        <v>16.111464877227153</v>
      </c>
    </row>
    <row r="14" spans="1:16" x14ac:dyDescent="0.45">
      <c r="A14" s="1">
        <v>797.62537343667645</v>
      </c>
      <c r="B14" s="2">
        <f t="shared" si="0"/>
        <v>271111.68486192595</v>
      </c>
      <c r="F14" s="2"/>
    </row>
    <row r="15" spans="1:16" x14ac:dyDescent="0.45">
      <c r="A15" s="1">
        <v>630.35309829085122</v>
      </c>
      <c r="B15" s="2">
        <f t="shared" si="0"/>
        <v>124899.75020787884</v>
      </c>
      <c r="F15" s="2"/>
    </row>
    <row r="16" spans="1:16" x14ac:dyDescent="0.45">
      <c r="A16" s="1">
        <v>187.66933410519863</v>
      </c>
      <c r="B16" s="2">
        <f t="shared" si="0"/>
        <v>7969.5215229677897</v>
      </c>
    </row>
    <row r="17" spans="1:2" x14ac:dyDescent="0.45">
      <c r="A17" s="1">
        <v>81.610533594883279</v>
      </c>
      <c r="B17" s="2">
        <f t="shared" si="0"/>
        <v>38154.190636519699</v>
      </c>
    </row>
    <row r="18" spans="1:2" x14ac:dyDescent="0.45">
      <c r="A18" s="1">
        <v>283.24936593557317</v>
      </c>
      <c r="B18" s="2">
        <f t="shared" si="0"/>
        <v>39.789037037416129</v>
      </c>
    </row>
    <row r="19" spans="1:2" x14ac:dyDescent="0.45">
      <c r="A19" s="1">
        <v>151.51033225013779</v>
      </c>
      <c r="B19" s="2">
        <f t="shared" si="0"/>
        <v>15732.980539958671</v>
      </c>
    </row>
    <row r="20" spans="1:2" x14ac:dyDescent="0.45">
      <c r="A20" s="1">
        <v>407.89408014857736</v>
      </c>
      <c r="B20" s="2">
        <f t="shared" si="0"/>
        <v>17148.575431990688</v>
      </c>
    </row>
    <row r="21" spans="1:2" x14ac:dyDescent="0.45">
      <c r="A21" s="1">
        <v>196.50012539926712</v>
      </c>
      <c r="B21" s="2">
        <f t="shared" si="0"/>
        <v>6470.816477205628</v>
      </c>
    </row>
    <row r="22" spans="1:2" x14ac:dyDescent="0.45">
      <c r="A22" s="1">
        <v>226.10190058519862</v>
      </c>
      <c r="B22" s="2">
        <f t="shared" si="0"/>
        <v>2584.6659617472283</v>
      </c>
    </row>
    <row r="23" spans="1:2" x14ac:dyDescent="0.45">
      <c r="A23" s="1">
        <v>296.82006676145301</v>
      </c>
      <c r="B23" s="2">
        <f t="shared" si="0"/>
        <v>395.15698908551741</v>
      </c>
    </row>
    <row r="24" spans="1:2" x14ac:dyDescent="0.45">
      <c r="A24" s="1">
        <v>365.89967866417624</v>
      </c>
      <c r="B24" s="2">
        <f t="shared" si="0"/>
        <v>7913.55563857984</v>
      </c>
    </row>
    <row r="25" spans="1:2" x14ac:dyDescent="0.45">
      <c r="A25" s="1">
        <v>126.08793960916096</v>
      </c>
      <c r="B25" s="2">
        <f t="shared" si="0"/>
        <v>22756.799926057687</v>
      </c>
    </row>
    <row r="26" spans="1:2" x14ac:dyDescent="0.45">
      <c r="A26" s="1">
        <v>158.17331398046889</v>
      </c>
      <c r="B26" s="2">
        <f t="shared" si="0"/>
        <v>14105.884563975424</v>
      </c>
    </row>
    <row r="27" spans="1:2" x14ac:dyDescent="0.45">
      <c r="A27" s="1">
        <v>169.31814511084991</v>
      </c>
      <c r="B27" s="2">
        <f t="shared" si="0"/>
        <v>11582.78883157917</v>
      </c>
    </row>
    <row r="28" spans="1:2" x14ac:dyDescent="0.45">
      <c r="A28" s="1">
        <v>356.99176152030975</v>
      </c>
      <c r="B28" s="2">
        <f t="shared" si="0"/>
        <v>6408.0426483292458</v>
      </c>
    </row>
    <row r="29" spans="1:2" x14ac:dyDescent="0.45">
      <c r="A29" s="1">
        <v>51.531820594945302</v>
      </c>
      <c r="B29" s="2">
        <f t="shared" si="0"/>
        <v>50809.528415967361</v>
      </c>
    </row>
    <row r="30" spans="1:2" x14ac:dyDescent="0.45">
      <c r="A30" s="1">
        <v>138.94007100937398</v>
      </c>
      <c r="B30" s="2">
        <f t="shared" si="0"/>
        <v>19044.397370589468</v>
      </c>
    </row>
    <row r="31" spans="1:2" x14ac:dyDescent="0.45">
      <c r="A31" s="1">
        <v>122.36436339055496</v>
      </c>
      <c r="B31" s="2">
        <f t="shared" si="0"/>
        <v>23894.094485899896</v>
      </c>
    </row>
    <row r="32" spans="1:2" x14ac:dyDescent="0.45">
      <c r="A32" s="1">
        <v>192.42385978046303</v>
      </c>
      <c r="B32" s="2">
        <f t="shared" si="0"/>
        <v>7143.2333254720661</v>
      </c>
    </row>
    <row r="33" spans="1:2" x14ac:dyDescent="0.45">
      <c r="A33" s="1">
        <v>314.19161734563977</v>
      </c>
      <c r="B33" s="2">
        <f t="shared" si="0"/>
        <v>1387.5704413584979</v>
      </c>
    </row>
    <row r="34" spans="1:2" x14ac:dyDescent="0.45">
      <c r="A34" s="1">
        <v>224.76623940791234</v>
      </c>
      <c r="B34" s="2">
        <f t="shared" si="0"/>
        <v>2722.2589396597318</v>
      </c>
    </row>
    <row r="35" spans="1:2" x14ac:dyDescent="0.45">
      <c r="A35" s="1">
        <v>55.898927187361181</v>
      </c>
      <c r="B35" s="2">
        <f t="shared" si="0"/>
        <v>48859.823748212482</v>
      </c>
    </row>
    <row r="36" spans="1:2" x14ac:dyDescent="0.45">
      <c r="A36" s="1">
        <v>327.76712307497064</v>
      </c>
      <c r="B36" s="2">
        <f t="shared" si="0"/>
        <v>2583.2428681699653</v>
      </c>
    </row>
    <row r="37" spans="1:2" x14ac:dyDescent="0.45">
      <c r="A37" s="1">
        <v>375.33573039261597</v>
      </c>
      <c r="B37" s="2">
        <f t="shared" si="0"/>
        <v>9681.4224590053218</v>
      </c>
    </row>
    <row r="38" spans="1:2" x14ac:dyDescent="0.45">
      <c r="A38" s="1">
        <v>227.86161586375553</v>
      </c>
      <c r="B38" s="2">
        <f t="shared" si="0"/>
        <v>2408.8360820817347</v>
      </c>
    </row>
    <row r="39" spans="1:2" x14ac:dyDescent="0.45">
      <c r="A39" s="1">
        <v>355.13663052220119</v>
      </c>
      <c r="B39" s="2">
        <f t="shared" si="0"/>
        <v>6114.4767561300532</v>
      </c>
    </row>
    <row r="40" spans="1:2" x14ac:dyDescent="0.45">
      <c r="A40" s="1">
        <v>286.7413177403497</v>
      </c>
      <c r="B40" s="2">
        <f t="shared" si="0"/>
        <v>96.036217040733277</v>
      </c>
    </row>
    <row r="41" spans="1:2" x14ac:dyDescent="0.45">
      <c r="A41" s="1">
        <v>133.99561157809518</v>
      </c>
      <c r="B41" s="2">
        <f t="shared" si="0"/>
        <v>20433.530090171935</v>
      </c>
    </row>
    <row r="42" spans="1:2" x14ac:dyDescent="0.45">
      <c r="A42" s="1">
        <v>229.31356051547908</v>
      </c>
      <c r="B42" s="2">
        <f t="shared" si="0"/>
        <v>2268.4216435778376</v>
      </c>
    </row>
    <row r="43" spans="1:2" x14ac:dyDescent="0.45">
      <c r="A43" s="1">
        <v>427.5796519704889</v>
      </c>
      <c r="B43" s="2">
        <f t="shared" si="0"/>
        <v>22691.849590250611</v>
      </c>
    </row>
    <row r="44" spans="1:2" x14ac:dyDescent="0.45">
      <c r="A44" s="1">
        <v>379.88380148467013</v>
      </c>
      <c r="B44" s="2">
        <f t="shared" si="0"/>
        <v>10597.115221623895</v>
      </c>
    </row>
    <row r="45" spans="1:2" x14ac:dyDescent="0.45">
      <c r="A45" s="1">
        <v>470.07277475710123</v>
      </c>
      <c r="B45" s="2">
        <f t="shared" si="0"/>
        <v>37299.685136835316</v>
      </c>
    </row>
    <row r="46" spans="1:2" x14ac:dyDescent="0.45">
      <c r="A46" s="1">
        <v>270.68980051071156</v>
      </c>
      <c r="B46" s="2">
        <f t="shared" si="0"/>
        <v>39.083880920727793</v>
      </c>
    </row>
    <row r="47" spans="1:2" x14ac:dyDescent="0.45">
      <c r="A47" s="1">
        <v>151.08022269670758</v>
      </c>
      <c r="B47" s="2">
        <f t="shared" si="0"/>
        <v>15841.06383052855</v>
      </c>
    </row>
    <row r="48" spans="1:2" x14ac:dyDescent="0.45">
      <c r="A48" s="1">
        <v>184.74179118427588</v>
      </c>
      <c r="B48" s="2">
        <f t="shared" si="0"/>
        <v>8500.7882880675443</v>
      </c>
    </row>
    <row r="49" spans="1:2" x14ac:dyDescent="0.45">
      <c r="A49" s="1">
        <v>484.80314732117779</v>
      </c>
      <c r="B49" s="2">
        <f t="shared" si="0"/>
        <v>43206.459957891995</v>
      </c>
    </row>
    <row r="50" spans="1:2" x14ac:dyDescent="0.45">
      <c r="A50" s="1">
        <v>130.8094017575973</v>
      </c>
      <c r="B50" s="2">
        <f t="shared" si="0"/>
        <v>21354.593278677414</v>
      </c>
    </row>
    <row r="51" spans="1:2" x14ac:dyDescent="0.45">
      <c r="A51" s="1">
        <v>184.10637657715995</v>
      </c>
      <c r="B51" s="2">
        <f t="shared" si="0"/>
        <v>8618.3621369590655</v>
      </c>
    </row>
    <row r="52" spans="1:2" x14ac:dyDescent="0.45">
      <c r="A52" s="1">
        <v>385.10511983287188</v>
      </c>
      <c r="B52" s="2">
        <f t="shared" si="0"/>
        <v>11699.366329750939</v>
      </c>
    </row>
    <row r="53" spans="1:2" x14ac:dyDescent="0.45">
      <c r="A53" s="1">
        <v>83.235214760513699</v>
      </c>
      <c r="B53" s="2">
        <f t="shared" si="0"/>
        <v>37522.129106112217</v>
      </c>
    </row>
    <row r="54" spans="1:2" x14ac:dyDescent="0.45">
      <c r="A54" s="1">
        <v>195.65674454690125</v>
      </c>
      <c r="B54" s="2">
        <f t="shared" si="0"/>
        <v>6607.2132167535847</v>
      </c>
    </row>
    <row r="55" spans="1:2" x14ac:dyDescent="0.45">
      <c r="A55" s="1">
        <v>540.52449203860169</v>
      </c>
      <c r="B55" s="2">
        <f t="shared" si="0"/>
        <v>69475.988024789025</v>
      </c>
    </row>
    <row r="56" spans="1:2" x14ac:dyDescent="0.45">
      <c r="A56" s="1">
        <v>343.16788171818587</v>
      </c>
      <c r="B56" s="2">
        <f t="shared" si="0"/>
        <v>4385.9322115659415</v>
      </c>
    </row>
    <row r="57" spans="1:2" x14ac:dyDescent="0.45">
      <c r="A57" s="1">
        <v>377.46792019065362</v>
      </c>
      <c r="B57" s="2">
        <f t="shared" si="0"/>
        <v>10105.558994954294</v>
      </c>
    </row>
    <row r="58" spans="1:2" x14ac:dyDescent="0.45">
      <c r="A58" s="1">
        <v>763.05828906878878</v>
      </c>
      <c r="B58" s="2">
        <f t="shared" si="0"/>
        <v>236309.52216267266</v>
      </c>
    </row>
    <row r="59" spans="1:2" x14ac:dyDescent="0.45">
      <c r="A59" s="1">
        <v>114.1957280012459</v>
      </c>
      <c r="B59" s="2">
        <f t="shared" si="0"/>
        <v>26486.189802627123</v>
      </c>
    </row>
    <row r="60" spans="1:2" x14ac:dyDescent="0.45">
      <c r="A60" s="1">
        <v>93.828691587588537</v>
      </c>
      <c r="B60" s="2">
        <f t="shared" si="0"/>
        <v>33530.304541743782</v>
      </c>
    </row>
    <row r="61" spans="1:2" x14ac:dyDescent="0.45">
      <c r="A61" s="1">
        <v>288.55840885143232</v>
      </c>
      <c r="B61" s="2">
        <f t="shared" si="0"/>
        <v>134.95232149032103</v>
      </c>
    </row>
    <row r="62" spans="1:2" x14ac:dyDescent="0.45">
      <c r="A62" s="1">
        <v>527.20635732889855</v>
      </c>
      <c r="B62" s="2">
        <f t="shared" si="0"/>
        <v>62632.493432971321</v>
      </c>
    </row>
    <row r="63" spans="1:2" x14ac:dyDescent="0.45">
      <c r="A63" s="1">
        <v>684.17142200543822</v>
      </c>
      <c r="B63" s="2">
        <f t="shared" si="0"/>
        <v>165836.20062080567</v>
      </c>
    </row>
    <row r="64" spans="1:2" x14ac:dyDescent="0.45">
      <c r="A64" s="1">
        <v>318.45739323918156</v>
      </c>
      <c r="B64" s="2">
        <f t="shared" si="0"/>
        <v>1723.5684988242945</v>
      </c>
    </row>
    <row r="65" spans="1:2" x14ac:dyDescent="0.45">
      <c r="A65" s="1">
        <v>208.72149310978941</v>
      </c>
      <c r="B65" s="2">
        <f t="shared" si="0"/>
        <v>4653.9708068819746</v>
      </c>
    </row>
    <row r="66" spans="1:2" x14ac:dyDescent="0.45">
      <c r="A66" s="1">
        <v>246.93208789280652</v>
      </c>
      <c r="B66" s="2">
        <f t="shared" si="0"/>
        <v>900.56546024442616</v>
      </c>
    </row>
    <row r="67" spans="1:2" x14ac:dyDescent="0.45">
      <c r="A67" s="1">
        <v>135.05870598078235</v>
      </c>
      <c r="B67" s="2">
        <f t="shared" ref="B67:B101" si="6">(A67-$G$4)*(A67-$G$4)</f>
        <v>20130.730289286686</v>
      </c>
    </row>
    <row r="68" spans="1:2" x14ac:dyDescent="0.45">
      <c r="A68" s="1">
        <v>212.00109132019526</v>
      </c>
      <c r="B68" s="2">
        <f t="shared" si="6"/>
        <v>4217.2580757678234</v>
      </c>
    </row>
    <row r="69" spans="1:2" x14ac:dyDescent="0.45">
      <c r="A69" s="1">
        <v>65.071926371309047</v>
      </c>
      <c r="B69" s="2">
        <f t="shared" si="6"/>
        <v>44888.720784958663</v>
      </c>
    </row>
    <row r="70" spans="1:2" x14ac:dyDescent="0.45">
      <c r="A70" s="1">
        <v>477.48731714154536</v>
      </c>
      <c r="B70" s="2">
        <f t="shared" si="6"/>
        <v>40218.620461084305</v>
      </c>
    </row>
    <row r="71" spans="1:2" x14ac:dyDescent="0.45">
      <c r="A71" s="1">
        <v>379.10072832547741</v>
      </c>
      <c r="B71" s="2">
        <f t="shared" si="6"/>
        <v>10436.505735556864</v>
      </c>
    </row>
    <row r="72" spans="1:2" x14ac:dyDescent="0.45">
      <c r="A72" s="1">
        <v>419.18061229105331</v>
      </c>
      <c r="B72" s="2">
        <f t="shared" si="6"/>
        <v>20231.96200709905</v>
      </c>
    </row>
    <row r="73" spans="1:2" x14ac:dyDescent="0.45">
      <c r="A73" s="1">
        <v>92.051072390415982</v>
      </c>
      <c r="B73" s="2">
        <f t="shared" si="6"/>
        <v>34184.474196938252</v>
      </c>
    </row>
    <row r="74" spans="1:2" x14ac:dyDescent="0.45">
      <c r="A74" s="1">
        <v>505.15934999217063</v>
      </c>
      <c r="B74" s="2">
        <f t="shared" si="6"/>
        <v>52083.382148193523</v>
      </c>
    </row>
    <row r="75" spans="1:2" x14ac:dyDescent="0.45">
      <c r="A75" s="1">
        <v>204.64797660269062</v>
      </c>
      <c r="B75" s="2">
        <f t="shared" si="6"/>
        <v>5226.3550795625824</v>
      </c>
    </row>
    <row r="76" spans="1:2" x14ac:dyDescent="0.45">
      <c r="A76" s="1">
        <v>393.69557760716901</v>
      </c>
      <c r="B76" s="2">
        <f t="shared" si="6"/>
        <v>13631.512127600445</v>
      </c>
    </row>
    <row r="77" spans="1:2" x14ac:dyDescent="0.45">
      <c r="A77" s="1">
        <v>208.3377473171555</v>
      </c>
      <c r="B77" s="2">
        <f t="shared" si="6"/>
        <v>4706.4763572013107</v>
      </c>
    </row>
    <row r="78" spans="1:2" x14ac:dyDescent="0.45">
      <c r="A78" s="1">
        <v>131.10075713382952</v>
      </c>
      <c r="B78" s="2">
        <f t="shared" si="6"/>
        <v>21269.525415442276</v>
      </c>
    </row>
    <row r="79" spans="1:2" x14ac:dyDescent="0.45">
      <c r="A79" s="1">
        <v>200.34605210648334</v>
      </c>
      <c r="B79" s="2">
        <f t="shared" si="6"/>
        <v>5866.864284868303</v>
      </c>
    </row>
    <row r="80" spans="1:2" x14ac:dyDescent="0.45">
      <c r="A80" s="1">
        <v>220.18785541026077</v>
      </c>
      <c r="B80" s="2">
        <f t="shared" si="6"/>
        <v>3220.977394464614</v>
      </c>
    </row>
    <row r="81" spans="1:2" x14ac:dyDescent="0.45">
      <c r="A81" s="1">
        <v>545.34426792191391</v>
      </c>
      <c r="B81" s="2">
        <f t="shared" si="6"/>
        <v>72040.040057283433</v>
      </c>
    </row>
    <row r="82" spans="1:2" x14ac:dyDescent="0.45">
      <c r="A82" s="1">
        <v>298.21504684333127</v>
      </c>
      <c r="B82" s="2">
        <f t="shared" si="6"/>
        <v>452.56333789826141</v>
      </c>
    </row>
    <row r="83" spans="1:2" x14ac:dyDescent="0.45">
      <c r="A83" s="1">
        <v>35.333966596066375</v>
      </c>
      <c r="B83" s="2">
        <f t="shared" si="6"/>
        <v>58374.205392276774</v>
      </c>
    </row>
    <row r="84" spans="1:2" x14ac:dyDescent="0.45">
      <c r="A84" s="1">
        <v>185.44794327967338</v>
      </c>
      <c r="B84" s="2">
        <f t="shared" si="6"/>
        <v>8371.0728885160515</v>
      </c>
    </row>
    <row r="85" spans="1:2" x14ac:dyDescent="0.45">
      <c r="A85" s="1">
        <v>436.56347628770209</v>
      </c>
      <c r="B85" s="2">
        <f t="shared" si="6"/>
        <v>25479.171881999249</v>
      </c>
    </row>
    <row r="86" spans="1:2" x14ac:dyDescent="0.45">
      <c r="A86" s="1">
        <v>162.67977861718344</v>
      </c>
      <c r="B86" s="2">
        <f t="shared" si="6"/>
        <v>13055.743430077497</v>
      </c>
    </row>
    <row r="87" spans="1:2" x14ac:dyDescent="0.45">
      <c r="A87" s="1">
        <v>216.15215722346178</v>
      </c>
      <c r="B87" s="2">
        <f t="shared" si="6"/>
        <v>3695.3455022201833</v>
      </c>
    </row>
    <row r="88" spans="1:2" x14ac:dyDescent="0.45">
      <c r="A88" s="1">
        <v>249.61201762606564</v>
      </c>
      <c r="B88" s="2">
        <f t="shared" si="6"/>
        <v>746.90119443173887</v>
      </c>
    </row>
    <row r="89" spans="1:2" x14ac:dyDescent="0.45">
      <c r="A89" s="1">
        <v>341.69175316393586</v>
      </c>
      <c r="B89" s="2">
        <f t="shared" si="6"/>
        <v>4192.5938926147383</v>
      </c>
    </row>
    <row r="90" spans="1:2" x14ac:dyDescent="0.45">
      <c r="A90" s="1">
        <v>203.30563183272307</v>
      </c>
      <c r="B90" s="2">
        <f t="shared" si="6"/>
        <v>5422.2426639752748</v>
      </c>
    </row>
    <row r="91" spans="1:2" x14ac:dyDescent="0.45">
      <c r="A91" s="1">
        <v>388.73073722723774</v>
      </c>
      <c r="B91" s="2">
        <f t="shared" si="6"/>
        <v>12496.831156295038</v>
      </c>
    </row>
    <row r="92" spans="1:2" x14ac:dyDescent="0.45">
      <c r="A92" s="1">
        <v>158.91079043238744</v>
      </c>
      <c r="B92" s="2">
        <f t="shared" si="6"/>
        <v>13931.250938783287</v>
      </c>
    </row>
    <row r="93" spans="1:2" x14ac:dyDescent="0.45">
      <c r="A93" s="1">
        <v>79.627903538835881</v>
      </c>
      <c r="B93" s="2">
        <f t="shared" si="6"/>
        <v>38932.659590830022</v>
      </c>
    </row>
    <row r="94" spans="1:2" x14ac:dyDescent="0.45">
      <c r="A94" s="1">
        <v>127.99124370748665</v>
      </c>
      <c r="B94" s="2">
        <f t="shared" si="6"/>
        <v>22186.18205214811</v>
      </c>
    </row>
    <row r="95" spans="1:2" x14ac:dyDescent="0.45">
      <c r="A95" s="1">
        <v>395.60937797206873</v>
      </c>
      <c r="B95" s="2">
        <f t="shared" si="6"/>
        <v>14082.062710945245</v>
      </c>
    </row>
    <row r="96" spans="1:2" x14ac:dyDescent="0.45">
      <c r="A96" s="1">
        <v>211.19042812250598</v>
      </c>
      <c r="B96" s="2">
        <f t="shared" si="6"/>
        <v>4323.2048667370191</v>
      </c>
    </row>
    <row r="97" spans="1:2" x14ac:dyDescent="0.45">
      <c r="A97" s="1">
        <v>336.1261218728319</v>
      </c>
      <c r="B97" s="2">
        <f t="shared" si="6"/>
        <v>3502.8181937163058</v>
      </c>
    </row>
    <row r="98" spans="1:2" x14ac:dyDescent="0.45">
      <c r="A98" s="1">
        <v>283.75273249906081</v>
      </c>
      <c r="B98" s="2">
        <f t="shared" si="6"/>
        <v>46.392741709754127</v>
      </c>
    </row>
    <row r="99" spans="1:2" x14ac:dyDescent="0.45">
      <c r="A99" s="1">
        <v>105.02116918454753</v>
      </c>
      <c r="B99" s="2">
        <f t="shared" si="6"/>
        <v>29556.603844111196</v>
      </c>
    </row>
    <row r="100" spans="1:2" x14ac:dyDescent="0.45">
      <c r="A100" s="1">
        <v>425.36850075864334</v>
      </c>
      <c r="B100" s="2">
        <f t="shared" si="6"/>
        <v>22030.57136291423</v>
      </c>
    </row>
    <row r="101" spans="1:2" x14ac:dyDescent="0.45">
      <c r="A101" s="1">
        <v>102.97001833383734</v>
      </c>
      <c r="B101" s="2">
        <f t="shared" si="6"/>
        <v>30266.080173637842</v>
      </c>
    </row>
    <row r="102" spans="1:2" x14ac:dyDescent="0.45">
      <c r="A102" s="1"/>
      <c r="B102" s="1"/>
    </row>
    <row r="103" spans="1:2" x14ac:dyDescent="0.45">
      <c r="A103" s="1"/>
      <c r="B103" s="1"/>
    </row>
    <row r="104" spans="1:2" x14ac:dyDescent="0.45">
      <c r="A104" s="1"/>
      <c r="B104" s="1"/>
    </row>
    <row r="105" spans="1:2" x14ac:dyDescent="0.45">
      <c r="A105" s="1"/>
      <c r="B105" s="1"/>
    </row>
    <row r="106" spans="1:2" x14ac:dyDescent="0.45">
      <c r="A106" s="1"/>
      <c r="B106" s="1"/>
    </row>
    <row r="107" spans="1:2" x14ac:dyDescent="0.45">
      <c r="A107" s="1"/>
      <c r="B107" s="1"/>
    </row>
    <row r="108" spans="1:2" x14ac:dyDescent="0.45">
      <c r="A108" s="1"/>
      <c r="B108" s="1"/>
    </row>
    <row r="109" spans="1:2" x14ac:dyDescent="0.45">
      <c r="A109" s="1"/>
      <c r="B109" s="1"/>
    </row>
    <row r="110" spans="1:2" x14ac:dyDescent="0.45">
      <c r="A110" s="1"/>
      <c r="B110" s="1"/>
    </row>
    <row r="111" spans="1:2" x14ac:dyDescent="0.45">
      <c r="A111" s="1"/>
      <c r="B111" s="1"/>
    </row>
    <row r="112" spans="1:2" x14ac:dyDescent="0.45">
      <c r="A112" s="1"/>
      <c r="B112" s="1"/>
    </row>
    <row r="113" spans="1:2" x14ac:dyDescent="0.45">
      <c r="A113" s="1"/>
      <c r="B113" s="1"/>
    </row>
    <row r="114" spans="1:2" x14ac:dyDescent="0.45">
      <c r="A114" s="1"/>
      <c r="B114" s="1"/>
    </row>
    <row r="115" spans="1:2" x14ac:dyDescent="0.45">
      <c r="A115" s="1"/>
      <c r="B115" s="1"/>
    </row>
    <row r="116" spans="1:2" x14ac:dyDescent="0.45">
      <c r="A116" s="1"/>
      <c r="B116" s="1"/>
    </row>
    <row r="117" spans="1:2" x14ac:dyDescent="0.45">
      <c r="A117" s="1"/>
      <c r="B117" s="1"/>
    </row>
    <row r="118" spans="1:2" x14ac:dyDescent="0.45">
      <c r="A118" s="1"/>
      <c r="B118" s="1"/>
    </row>
    <row r="119" spans="1:2" x14ac:dyDescent="0.45">
      <c r="A119" s="1"/>
      <c r="B119" s="1"/>
    </row>
    <row r="120" spans="1:2" x14ac:dyDescent="0.45">
      <c r="A120" s="1"/>
      <c r="B120" s="1"/>
    </row>
    <row r="121" spans="1:2" x14ac:dyDescent="0.45">
      <c r="A121" s="1"/>
      <c r="B121" s="1"/>
    </row>
    <row r="122" spans="1:2" x14ac:dyDescent="0.45">
      <c r="A122" s="1"/>
      <c r="B122" s="1"/>
    </row>
    <row r="123" spans="1:2" x14ac:dyDescent="0.45">
      <c r="A123" s="1"/>
      <c r="B123" s="1"/>
    </row>
    <row r="124" spans="1:2" x14ac:dyDescent="0.45">
      <c r="A124" s="1"/>
      <c r="B124" s="1"/>
    </row>
    <row r="125" spans="1:2" x14ac:dyDescent="0.45">
      <c r="A125" s="1"/>
      <c r="B125" s="1"/>
    </row>
    <row r="126" spans="1:2" x14ac:dyDescent="0.45">
      <c r="A126" s="1"/>
      <c r="B126" s="1"/>
    </row>
    <row r="127" spans="1:2" x14ac:dyDescent="0.45">
      <c r="A127" s="1"/>
      <c r="B127" s="1"/>
    </row>
    <row r="128" spans="1:2" x14ac:dyDescent="0.45">
      <c r="A128" s="1"/>
      <c r="B128" s="1"/>
    </row>
    <row r="129" spans="1:2" x14ac:dyDescent="0.45">
      <c r="A129" s="1"/>
      <c r="B129" s="1"/>
    </row>
    <row r="130" spans="1:2" x14ac:dyDescent="0.45">
      <c r="A130" s="1"/>
      <c r="B130" s="1"/>
    </row>
    <row r="131" spans="1:2" x14ac:dyDescent="0.45">
      <c r="A131" s="1"/>
      <c r="B131" s="1"/>
    </row>
    <row r="132" spans="1:2" x14ac:dyDescent="0.45">
      <c r="A132" s="1"/>
      <c r="B132" s="1"/>
    </row>
    <row r="133" spans="1:2" x14ac:dyDescent="0.45">
      <c r="A133" s="1"/>
      <c r="B133" s="1"/>
    </row>
    <row r="134" spans="1:2" x14ac:dyDescent="0.45">
      <c r="A134" s="1"/>
      <c r="B134" s="1"/>
    </row>
    <row r="135" spans="1:2" x14ac:dyDescent="0.45">
      <c r="A135" s="1"/>
      <c r="B135" s="1"/>
    </row>
    <row r="136" spans="1:2" x14ac:dyDescent="0.45">
      <c r="A136" s="1"/>
      <c r="B136" s="1"/>
    </row>
    <row r="137" spans="1:2" x14ac:dyDescent="0.45">
      <c r="A137" s="1"/>
      <c r="B137" s="1"/>
    </row>
    <row r="138" spans="1:2" x14ac:dyDescent="0.45">
      <c r="A138" s="1"/>
      <c r="B138" s="1"/>
    </row>
    <row r="139" spans="1:2" x14ac:dyDescent="0.45">
      <c r="A139" s="1"/>
      <c r="B139" s="1"/>
    </row>
    <row r="140" spans="1:2" x14ac:dyDescent="0.45">
      <c r="A140" s="1"/>
      <c r="B140" s="1"/>
    </row>
    <row r="141" spans="1:2" x14ac:dyDescent="0.45">
      <c r="A141" s="1"/>
      <c r="B141" s="1"/>
    </row>
    <row r="142" spans="1:2" x14ac:dyDescent="0.45">
      <c r="A142" s="1"/>
      <c r="B142" s="1"/>
    </row>
    <row r="143" spans="1:2" x14ac:dyDescent="0.45">
      <c r="A143" s="1"/>
      <c r="B143" s="1"/>
    </row>
    <row r="144" spans="1:2" x14ac:dyDescent="0.45">
      <c r="A144" s="1"/>
      <c r="B144" s="1"/>
    </row>
    <row r="145" spans="1:2" x14ac:dyDescent="0.45">
      <c r="A145" s="1"/>
      <c r="B145" s="1"/>
    </row>
    <row r="146" spans="1:2" x14ac:dyDescent="0.45">
      <c r="A146" s="1"/>
      <c r="B146" s="1"/>
    </row>
    <row r="147" spans="1:2" x14ac:dyDescent="0.45">
      <c r="A147" s="1"/>
      <c r="B147" s="1"/>
    </row>
    <row r="148" spans="1:2" x14ac:dyDescent="0.45">
      <c r="A148" s="1"/>
      <c r="B148" s="1"/>
    </row>
    <row r="149" spans="1:2" x14ac:dyDescent="0.45">
      <c r="A149" s="1"/>
      <c r="B149" s="1"/>
    </row>
    <row r="150" spans="1:2" x14ac:dyDescent="0.45">
      <c r="A150" s="1"/>
      <c r="B150" s="1"/>
    </row>
    <row r="151" spans="1:2" x14ac:dyDescent="0.45">
      <c r="A151" s="1"/>
      <c r="B151" s="1"/>
    </row>
    <row r="152" spans="1:2" x14ac:dyDescent="0.45">
      <c r="A152" s="1"/>
      <c r="B152" s="1"/>
    </row>
    <row r="153" spans="1:2" x14ac:dyDescent="0.45">
      <c r="A153" s="1"/>
      <c r="B153" s="1"/>
    </row>
    <row r="154" spans="1:2" x14ac:dyDescent="0.45">
      <c r="A154" s="1"/>
      <c r="B154" s="1"/>
    </row>
    <row r="155" spans="1:2" x14ac:dyDescent="0.45">
      <c r="A155" s="1"/>
      <c r="B155" s="1"/>
    </row>
    <row r="156" spans="1:2" x14ac:dyDescent="0.45">
      <c r="A156" s="1"/>
      <c r="B156" s="1"/>
    </row>
    <row r="157" spans="1:2" x14ac:dyDescent="0.45">
      <c r="A157" s="1"/>
      <c r="B157" s="1"/>
    </row>
    <row r="158" spans="1:2" x14ac:dyDescent="0.45">
      <c r="A158" s="1"/>
      <c r="B158" s="1"/>
    </row>
    <row r="159" spans="1:2" x14ac:dyDescent="0.45">
      <c r="A159" s="1"/>
      <c r="B159" s="1"/>
    </row>
    <row r="160" spans="1:2" x14ac:dyDescent="0.45">
      <c r="A160" s="1"/>
      <c r="B160" s="1"/>
    </row>
    <row r="161" spans="1:2" x14ac:dyDescent="0.45">
      <c r="A161" s="1"/>
      <c r="B161" s="1"/>
    </row>
    <row r="162" spans="1:2" x14ac:dyDescent="0.45">
      <c r="A162" s="1"/>
      <c r="B162" s="1"/>
    </row>
    <row r="163" spans="1:2" x14ac:dyDescent="0.45">
      <c r="A163" s="1"/>
      <c r="B163" s="1"/>
    </row>
    <row r="164" spans="1:2" x14ac:dyDescent="0.45">
      <c r="A164" s="1"/>
      <c r="B164" s="1"/>
    </row>
    <row r="165" spans="1:2" x14ac:dyDescent="0.45">
      <c r="A165" s="1"/>
      <c r="B165" s="1"/>
    </row>
    <row r="166" spans="1:2" x14ac:dyDescent="0.45">
      <c r="A166" s="1"/>
      <c r="B166" s="1"/>
    </row>
    <row r="167" spans="1:2" x14ac:dyDescent="0.45">
      <c r="A167" s="1"/>
      <c r="B167" s="1"/>
    </row>
    <row r="168" spans="1:2" x14ac:dyDescent="0.45">
      <c r="A168" s="1"/>
      <c r="B168" s="1"/>
    </row>
    <row r="169" spans="1:2" x14ac:dyDescent="0.45">
      <c r="A169" s="1"/>
      <c r="B169" s="1"/>
    </row>
    <row r="170" spans="1:2" x14ac:dyDescent="0.45">
      <c r="A170" s="1"/>
      <c r="B170" s="1"/>
    </row>
    <row r="171" spans="1:2" x14ac:dyDescent="0.45">
      <c r="A171" s="1"/>
      <c r="B171" s="1"/>
    </row>
    <row r="172" spans="1:2" x14ac:dyDescent="0.45">
      <c r="A172" s="1"/>
      <c r="B172" s="1"/>
    </row>
    <row r="173" spans="1:2" x14ac:dyDescent="0.45">
      <c r="A173" s="1"/>
      <c r="B173" s="1"/>
    </row>
    <row r="174" spans="1:2" x14ac:dyDescent="0.45">
      <c r="A174" s="1"/>
      <c r="B174" s="1"/>
    </row>
    <row r="175" spans="1:2" x14ac:dyDescent="0.45">
      <c r="A175" s="1"/>
      <c r="B175" s="1"/>
    </row>
    <row r="176" spans="1:2" x14ac:dyDescent="0.45">
      <c r="A176" s="1"/>
      <c r="B176" s="1"/>
    </row>
    <row r="177" spans="1:2" x14ac:dyDescent="0.45">
      <c r="A177" s="1"/>
      <c r="B177" s="1"/>
    </row>
    <row r="178" spans="1:2" x14ac:dyDescent="0.45">
      <c r="A178" s="1"/>
      <c r="B178" s="1"/>
    </row>
    <row r="179" spans="1:2" x14ac:dyDescent="0.45">
      <c r="A179" s="1"/>
      <c r="B179" s="1"/>
    </row>
    <row r="180" spans="1:2" x14ac:dyDescent="0.45">
      <c r="A180" s="1"/>
      <c r="B180" s="1"/>
    </row>
    <row r="181" spans="1:2" x14ac:dyDescent="0.45">
      <c r="A181" s="1"/>
      <c r="B181" s="1"/>
    </row>
    <row r="182" spans="1:2" x14ac:dyDescent="0.45">
      <c r="A182" s="1"/>
      <c r="B182" s="1"/>
    </row>
    <row r="183" spans="1:2" x14ac:dyDescent="0.45">
      <c r="A183" s="1"/>
      <c r="B183" s="1"/>
    </row>
    <row r="184" spans="1:2" x14ac:dyDescent="0.45">
      <c r="A184" s="1"/>
      <c r="B184" s="1"/>
    </row>
    <row r="185" spans="1:2" x14ac:dyDescent="0.45">
      <c r="A185" s="1"/>
      <c r="B185" s="1"/>
    </row>
    <row r="186" spans="1:2" x14ac:dyDescent="0.45">
      <c r="A186" s="1"/>
      <c r="B186" s="1"/>
    </row>
    <row r="187" spans="1:2" x14ac:dyDescent="0.45">
      <c r="A187" s="1"/>
      <c r="B187" s="1"/>
    </row>
    <row r="188" spans="1:2" x14ac:dyDescent="0.45">
      <c r="A188" s="1"/>
      <c r="B188" s="1"/>
    </row>
    <row r="189" spans="1:2" x14ac:dyDescent="0.45">
      <c r="A189" s="1"/>
      <c r="B189" s="1"/>
    </row>
    <row r="190" spans="1:2" x14ac:dyDescent="0.45">
      <c r="A190" s="1"/>
      <c r="B190" s="1"/>
    </row>
    <row r="191" spans="1:2" x14ac:dyDescent="0.45">
      <c r="A191" s="1"/>
      <c r="B191" s="1"/>
    </row>
    <row r="192" spans="1:2" x14ac:dyDescent="0.45">
      <c r="A192" s="1"/>
      <c r="B192" s="1"/>
    </row>
    <row r="193" spans="1:2" x14ac:dyDescent="0.45">
      <c r="A193" s="1"/>
      <c r="B193" s="1"/>
    </row>
    <row r="194" spans="1:2" x14ac:dyDescent="0.45">
      <c r="A194" s="1"/>
      <c r="B194" s="1"/>
    </row>
    <row r="195" spans="1:2" x14ac:dyDescent="0.45">
      <c r="A195" s="1"/>
      <c r="B195" s="1"/>
    </row>
    <row r="196" spans="1:2" x14ac:dyDescent="0.45">
      <c r="A196" s="1"/>
      <c r="B196" s="1"/>
    </row>
    <row r="197" spans="1:2" x14ac:dyDescent="0.45">
      <c r="A197" s="1"/>
      <c r="B197" s="1"/>
    </row>
    <row r="198" spans="1:2" x14ac:dyDescent="0.45">
      <c r="A198" s="1"/>
      <c r="B198" s="1"/>
    </row>
    <row r="199" spans="1:2" x14ac:dyDescent="0.45">
      <c r="A199" s="1"/>
      <c r="B199" s="1"/>
    </row>
    <row r="200" spans="1:2" x14ac:dyDescent="0.45">
      <c r="A200" s="1"/>
      <c r="B200" s="1"/>
    </row>
    <row r="201" spans="1:2" x14ac:dyDescent="0.45">
      <c r="A201" s="1"/>
      <c r="B201" s="1"/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0EC5-D7C8-459B-8E5B-C14E45A66256}">
  <sheetPr codeName="Лист4"/>
  <dimension ref="A1:P301"/>
  <sheetViews>
    <sheetView workbookViewId="0">
      <selection activeCell="I26" sqref="I26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 s="1">
        <v>107.28158389327129</v>
      </c>
      <c r="B2" s="2">
        <f>(A2-$G$4)*(A2-$G$4)</f>
        <v>27071.521418330631</v>
      </c>
      <c r="F2" t="s">
        <v>9</v>
      </c>
      <c r="G2">
        <v>50</v>
      </c>
      <c r="O2" t="s">
        <v>11</v>
      </c>
    </row>
    <row r="3" spans="1:16" x14ac:dyDescent="0.45">
      <c r="A3" s="1">
        <v>127.82735370530034</v>
      </c>
      <c r="B3" s="2">
        <f t="shared" ref="B3:B51" si="0">(A3-$G$4)*(A3-$G$4)</f>
        <v>20732.684172956124</v>
      </c>
      <c r="E3" t="s">
        <v>6</v>
      </c>
      <c r="G3" s="2">
        <f>COUNT(A:A)</f>
        <v>50</v>
      </c>
      <c r="O3" s="4"/>
    </row>
    <row r="4" spans="1:16" x14ac:dyDescent="0.45">
      <c r="A4" s="1">
        <v>408.3546686385011</v>
      </c>
      <c r="B4" s="2">
        <f t="shared" si="0"/>
        <v>18642.851737810921</v>
      </c>
      <c r="E4" t="s">
        <v>0</v>
      </c>
      <c r="F4" s="2"/>
      <c r="G4" s="2">
        <f>SUM(A:A)/G2</f>
        <v>271.81583995665352</v>
      </c>
      <c r="O4" s="5">
        <f>(P4-G4)/G4</f>
        <v>1.7152651593275989E-2</v>
      </c>
      <c r="P4">
        <f>'300'!G4</f>
        <v>276.47820235696366</v>
      </c>
    </row>
    <row r="5" spans="1:16" x14ac:dyDescent="0.45">
      <c r="A5" s="1">
        <v>98.890546210211852</v>
      </c>
      <c r="B5" s="2">
        <f t="shared" si="0"/>
        <v>29903.157217293137</v>
      </c>
      <c r="E5" t="s">
        <v>1</v>
      </c>
      <c r="F5" s="2"/>
      <c r="G5" s="2">
        <f>SUM(B:B)/(G2-1)</f>
        <v>25163.665143563539</v>
      </c>
      <c r="O5" s="5">
        <f t="shared" ref="O5:O10" si="1">(P5-G5)/G5</f>
        <v>0.1643046783427306</v>
      </c>
      <c r="P5">
        <f>'300'!G5</f>
        <v>29298.173050900929</v>
      </c>
    </row>
    <row r="6" spans="1:16" x14ac:dyDescent="0.45">
      <c r="A6" s="1">
        <v>701.75957763374743</v>
      </c>
      <c r="B6" s="2">
        <f t="shared" si="0"/>
        <v>184851.61756774975</v>
      </c>
      <c r="E6" t="s">
        <v>2</v>
      </c>
      <c r="F6" s="2"/>
      <c r="G6" s="2">
        <f>SQRT(G5)</f>
        <v>158.63059334051405</v>
      </c>
      <c r="J6" s="3"/>
      <c r="O6" s="5">
        <f t="shared" si="1"/>
        <v>7.902950763300752E-2</v>
      </c>
      <c r="P6">
        <f>'300'!G6</f>
        <v>171.16709102774672</v>
      </c>
    </row>
    <row r="7" spans="1:16" ht="14.25" customHeight="1" x14ac:dyDescent="0.45">
      <c r="A7" s="1">
        <v>271.81439391360277</v>
      </c>
      <c r="B7" s="2">
        <f t="shared" si="0"/>
        <v>2.0910405046176182E-6</v>
      </c>
      <c r="E7" t="s">
        <v>3</v>
      </c>
      <c r="F7" s="2"/>
      <c r="G7" s="2">
        <f>G6/G4</f>
        <v>0.58359583961630379</v>
      </c>
      <c r="J7" s="3"/>
      <c r="O7" s="5">
        <f t="shared" si="1"/>
        <v>6.0833401891846849E-2</v>
      </c>
      <c r="P7">
        <f>'300'!G7</f>
        <v>0.6190979598700922</v>
      </c>
    </row>
    <row r="8" spans="1:16" x14ac:dyDescent="0.45">
      <c r="A8" s="1">
        <v>320.49549343299248</v>
      </c>
      <c r="B8" s="2">
        <f t="shared" si="0"/>
        <v>2369.7086625764396</v>
      </c>
      <c r="D8" s="7" t="s">
        <v>4</v>
      </c>
      <c r="E8">
        <v>0.9</v>
      </c>
      <c r="F8" s="2">
        <v>1.6839999999999999</v>
      </c>
      <c r="G8" s="2">
        <f>$G$13*F8</f>
        <v>37.77844114819073</v>
      </c>
      <c r="I8">
        <f>K8-G8</f>
        <v>234.0373988084628</v>
      </c>
      <c r="J8" s="3" t="s">
        <v>10</v>
      </c>
      <c r="K8">
        <f>$G$4</f>
        <v>271.81583995665352</v>
      </c>
      <c r="L8" s="3" t="s">
        <v>10</v>
      </c>
      <c r="M8">
        <f>K8+G8</f>
        <v>309.59428110484424</v>
      </c>
      <c r="O8" s="5">
        <f t="shared" si="1"/>
        <v>-0.55948804814876085</v>
      </c>
      <c r="P8">
        <f>'300'!G8</f>
        <v>16.641854848086666</v>
      </c>
    </row>
    <row r="9" spans="1:16" x14ac:dyDescent="0.45">
      <c r="A9" s="1">
        <v>248.02335172534512</v>
      </c>
      <c r="B9" s="2">
        <f t="shared" si="0"/>
        <v>566.0824962369486</v>
      </c>
      <c r="D9" s="7"/>
      <c r="E9">
        <v>0.95</v>
      </c>
      <c r="F9" s="2">
        <v>1.96</v>
      </c>
      <c r="G9" s="2">
        <f t="shared" ref="G9:G10" si="2">$G$13*F9</f>
        <v>43.970157155851439</v>
      </c>
      <c r="I9">
        <f t="shared" ref="I9:I10" si="3">K9-G9</f>
        <v>227.84568280080208</v>
      </c>
      <c r="J9" s="3" t="s">
        <v>10</v>
      </c>
      <c r="K9">
        <f t="shared" ref="K9:K10" si="4">$G$4</f>
        <v>271.81583995665352</v>
      </c>
      <c r="L9" s="3" t="s">
        <v>10</v>
      </c>
      <c r="M9">
        <f t="shared" ref="M9:M10" si="5">K9+G9</f>
        <v>315.78599711250496</v>
      </c>
      <c r="O9" s="5">
        <f t="shared" si="1"/>
        <v>-0.55948804814876085</v>
      </c>
      <c r="P9">
        <f>'300'!G9</f>
        <v>19.369379751929849</v>
      </c>
    </row>
    <row r="10" spans="1:16" x14ac:dyDescent="0.45">
      <c r="A10" s="1">
        <v>224.91195357298182</v>
      </c>
      <c r="B10" s="2">
        <f t="shared" si="0"/>
        <v>2199.9745578923839</v>
      </c>
      <c r="D10" s="7"/>
      <c r="E10">
        <v>0.99</v>
      </c>
      <c r="F10" s="2">
        <v>2.5790000000000002</v>
      </c>
      <c r="G10" s="2">
        <f t="shared" si="2"/>
        <v>57.856650665786162</v>
      </c>
      <c r="I10">
        <f t="shared" si="3"/>
        <v>213.95918929086736</v>
      </c>
      <c r="J10" s="3" t="s">
        <v>10</v>
      </c>
      <c r="K10">
        <f t="shared" si="4"/>
        <v>271.81583995665352</v>
      </c>
      <c r="L10" s="3" t="s">
        <v>10</v>
      </c>
      <c r="M10">
        <f t="shared" si="5"/>
        <v>329.67249062243968</v>
      </c>
      <c r="O10" s="5">
        <f t="shared" si="1"/>
        <v>-0.55948804814876085</v>
      </c>
      <c r="P10">
        <f>'300'!G10</f>
        <v>25.486546112360756</v>
      </c>
    </row>
    <row r="11" spans="1:16" x14ac:dyDescent="0.45">
      <c r="A11" s="1">
        <v>454.21521094440101</v>
      </c>
      <c r="B11" s="2">
        <f t="shared" si="0"/>
        <v>33269.530536725943</v>
      </c>
      <c r="E11" t="s">
        <v>5</v>
      </c>
      <c r="F11" s="2"/>
      <c r="O11" s="4"/>
    </row>
    <row r="12" spans="1:16" x14ac:dyDescent="0.45">
      <c r="A12" s="1">
        <v>254.47077882330547</v>
      </c>
      <c r="B12" s="2">
        <f t="shared" si="0"/>
        <v>300.85114571958127</v>
      </c>
      <c r="F12" s="2"/>
    </row>
    <row r="13" spans="1:16" x14ac:dyDescent="0.45">
      <c r="A13" s="1">
        <v>216.90657928262164</v>
      </c>
      <c r="B13" s="2">
        <f t="shared" si="0"/>
        <v>3015.0269077687844</v>
      </c>
      <c r="E13" t="s">
        <v>8</v>
      </c>
      <c r="F13" s="2"/>
      <c r="G13">
        <f>SQRT(G5/G2)</f>
        <v>22.433753650944613</v>
      </c>
    </row>
    <row r="14" spans="1:16" x14ac:dyDescent="0.45">
      <c r="A14" s="1">
        <v>797.62537343667645</v>
      </c>
      <c r="B14" s="2">
        <f t="shared" si="0"/>
        <v>276475.66549847944</v>
      </c>
      <c r="F14" s="2"/>
    </row>
    <row r="15" spans="1:16" x14ac:dyDescent="0.45">
      <c r="A15" s="1">
        <v>630.35309829085122</v>
      </c>
      <c r="B15" s="2">
        <f t="shared" si="0"/>
        <v>128548.96561380322</v>
      </c>
      <c r="F15" s="2"/>
    </row>
    <row r="16" spans="1:16" x14ac:dyDescent="0.45">
      <c r="A16" s="1">
        <v>187.66933410519863</v>
      </c>
      <c r="B16" s="2">
        <f t="shared" si="0"/>
        <v>7080.6344470089316</v>
      </c>
    </row>
    <row r="17" spans="1:2" x14ac:dyDescent="0.45">
      <c r="A17" s="1">
        <v>81.610533594883279</v>
      </c>
      <c r="B17" s="2">
        <f t="shared" si="0"/>
        <v>36178.058568174871</v>
      </c>
    </row>
    <row r="18" spans="1:2" x14ac:dyDescent="0.45">
      <c r="A18" s="1">
        <v>283.24936593557317</v>
      </c>
      <c r="B18" s="2">
        <f t="shared" si="0"/>
        <v>130.72551631063047</v>
      </c>
    </row>
    <row r="19" spans="1:2" x14ac:dyDescent="0.45">
      <c r="A19" s="1">
        <v>151.51033225013779</v>
      </c>
      <c r="B19" s="2">
        <f t="shared" si="0"/>
        <v>14473.415184522515</v>
      </c>
    </row>
    <row r="20" spans="1:2" x14ac:dyDescent="0.45">
      <c r="A20" s="1">
        <v>407.89408014857736</v>
      </c>
      <c r="B20" s="2">
        <f t="shared" si="0"/>
        <v>18517.287453730918</v>
      </c>
    </row>
    <row r="21" spans="1:2" x14ac:dyDescent="0.45">
      <c r="A21" s="1">
        <v>196.50012539926712</v>
      </c>
      <c r="B21" s="2">
        <f t="shared" si="0"/>
        <v>5672.4568592897058</v>
      </c>
    </row>
    <row r="22" spans="1:2" x14ac:dyDescent="0.45">
      <c r="A22" s="1">
        <v>226.10190058519862</v>
      </c>
      <c r="B22" s="2">
        <f t="shared" si="0"/>
        <v>2089.7642528570541</v>
      </c>
    </row>
    <row r="23" spans="1:2" x14ac:dyDescent="0.45">
      <c r="A23" s="1">
        <v>296.82006676145301</v>
      </c>
      <c r="B23" s="2">
        <f t="shared" si="0"/>
        <v>625.21135810585315</v>
      </c>
    </row>
    <row r="24" spans="1:2" x14ac:dyDescent="0.45">
      <c r="A24" s="1">
        <v>365.89967866417624</v>
      </c>
      <c r="B24" s="2">
        <f t="shared" si="0"/>
        <v>8851.7687059431501</v>
      </c>
    </row>
    <row r="25" spans="1:2" x14ac:dyDescent="0.45">
      <c r="A25" s="1">
        <v>126.08793960916096</v>
      </c>
      <c r="B25" s="2">
        <f t="shared" si="0"/>
        <v>21236.620939688721</v>
      </c>
    </row>
    <row r="26" spans="1:2" x14ac:dyDescent="0.45">
      <c r="A26" s="1">
        <v>158.17331398046889</v>
      </c>
      <c r="B26" s="2">
        <f t="shared" si="0"/>
        <v>12914.623710247799</v>
      </c>
    </row>
    <row r="27" spans="1:2" x14ac:dyDescent="0.45">
      <c r="A27" s="1">
        <v>169.31814511084991</v>
      </c>
      <c r="B27" s="2">
        <f t="shared" si="0"/>
        <v>10505.777448703475</v>
      </c>
    </row>
    <row r="28" spans="1:2" x14ac:dyDescent="0.45">
      <c r="A28" s="1">
        <v>356.99176152030975</v>
      </c>
      <c r="B28" s="2">
        <f t="shared" si="0"/>
        <v>7254.9376142181191</v>
      </c>
    </row>
    <row r="29" spans="1:2" x14ac:dyDescent="0.45">
      <c r="A29" s="1">
        <v>51.531820594945302</v>
      </c>
      <c r="B29" s="2">
        <f t="shared" si="0"/>
        <v>48525.049186149437</v>
      </c>
    </row>
    <row r="30" spans="1:2" x14ac:dyDescent="0.45">
      <c r="A30" s="1">
        <v>138.94007100937398</v>
      </c>
      <c r="B30" s="2">
        <f t="shared" si="0"/>
        <v>17655.969973330819</v>
      </c>
    </row>
    <row r="31" spans="1:2" x14ac:dyDescent="0.45">
      <c r="A31" s="1">
        <v>122.36436339055496</v>
      </c>
      <c r="B31" s="2">
        <f t="shared" si="0"/>
        <v>22335.743847787107</v>
      </c>
    </row>
    <row r="32" spans="1:2" x14ac:dyDescent="0.45">
      <c r="A32" s="1">
        <v>192.42385978046303</v>
      </c>
      <c r="B32" s="2">
        <f t="shared" si="0"/>
        <v>6303.0865162966229</v>
      </c>
    </row>
    <row r="33" spans="1:2" x14ac:dyDescent="0.45">
      <c r="A33" s="1">
        <v>314.19161734563977</v>
      </c>
      <c r="B33" s="2">
        <f t="shared" si="0"/>
        <v>1795.7065093209185</v>
      </c>
    </row>
    <row r="34" spans="1:2" x14ac:dyDescent="0.45">
      <c r="A34" s="1">
        <v>224.76623940791234</v>
      </c>
      <c r="B34" s="2">
        <f t="shared" si="0"/>
        <v>2213.6649117961065</v>
      </c>
    </row>
    <row r="35" spans="1:2" x14ac:dyDescent="0.45">
      <c r="A35" s="1">
        <v>55.898927187361181</v>
      </c>
      <c r="B35" s="2">
        <f t="shared" si="0"/>
        <v>46620.113219822197</v>
      </c>
    </row>
    <row r="36" spans="1:2" x14ac:dyDescent="0.45">
      <c r="A36" s="1">
        <v>327.76712307497064</v>
      </c>
      <c r="B36" s="2">
        <f t="shared" si="0"/>
        <v>3130.5460825860787</v>
      </c>
    </row>
    <row r="37" spans="1:2" x14ac:dyDescent="0.45">
      <c r="A37" s="1">
        <v>375.33573039261597</v>
      </c>
      <c r="B37" s="2">
        <f t="shared" si="0"/>
        <v>10716.36771587367</v>
      </c>
    </row>
    <row r="38" spans="1:2" x14ac:dyDescent="0.45">
      <c r="A38" s="1">
        <v>227.86161586375553</v>
      </c>
      <c r="B38" s="2">
        <f t="shared" si="0"/>
        <v>1931.9738156086939</v>
      </c>
    </row>
    <row r="39" spans="1:2" x14ac:dyDescent="0.45">
      <c r="A39" s="1">
        <v>355.13663052220119</v>
      </c>
      <c r="B39" s="2">
        <f t="shared" si="0"/>
        <v>6942.3541404678572</v>
      </c>
    </row>
    <row r="40" spans="1:2" x14ac:dyDescent="0.45">
      <c r="A40" s="1">
        <v>286.7413177403497</v>
      </c>
      <c r="B40" s="2">
        <f t="shared" si="0"/>
        <v>222.76988707160825</v>
      </c>
    </row>
    <row r="41" spans="1:2" x14ac:dyDescent="0.45">
      <c r="A41" s="1">
        <v>133.99561157809518</v>
      </c>
      <c r="B41" s="2">
        <f t="shared" si="0"/>
        <v>18994.415350317977</v>
      </c>
    </row>
    <row r="42" spans="1:2" x14ac:dyDescent="0.45">
      <c r="A42" s="1">
        <v>229.31356051547908</v>
      </c>
      <c r="B42" s="2">
        <f t="shared" si="0"/>
        <v>1806.4437576956793</v>
      </c>
    </row>
    <row r="43" spans="1:2" x14ac:dyDescent="0.45">
      <c r="A43" s="1">
        <v>427.5796519704889</v>
      </c>
      <c r="B43" s="2">
        <f t="shared" si="0"/>
        <v>24262.365133081446</v>
      </c>
    </row>
    <row r="44" spans="1:2" x14ac:dyDescent="0.45">
      <c r="A44" s="1">
        <v>379.88380148467013</v>
      </c>
      <c r="B44" s="2">
        <f t="shared" si="0"/>
        <v>11678.684308820879</v>
      </c>
    </row>
    <row r="45" spans="1:2" x14ac:dyDescent="0.45">
      <c r="A45" s="1">
        <v>470.07277475710123</v>
      </c>
      <c r="B45" s="2">
        <f t="shared" si="0"/>
        <v>39305.812196468971</v>
      </c>
    </row>
    <row r="46" spans="1:2" x14ac:dyDescent="0.45">
      <c r="A46" s="1">
        <v>270.68980051071156</v>
      </c>
      <c r="B46" s="2">
        <f t="shared" si="0"/>
        <v>1.2679648338172669</v>
      </c>
    </row>
    <row r="47" spans="1:2" x14ac:dyDescent="0.45">
      <c r="A47" s="1">
        <v>151.08022269670758</v>
      </c>
      <c r="B47" s="2">
        <f t="shared" si="0"/>
        <v>14577.089275140155</v>
      </c>
    </row>
    <row r="48" spans="1:2" x14ac:dyDescent="0.45">
      <c r="A48" s="1">
        <v>184.74179118427588</v>
      </c>
      <c r="B48" s="2">
        <f t="shared" si="0"/>
        <v>7581.8899696143999</v>
      </c>
    </row>
    <row r="49" spans="1:2" x14ac:dyDescent="0.45">
      <c r="A49" s="1">
        <v>484.80314732117779</v>
      </c>
      <c r="B49" s="2">
        <f t="shared" si="0"/>
        <v>45363.593098390331</v>
      </c>
    </row>
    <row r="50" spans="1:2" x14ac:dyDescent="0.45">
      <c r="A50" s="1">
        <v>130.8094017575973</v>
      </c>
      <c r="B50" s="2">
        <f t="shared" si="0"/>
        <v>19882.815613584262</v>
      </c>
    </row>
    <row r="51" spans="1:2" x14ac:dyDescent="0.45">
      <c r="A51" s="1">
        <v>184.10637657715995</v>
      </c>
      <c r="B51" s="2">
        <f t="shared" si="0"/>
        <v>7692.9499663187235</v>
      </c>
    </row>
    <row r="52" spans="1:2" x14ac:dyDescent="0.45">
      <c r="A52" s="1"/>
      <c r="B52" s="1"/>
    </row>
    <row r="53" spans="1:2" x14ac:dyDescent="0.45">
      <c r="A53" s="1"/>
      <c r="B53" s="1"/>
    </row>
    <row r="54" spans="1:2" x14ac:dyDescent="0.45">
      <c r="A54" s="1"/>
      <c r="B54" s="1"/>
    </row>
    <row r="55" spans="1:2" x14ac:dyDescent="0.45">
      <c r="A55" s="1"/>
      <c r="B55" s="1"/>
    </row>
    <row r="56" spans="1:2" x14ac:dyDescent="0.45">
      <c r="A56" s="1"/>
      <c r="B56" s="1"/>
    </row>
    <row r="57" spans="1:2" x14ac:dyDescent="0.45">
      <c r="A57" s="1"/>
      <c r="B57" s="1"/>
    </row>
    <row r="58" spans="1:2" x14ac:dyDescent="0.45">
      <c r="A58" s="1"/>
      <c r="B58" s="1"/>
    </row>
    <row r="59" spans="1:2" x14ac:dyDescent="0.45">
      <c r="A59" s="1"/>
      <c r="B59" s="1"/>
    </row>
    <row r="60" spans="1:2" x14ac:dyDescent="0.45">
      <c r="A60" s="1"/>
      <c r="B60" s="1"/>
    </row>
    <row r="61" spans="1:2" x14ac:dyDescent="0.45">
      <c r="A61" s="1"/>
      <c r="B61" s="1"/>
    </row>
    <row r="62" spans="1:2" x14ac:dyDescent="0.45">
      <c r="A62" s="1"/>
      <c r="B62" s="1"/>
    </row>
    <row r="63" spans="1:2" x14ac:dyDescent="0.45">
      <c r="A63" s="1"/>
      <c r="B63" s="1"/>
    </row>
    <row r="64" spans="1:2" x14ac:dyDescent="0.45">
      <c r="A64" s="1"/>
      <c r="B64" s="1"/>
    </row>
    <row r="65" spans="1:2" x14ac:dyDescent="0.45">
      <c r="A65" s="1"/>
      <c r="B65" s="1"/>
    </row>
    <row r="66" spans="1:2" x14ac:dyDescent="0.45">
      <c r="A66" s="1"/>
      <c r="B66" s="1"/>
    </row>
    <row r="67" spans="1:2" x14ac:dyDescent="0.45">
      <c r="A67" s="1"/>
      <c r="B67" s="1"/>
    </row>
    <row r="68" spans="1:2" x14ac:dyDescent="0.45">
      <c r="A68" s="1"/>
      <c r="B68" s="1"/>
    </row>
    <row r="69" spans="1:2" x14ac:dyDescent="0.45">
      <c r="A69" s="1"/>
      <c r="B69" s="1"/>
    </row>
    <row r="70" spans="1:2" x14ac:dyDescent="0.45">
      <c r="A70" s="1"/>
      <c r="B70" s="1"/>
    </row>
    <row r="71" spans="1:2" x14ac:dyDescent="0.45">
      <c r="A71" s="1"/>
      <c r="B71" s="1"/>
    </row>
    <row r="72" spans="1:2" x14ac:dyDescent="0.45">
      <c r="A72" s="1"/>
      <c r="B72" s="1"/>
    </row>
    <row r="73" spans="1:2" x14ac:dyDescent="0.45">
      <c r="A73" s="1"/>
      <c r="B73" s="1"/>
    </row>
    <row r="74" spans="1:2" x14ac:dyDescent="0.45">
      <c r="A74" s="1"/>
      <c r="B74" s="1"/>
    </row>
    <row r="75" spans="1:2" x14ac:dyDescent="0.45">
      <c r="A75" s="1"/>
      <c r="B75" s="1"/>
    </row>
    <row r="76" spans="1:2" x14ac:dyDescent="0.45">
      <c r="A76" s="1"/>
      <c r="B76" s="1"/>
    </row>
    <row r="77" spans="1:2" x14ac:dyDescent="0.45">
      <c r="A77" s="1"/>
      <c r="B77" s="1"/>
    </row>
    <row r="78" spans="1:2" x14ac:dyDescent="0.45">
      <c r="A78" s="1"/>
      <c r="B78" s="1"/>
    </row>
    <row r="79" spans="1:2" x14ac:dyDescent="0.45">
      <c r="A79" s="1"/>
      <c r="B79" s="1"/>
    </row>
    <row r="80" spans="1:2" x14ac:dyDescent="0.45">
      <c r="A80" s="1"/>
      <c r="B80" s="1"/>
    </row>
    <row r="81" spans="1:2" x14ac:dyDescent="0.45">
      <c r="A81" s="1"/>
      <c r="B81" s="1"/>
    </row>
    <row r="82" spans="1:2" x14ac:dyDescent="0.45">
      <c r="A82" s="1"/>
      <c r="B82" s="1"/>
    </row>
    <row r="83" spans="1:2" x14ac:dyDescent="0.45">
      <c r="A83" s="1"/>
      <c r="B83" s="1"/>
    </row>
    <row r="84" spans="1:2" x14ac:dyDescent="0.45">
      <c r="A84" s="1"/>
      <c r="B84" s="1"/>
    </row>
    <row r="85" spans="1:2" x14ac:dyDescent="0.45">
      <c r="A85" s="1"/>
      <c r="B85" s="1"/>
    </row>
    <row r="86" spans="1:2" x14ac:dyDescent="0.45">
      <c r="A86" s="1"/>
      <c r="B86" s="1"/>
    </row>
    <row r="87" spans="1:2" x14ac:dyDescent="0.45">
      <c r="A87" s="1"/>
      <c r="B87" s="1"/>
    </row>
    <row r="88" spans="1:2" x14ac:dyDescent="0.45">
      <c r="A88" s="1"/>
      <c r="B88" s="1"/>
    </row>
    <row r="89" spans="1:2" x14ac:dyDescent="0.45">
      <c r="A89" s="1"/>
      <c r="B89" s="1"/>
    </row>
    <row r="90" spans="1:2" x14ac:dyDescent="0.45">
      <c r="A90" s="1"/>
      <c r="B90" s="1"/>
    </row>
    <row r="91" spans="1:2" x14ac:dyDescent="0.45">
      <c r="A91" s="1"/>
      <c r="B91" s="1"/>
    </row>
    <row r="92" spans="1:2" x14ac:dyDescent="0.45">
      <c r="A92" s="1"/>
      <c r="B92" s="1"/>
    </row>
    <row r="93" spans="1:2" x14ac:dyDescent="0.45">
      <c r="A93" s="1"/>
      <c r="B93" s="1"/>
    </row>
    <row r="94" spans="1:2" x14ac:dyDescent="0.45">
      <c r="A94" s="1"/>
      <c r="B94" s="1"/>
    </row>
    <row r="95" spans="1:2" x14ac:dyDescent="0.45">
      <c r="A95" s="1"/>
      <c r="B95" s="1"/>
    </row>
    <row r="96" spans="1:2" x14ac:dyDescent="0.45">
      <c r="A96" s="1"/>
      <c r="B96" s="1"/>
    </row>
    <row r="97" spans="1:2" x14ac:dyDescent="0.45">
      <c r="A97" s="1"/>
      <c r="B97" s="1"/>
    </row>
    <row r="98" spans="1:2" x14ac:dyDescent="0.45">
      <c r="A98" s="1"/>
      <c r="B98" s="1"/>
    </row>
    <row r="99" spans="1:2" x14ac:dyDescent="0.45">
      <c r="A99" s="1"/>
      <c r="B99" s="1"/>
    </row>
    <row r="100" spans="1:2" x14ac:dyDescent="0.45">
      <c r="A100" s="1"/>
      <c r="B100" s="1"/>
    </row>
    <row r="101" spans="1:2" x14ac:dyDescent="0.45">
      <c r="A101" s="1"/>
      <c r="B101" s="1"/>
    </row>
    <row r="102" spans="1:2" x14ac:dyDescent="0.45">
      <c r="A102" s="1"/>
      <c r="B102" s="1"/>
    </row>
    <row r="103" spans="1:2" x14ac:dyDescent="0.45">
      <c r="A103" s="1"/>
      <c r="B103" s="1"/>
    </row>
    <row r="104" spans="1:2" x14ac:dyDescent="0.45">
      <c r="A104" s="1"/>
      <c r="B104" s="1"/>
    </row>
    <row r="105" spans="1:2" x14ac:dyDescent="0.45">
      <c r="A105" s="1"/>
      <c r="B105" s="1"/>
    </row>
    <row r="106" spans="1:2" x14ac:dyDescent="0.45">
      <c r="A106" s="1"/>
      <c r="B106" s="1"/>
    </row>
    <row r="107" spans="1:2" x14ac:dyDescent="0.45">
      <c r="A107" s="1"/>
      <c r="B107" s="1"/>
    </row>
    <row r="108" spans="1:2" x14ac:dyDescent="0.45">
      <c r="A108" s="1"/>
      <c r="B108" s="1"/>
    </row>
    <row r="109" spans="1:2" x14ac:dyDescent="0.45">
      <c r="A109" s="1"/>
      <c r="B109" s="1"/>
    </row>
    <row r="110" spans="1:2" x14ac:dyDescent="0.45">
      <c r="A110" s="1"/>
      <c r="B110" s="1"/>
    </row>
    <row r="111" spans="1:2" x14ac:dyDescent="0.45">
      <c r="A111" s="1"/>
      <c r="B111" s="1"/>
    </row>
    <row r="112" spans="1:2" x14ac:dyDescent="0.45">
      <c r="A112" s="1"/>
      <c r="B112" s="1"/>
    </row>
    <row r="113" spans="1:2" x14ac:dyDescent="0.45">
      <c r="A113" s="1"/>
      <c r="B113" s="1"/>
    </row>
    <row r="114" spans="1:2" x14ac:dyDescent="0.45">
      <c r="A114" s="1"/>
      <c r="B114" s="1"/>
    </row>
    <row r="115" spans="1:2" x14ac:dyDescent="0.45">
      <c r="A115" s="1"/>
      <c r="B115" s="1"/>
    </row>
    <row r="116" spans="1:2" x14ac:dyDescent="0.45">
      <c r="A116" s="1"/>
      <c r="B116" s="1"/>
    </row>
    <row r="117" spans="1:2" x14ac:dyDescent="0.45">
      <c r="A117" s="1"/>
      <c r="B117" s="1"/>
    </row>
    <row r="118" spans="1:2" x14ac:dyDescent="0.45">
      <c r="A118" s="1"/>
      <c r="B118" s="1"/>
    </row>
    <row r="119" spans="1:2" x14ac:dyDescent="0.45">
      <c r="A119" s="1"/>
      <c r="B119" s="1"/>
    </row>
    <row r="120" spans="1:2" x14ac:dyDescent="0.45">
      <c r="A120" s="1"/>
      <c r="B120" s="1"/>
    </row>
    <row r="121" spans="1:2" x14ac:dyDescent="0.45">
      <c r="A121" s="1"/>
      <c r="B121" s="1"/>
    </row>
    <row r="122" spans="1:2" x14ac:dyDescent="0.45">
      <c r="A122" s="1"/>
      <c r="B122" s="1"/>
    </row>
    <row r="123" spans="1:2" x14ac:dyDescent="0.45">
      <c r="A123" s="1"/>
      <c r="B123" s="1"/>
    </row>
    <row r="124" spans="1:2" x14ac:dyDescent="0.45">
      <c r="A124" s="1"/>
      <c r="B124" s="1"/>
    </row>
    <row r="125" spans="1:2" x14ac:dyDescent="0.45">
      <c r="A125" s="1"/>
      <c r="B125" s="1"/>
    </row>
    <row r="126" spans="1:2" x14ac:dyDescent="0.45">
      <c r="A126" s="1"/>
      <c r="B126" s="1"/>
    </row>
    <row r="127" spans="1:2" x14ac:dyDescent="0.45">
      <c r="A127" s="1"/>
      <c r="B127" s="1"/>
    </row>
    <row r="128" spans="1:2" x14ac:dyDescent="0.45">
      <c r="A128" s="1"/>
      <c r="B128" s="1"/>
    </row>
    <row r="129" spans="1:2" x14ac:dyDescent="0.45">
      <c r="A129" s="1"/>
      <c r="B129" s="1"/>
    </row>
    <row r="130" spans="1:2" x14ac:dyDescent="0.45">
      <c r="A130" s="1"/>
      <c r="B130" s="1"/>
    </row>
    <row r="131" spans="1:2" x14ac:dyDescent="0.45">
      <c r="A131" s="1"/>
      <c r="B131" s="1"/>
    </row>
    <row r="132" spans="1:2" x14ac:dyDescent="0.45">
      <c r="A132" s="1"/>
      <c r="B132" s="1"/>
    </row>
    <row r="133" spans="1:2" x14ac:dyDescent="0.45">
      <c r="A133" s="1"/>
      <c r="B133" s="1"/>
    </row>
    <row r="134" spans="1:2" x14ac:dyDescent="0.45">
      <c r="A134" s="1"/>
      <c r="B134" s="1"/>
    </row>
    <row r="135" spans="1:2" x14ac:dyDescent="0.45">
      <c r="A135" s="1"/>
      <c r="B135" s="1"/>
    </row>
    <row r="136" spans="1:2" x14ac:dyDescent="0.45">
      <c r="A136" s="1"/>
      <c r="B136" s="1"/>
    </row>
    <row r="137" spans="1:2" x14ac:dyDescent="0.45">
      <c r="A137" s="1"/>
      <c r="B137" s="1"/>
    </row>
    <row r="138" spans="1:2" x14ac:dyDescent="0.45">
      <c r="A138" s="1"/>
      <c r="B138" s="1"/>
    </row>
    <row r="139" spans="1:2" x14ac:dyDescent="0.45">
      <c r="A139" s="1"/>
      <c r="B139" s="1"/>
    </row>
    <row r="140" spans="1:2" x14ac:dyDescent="0.45">
      <c r="A140" s="1"/>
      <c r="B140" s="1"/>
    </row>
    <row r="141" spans="1:2" x14ac:dyDescent="0.45">
      <c r="A141" s="1"/>
      <c r="B141" s="1"/>
    </row>
    <row r="142" spans="1:2" x14ac:dyDescent="0.45">
      <c r="A142" s="1"/>
      <c r="B142" s="1"/>
    </row>
    <row r="143" spans="1:2" x14ac:dyDescent="0.45">
      <c r="A143" s="1"/>
      <c r="B143" s="1"/>
    </row>
    <row r="144" spans="1:2" x14ac:dyDescent="0.45">
      <c r="A144" s="1"/>
      <c r="B144" s="1"/>
    </row>
    <row r="145" spans="1:2" x14ac:dyDescent="0.45">
      <c r="A145" s="1"/>
      <c r="B145" s="1"/>
    </row>
    <row r="146" spans="1:2" x14ac:dyDescent="0.45">
      <c r="A146" s="1"/>
      <c r="B146" s="1"/>
    </row>
    <row r="147" spans="1:2" x14ac:dyDescent="0.45">
      <c r="A147" s="1"/>
      <c r="B147" s="1"/>
    </row>
    <row r="148" spans="1:2" x14ac:dyDescent="0.45">
      <c r="A148" s="1"/>
      <c r="B148" s="1"/>
    </row>
    <row r="149" spans="1:2" x14ac:dyDescent="0.45">
      <c r="A149" s="1"/>
      <c r="B149" s="1"/>
    </row>
    <row r="150" spans="1:2" x14ac:dyDescent="0.45">
      <c r="A150" s="1"/>
      <c r="B150" s="1"/>
    </row>
    <row r="151" spans="1:2" x14ac:dyDescent="0.45">
      <c r="A151" s="1"/>
      <c r="B151" s="1"/>
    </row>
    <row r="152" spans="1:2" x14ac:dyDescent="0.45">
      <c r="A152" s="1"/>
      <c r="B152" s="1"/>
    </row>
    <row r="153" spans="1:2" x14ac:dyDescent="0.45">
      <c r="A153" s="1"/>
      <c r="B153" s="1"/>
    </row>
    <row r="154" spans="1:2" x14ac:dyDescent="0.45">
      <c r="A154" s="1"/>
      <c r="B154" s="1"/>
    </row>
    <row r="155" spans="1:2" x14ac:dyDescent="0.45">
      <c r="A155" s="1"/>
      <c r="B155" s="1"/>
    </row>
    <row r="156" spans="1:2" x14ac:dyDescent="0.45">
      <c r="A156" s="1"/>
      <c r="B156" s="1"/>
    </row>
    <row r="157" spans="1:2" x14ac:dyDescent="0.45">
      <c r="A157" s="1"/>
      <c r="B157" s="1"/>
    </row>
    <row r="158" spans="1:2" x14ac:dyDescent="0.45">
      <c r="A158" s="1"/>
      <c r="B158" s="1"/>
    </row>
    <row r="159" spans="1:2" x14ac:dyDescent="0.45">
      <c r="A159" s="1"/>
      <c r="B159" s="1"/>
    </row>
    <row r="160" spans="1:2" x14ac:dyDescent="0.45">
      <c r="A160" s="1"/>
      <c r="B160" s="1"/>
    </row>
    <row r="161" spans="1:2" x14ac:dyDescent="0.45">
      <c r="A161" s="1"/>
      <c r="B161" s="1"/>
    </row>
    <row r="162" spans="1:2" x14ac:dyDescent="0.45">
      <c r="A162" s="1"/>
      <c r="B162" s="1"/>
    </row>
    <row r="163" spans="1:2" x14ac:dyDescent="0.45">
      <c r="A163" s="1"/>
      <c r="B163" s="1"/>
    </row>
    <row r="164" spans="1:2" x14ac:dyDescent="0.45">
      <c r="A164" s="1"/>
      <c r="B164" s="1"/>
    </row>
    <row r="165" spans="1:2" x14ac:dyDescent="0.45">
      <c r="A165" s="1"/>
      <c r="B165" s="1"/>
    </row>
    <row r="166" spans="1:2" x14ac:dyDescent="0.45">
      <c r="A166" s="1"/>
      <c r="B166" s="1"/>
    </row>
    <row r="167" spans="1:2" x14ac:dyDescent="0.45">
      <c r="A167" s="1"/>
      <c r="B167" s="1"/>
    </row>
    <row r="168" spans="1:2" x14ac:dyDescent="0.45">
      <c r="A168" s="1"/>
      <c r="B168" s="1"/>
    </row>
    <row r="169" spans="1:2" x14ac:dyDescent="0.45">
      <c r="A169" s="1"/>
      <c r="B169" s="1"/>
    </row>
    <row r="170" spans="1:2" x14ac:dyDescent="0.45">
      <c r="A170" s="1"/>
      <c r="B170" s="1"/>
    </row>
    <row r="171" spans="1:2" x14ac:dyDescent="0.45">
      <c r="A171" s="1"/>
      <c r="B171" s="1"/>
    </row>
    <row r="172" spans="1:2" x14ac:dyDescent="0.45">
      <c r="A172" s="1"/>
      <c r="B172" s="1"/>
    </row>
    <row r="173" spans="1:2" x14ac:dyDescent="0.45">
      <c r="A173" s="1"/>
      <c r="B173" s="1"/>
    </row>
    <row r="174" spans="1:2" x14ac:dyDescent="0.45">
      <c r="A174" s="1"/>
      <c r="B174" s="1"/>
    </row>
    <row r="175" spans="1:2" x14ac:dyDescent="0.45">
      <c r="A175" s="1"/>
      <c r="B175" s="1"/>
    </row>
    <row r="176" spans="1:2" x14ac:dyDescent="0.45">
      <c r="A176" s="1"/>
      <c r="B176" s="1"/>
    </row>
    <row r="177" spans="1:2" x14ac:dyDescent="0.45">
      <c r="A177" s="1"/>
      <c r="B177" s="1"/>
    </row>
    <row r="178" spans="1:2" x14ac:dyDescent="0.45">
      <c r="A178" s="1"/>
      <c r="B178" s="1"/>
    </row>
    <row r="179" spans="1:2" x14ac:dyDescent="0.45">
      <c r="A179" s="1"/>
      <c r="B179" s="1"/>
    </row>
    <row r="180" spans="1:2" x14ac:dyDescent="0.45">
      <c r="A180" s="1"/>
      <c r="B180" s="1"/>
    </row>
    <row r="181" spans="1:2" x14ac:dyDescent="0.45">
      <c r="A181" s="1"/>
      <c r="B181" s="1"/>
    </row>
    <row r="182" spans="1:2" x14ac:dyDescent="0.45">
      <c r="A182" s="1"/>
      <c r="B182" s="1"/>
    </row>
    <row r="183" spans="1:2" x14ac:dyDescent="0.45">
      <c r="A183" s="1"/>
      <c r="B183" s="1"/>
    </row>
    <row r="184" spans="1:2" x14ac:dyDescent="0.45">
      <c r="A184" s="1"/>
      <c r="B184" s="1"/>
    </row>
    <row r="185" spans="1:2" x14ac:dyDescent="0.45">
      <c r="A185" s="1"/>
      <c r="B185" s="1"/>
    </row>
    <row r="186" spans="1:2" x14ac:dyDescent="0.45">
      <c r="A186" s="1"/>
      <c r="B186" s="1"/>
    </row>
    <row r="187" spans="1:2" x14ac:dyDescent="0.45">
      <c r="A187" s="1"/>
      <c r="B187" s="1"/>
    </row>
    <row r="188" spans="1:2" x14ac:dyDescent="0.45">
      <c r="A188" s="1"/>
      <c r="B188" s="1"/>
    </row>
    <row r="189" spans="1:2" x14ac:dyDescent="0.45">
      <c r="A189" s="1"/>
      <c r="B189" s="1"/>
    </row>
    <row r="190" spans="1:2" x14ac:dyDescent="0.45">
      <c r="A190" s="1"/>
      <c r="B190" s="1"/>
    </row>
    <row r="191" spans="1:2" x14ac:dyDescent="0.45">
      <c r="A191" s="1"/>
      <c r="B191" s="1"/>
    </row>
    <row r="192" spans="1:2" x14ac:dyDescent="0.45">
      <c r="A192" s="1"/>
      <c r="B192" s="1"/>
    </row>
    <row r="193" spans="1:2" x14ac:dyDescent="0.45">
      <c r="A193" s="1"/>
      <c r="B193" s="1"/>
    </row>
    <row r="194" spans="1:2" x14ac:dyDescent="0.45">
      <c r="A194" s="1"/>
      <c r="B194" s="1"/>
    </row>
    <row r="195" spans="1:2" x14ac:dyDescent="0.45">
      <c r="A195" s="1"/>
      <c r="B195" s="1"/>
    </row>
    <row r="196" spans="1:2" x14ac:dyDescent="0.45">
      <c r="A196" s="1"/>
      <c r="B196" s="1"/>
    </row>
    <row r="197" spans="1:2" x14ac:dyDescent="0.45">
      <c r="A197" s="1"/>
      <c r="B197" s="1"/>
    </row>
    <row r="198" spans="1:2" x14ac:dyDescent="0.45">
      <c r="A198" s="1"/>
      <c r="B198" s="1"/>
    </row>
    <row r="199" spans="1:2" x14ac:dyDescent="0.45">
      <c r="A199" s="1"/>
      <c r="B199" s="1"/>
    </row>
    <row r="200" spans="1:2" x14ac:dyDescent="0.45">
      <c r="A200" s="1"/>
      <c r="B200" s="1"/>
    </row>
    <row r="201" spans="1:2" x14ac:dyDescent="0.45">
      <c r="A201" s="1"/>
      <c r="B201" s="1"/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BE84-DBD8-424D-AFC7-924BEE99D3B0}">
  <sheetPr codeName="Лист1"/>
  <dimension ref="A1:P301"/>
  <sheetViews>
    <sheetView workbookViewId="0">
      <selection activeCell="K28" sqref="K28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  <col min="7" max="7" width="9.265625" bestFit="1" customWidth="1"/>
  </cols>
  <sheetData>
    <row r="1" spans="1:16" x14ac:dyDescent="0.45">
      <c r="C1" s="1" t="s">
        <v>7</v>
      </c>
    </row>
    <row r="2" spans="1:16" x14ac:dyDescent="0.45">
      <c r="A2" s="1">
        <v>107.28158389327129</v>
      </c>
      <c r="B2" s="2">
        <f>(A2-$G$4)*(A2-$G$4)</f>
        <v>40516.296488343323</v>
      </c>
      <c r="F2" t="s">
        <v>9</v>
      </c>
      <c r="G2">
        <v>20</v>
      </c>
      <c r="O2" t="s">
        <v>11</v>
      </c>
    </row>
    <row r="3" spans="1:16" x14ac:dyDescent="0.45">
      <c r="A3" s="1">
        <v>127.82735370530034</v>
      </c>
      <c r="B3" s="2">
        <f t="shared" ref="B3:B21" si="0">(A3-$G$4)*(A3-$G$4)</f>
        <v>32667.248728561412</v>
      </c>
      <c r="E3" t="s">
        <v>6</v>
      </c>
      <c r="G3">
        <f>COUNT(A:A)</f>
        <v>20</v>
      </c>
      <c r="O3" s="4"/>
    </row>
    <row r="4" spans="1:16" x14ac:dyDescent="0.45">
      <c r="A4" s="1">
        <v>408.3546686385011</v>
      </c>
      <c r="B4" s="2">
        <f t="shared" si="0"/>
        <v>9957.3419683083503</v>
      </c>
      <c r="E4" t="s">
        <v>0</v>
      </c>
      <c r="F4" s="2"/>
      <c r="G4" s="2">
        <f>SUM(A:A)/G2</f>
        <v>308.56818674687236</v>
      </c>
      <c r="O4" s="5">
        <f>(P4-G4)/G4</f>
        <v>-0.10399641235936309</v>
      </c>
      <c r="P4">
        <f>'300'!G4</f>
        <v>276.47820235696366</v>
      </c>
    </row>
    <row r="5" spans="1:16" x14ac:dyDescent="0.45">
      <c r="A5" s="1">
        <v>98.890546210211852</v>
      </c>
      <c r="B5" s="2">
        <f t="shared" si="0"/>
        <v>43964.712941021018</v>
      </c>
      <c r="E5" t="s">
        <v>1</v>
      </c>
      <c r="F5" s="2"/>
      <c r="G5" s="2">
        <f>SUM(B:B)/(G2-1)</f>
        <v>41209.763982773773</v>
      </c>
      <c r="O5" s="5">
        <f t="shared" ref="O5:O10" si="1">(P5-G5)/G5</f>
        <v>-0.2890477833566833</v>
      </c>
      <c r="P5">
        <f>'300'!G5</f>
        <v>29298.173050900929</v>
      </c>
    </row>
    <row r="6" spans="1:16" x14ac:dyDescent="0.45">
      <c r="A6" s="1">
        <v>701.75957763374743</v>
      </c>
      <c r="B6" s="2">
        <f t="shared" si="0"/>
        <v>154599.4698675554</v>
      </c>
      <c r="E6" t="s">
        <v>2</v>
      </c>
      <c r="F6" s="2"/>
      <c r="G6" s="2">
        <f>SQRT(G5)</f>
        <v>203.0018817222485</v>
      </c>
      <c r="J6" s="3"/>
      <c r="O6" s="5">
        <f t="shared" si="1"/>
        <v>-0.15682017538171797</v>
      </c>
      <c r="P6">
        <f>'300'!G6</f>
        <v>171.16709102774672</v>
      </c>
    </row>
    <row r="7" spans="1:16" ht="14.25" customHeight="1" x14ac:dyDescent="0.45">
      <c r="A7" s="1">
        <v>271.81439391360277</v>
      </c>
      <c r="B7" s="2">
        <f t="shared" si="0"/>
        <v>1350.8412876308987</v>
      </c>
      <c r="E7" t="s">
        <v>3</v>
      </c>
      <c r="F7" s="2"/>
      <c r="G7" s="2">
        <f>G6/G4</f>
        <v>0.65788338020982362</v>
      </c>
      <c r="J7" s="3"/>
      <c r="O7" s="5">
        <f t="shared" si="1"/>
        <v>-5.895485659990575E-2</v>
      </c>
      <c r="P7">
        <f>'300'!G7</f>
        <v>0.6190979598700922</v>
      </c>
    </row>
    <row r="8" spans="1:16" x14ac:dyDescent="0.45">
      <c r="A8" s="1">
        <v>320.49549343299248</v>
      </c>
      <c r="B8" s="2">
        <f t="shared" si="0"/>
        <v>142.26064478476567</v>
      </c>
      <c r="D8" s="7" t="s">
        <v>4</v>
      </c>
      <c r="E8">
        <v>0.9</v>
      </c>
      <c r="F8" s="2">
        <v>1.6839999999999999</v>
      </c>
      <c r="G8" s="2">
        <f>$G$13*F8</f>
        <v>76.441139594178239</v>
      </c>
      <c r="I8">
        <f>K8-G8</f>
        <v>232.1270471526941</v>
      </c>
      <c r="J8" s="3" t="s">
        <v>10</v>
      </c>
      <c r="K8">
        <f>$G$4</f>
        <v>308.56818674687236</v>
      </c>
      <c r="L8" s="3" t="s">
        <v>10</v>
      </c>
      <c r="M8">
        <f>K8+G8</f>
        <v>385.00932634105061</v>
      </c>
      <c r="O8" s="5">
        <f t="shared" si="1"/>
        <v>-0.78229190542635352</v>
      </c>
      <c r="P8">
        <f>'300'!G8</f>
        <v>16.641854848086666</v>
      </c>
    </row>
    <row r="9" spans="1:16" x14ac:dyDescent="0.45">
      <c r="A9" s="1">
        <v>248.02335172534512</v>
      </c>
      <c r="B9" s="2">
        <f t="shared" si="0"/>
        <v>3665.6770477839505</v>
      </c>
      <c r="D9" s="7"/>
      <c r="E9">
        <v>0.95</v>
      </c>
      <c r="F9" s="2">
        <v>1.96</v>
      </c>
      <c r="G9" s="2">
        <f t="shared" ref="G9:G10" si="2">$G$13*F9</f>
        <v>88.969497389898677</v>
      </c>
      <c r="I9">
        <f t="shared" ref="I9:I10" si="3">K9-G9</f>
        <v>219.59868935697369</v>
      </c>
      <c r="J9" s="3" t="s">
        <v>10</v>
      </c>
      <c r="K9">
        <f t="shared" ref="K9:K10" si="4">$G$4</f>
        <v>308.56818674687236</v>
      </c>
      <c r="L9" s="3" t="s">
        <v>10</v>
      </c>
      <c r="M9">
        <f t="shared" ref="M9:M10" si="5">K9+G9</f>
        <v>397.53768413677102</v>
      </c>
      <c r="O9" s="5">
        <f t="shared" si="1"/>
        <v>-0.78229190542635352</v>
      </c>
      <c r="P9">
        <f>'300'!G9</f>
        <v>19.369379751929849</v>
      </c>
    </row>
    <row r="10" spans="1:16" x14ac:dyDescent="0.45">
      <c r="A10" s="1">
        <v>224.91195357298182</v>
      </c>
      <c r="B10" s="2">
        <f t="shared" si="0"/>
        <v>6998.3653488443442</v>
      </c>
      <c r="D10" s="7"/>
      <c r="E10">
        <v>0.99</v>
      </c>
      <c r="F10" s="2">
        <v>2.5790000000000002</v>
      </c>
      <c r="G10" s="2">
        <f t="shared" si="2"/>
        <v>117.06751722885137</v>
      </c>
      <c r="I10">
        <f t="shared" si="3"/>
        <v>191.50066951802097</v>
      </c>
      <c r="J10" s="3" t="s">
        <v>10</v>
      </c>
      <c r="K10">
        <f t="shared" si="4"/>
        <v>308.56818674687236</v>
      </c>
      <c r="L10" s="3" t="s">
        <v>10</v>
      </c>
      <c r="M10">
        <f t="shared" si="5"/>
        <v>425.63570397572374</v>
      </c>
      <c r="O10" s="5">
        <f t="shared" si="1"/>
        <v>-0.78229190542635363</v>
      </c>
      <c r="P10">
        <f>'300'!G10</f>
        <v>25.486546112360756</v>
      </c>
    </row>
    <row r="11" spans="1:16" x14ac:dyDescent="0.45">
      <c r="A11" s="1">
        <v>454.21521094440101</v>
      </c>
      <c r="B11" s="2">
        <f t="shared" si="0"/>
        <v>21213.055657595498</v>
      </c>
      <c r="E11" t="s">
        <v>5</v>
      </c>
      <c r="F11" s="2"/>
      <c r="O11" s="4"/>
    </row>
    <row r="12" spans="1:16" x14ac:dyDescent="0.45">
      <c r="A12" s="1">
        <v>254.47077882330547</v>
      </c>
      <c r="B12" s="2">
        <f t="shared" si="0"/>
        <v>2926.529544048798</v>
      </c>
      <c r="F12" s="2"/>
    </row>
    <row r="13" spans="1:16" x14ac:dyDescent="0.45">
      <c r="A13" s="1">
        <v>216.90657928262164</v>
      </c>
      <c r="B13" s="2">
        <f t="shared" si="0"/>
        <v>8401.8502829303834</v>
      </c>
      <c r="E13" t="s">
        <v>8</v>
      </c>
      <c r="F13" s="2"/>
      <c r="G13">
        <f>SQRT(G5/G2)</f>
        <v>45.392600709131976</v>
      </c>
    </row>
    <row r="14" spans="1:16" x14ac:dyDescent="0.45">
      <c r="A14" s="1">
        <v>797.62537343667645</v>
      </c>
      <c r="B14" s="2">
        <f t="shared" si="0"/>
        <v>239176.93185294591</v>
      </c>
      <c r="F14" s="2"/>
    </row>
    <row r="15" spans="1:16" x14ac:dyDescent="0.45">
      <c r="A15" s="1">
        <v>630.35309829085122</v>
      </c>
      <c r="B15" s="2">
        <f t="shared" si="0"/>
        <v>103545.5292973663</v>
      </c>
      <c r="F15" s="2"/>
    </row>
    <row r="16" spans="1:16" x14ac:dyDescent="0.45">
      <c r="A16" s="1">
        <v>187.66933410519863</v>
      </c>
      <c r="B16" s="2">
        <f t="shared" si="0"/>
        <v>14616.532570073139</v>
      </c>
    </row>
    <row r="17" spans="1:2" x14ac:dyDescent="0.45">
      <c r="A17" s="1">
        <v>81.610533594883279</v>
      </c>
      <c r="B17" s="2">
        <f t="shared" si="0"/>
        <v>51509.776324258572</v>
      </c>
    </row>
    <row r="18" spans="1:2" x14ac:dyDescent="0.45">
      <c r="A18" s="1">
        <v>283.24936593557317</v>
      </c>
      <c r="B18" s="2">
        <f t="shared" si="0"/>
        <v>641.04268727467695</v>
      </c>
    </row>
    <row r="19" spans="1:2" x14ac:dyDescent="0.45">
      <c r="A19" s="1">
        <v>151.51033225013779</v>
      </c>
      <c r="B19" s="2">
        <f t="shared" si="0"/>
        <v>24667.169659117444</v>
      </c>
    </row>
    <row r="20" spans="1:2" x14ac:dyDescent="0.45">
      <c r="A20" s="1">
        <v>407.89408014857736</v>
      </c>
      <c r="B20" s="2">
        <f t="shared" si="0"/>
        <v>9865.6331000468654</v>
      </c>
    </row>
    <row r="21" spans="1:2" x14ac:dyDescent="0.45">
      <c r="A21" s="1">
        <v>196.50012539926712</v>
      </c>
      <c r="B21" s="2">
        <f t="shared" si="0"/>
        <v>12559.250374210611</v>
      </c>
    </row>
    <row r="22" spans="1:2" x14ac:dyDescent="0.45">
      <c r="A22" s="1"/>
      <c r="B22" s="1"/>
    </row>
    <row r="23" spans="1:2" x14ac:dyDescent="0.45">
      <c r="A23" s="1"/>
      <c r="B23" s="1"/>
    </row>
    <row r="24" spans="1:2" x14ac:dyDescent="0.45">
      <c r="A24" s="1"/>
      <c r="B24" s="1"/>
    </row>
    <row r="25" spans="1:2" x14ac:dyDescent="0.45">
      <c r="A25" s="1"/>
      <c r="B25" s="1"/>
    </row>
    <row r="26" spans="1:2" x14ac:dyDescent="0.45">
      <c r="A26" s="1"/>
      <c r="B26" s="1"/>
    </row>
    <row r="27" spans="1:2" x14ac:dyDescent="0.45">
      <c r="A27" s="1"/>
      <c r="B27" s="1"/>
    </row>
    <row r="28" spans="1:2" x14ac:dyDescent="0.45">
      <c r="A28" s="1"/>
      <c r="B28" s="1"/>
    </row>
    <row r="29" spans="1:2" x14ac:dyDescent="0.45">
      <c r="A29" s="1"/>
      <c r="B29" s="1"/>
    </row>
    <row r="30" spans="1:2" x14ac:dyDescent="0.45">
      <c r="A30" s="1"/>
      <c r="B30" s="1"/>
    </row>
    <row r="31" spans="1:2" x14ac:dyDescent="0.45">
      <c r="A31" s="1"/>
      <c r="B31" s="1"/>
    </row>
    <row r="32" spans="1:2" x14ac:dyDescent="0.45">
      <c r="A32" s="1"/>
      <c r="B32" s="1"/>
    </row>
    <row r="33" spans="1:2" x14ac:dyDescent="0.45">
      <c r="A33" s="1"/>
      <c r="B33" s="1"/>
    </row>
    <row r="34" spans="1:2" x14ac:dyDescent="0.45">
      <c r="A34" s="1"/>
      <c r="B34" s="1"/>
    </row>
    <row r="35" spans="1:2" x14ac:dyDescent="0.45">
      <c r="A35" s="1"/>
      <c r="B35" s="1"/>
    </row>
    <row r="36" spans="1:2" x14ac:dyDescent="0.45">
      <c r="A36" s="1"/>
      <c r="B36" s="1"/>
    </row>
    <row r="37" spans="1:2" x14ac:dyDescent="0.45">
      <c r="A37" s="1"/>
      <c r="B37" s="1"/>
    </row>
    <row r="38" spans="1:2" x14ac:dyDescent="0.45">
      <c r="A38" s="1"/>
      <c r="B38" s="1"/>
    </row>
    <row r="39" spans="1:2" x14ac:dyDescent="0.45">
      <c r="A39" s="1"/>
      <c r="B39" s="1"/>
    </row>
    <row r="40" spans="1:2" x14ac:dyDescent="0.45">
      <c r="A40" s="1"/>
      <c r="B40" s="1"/>
    </row>
    <row r="41" spans="1:2" x14ac:dyDescent="0.45">
      <c r="A41" s="1"/>
      <c r="B41" s="1"/>
    </row>
    <row r="42" spans="1:2" x14ac:dyDescent="0.45">
      <c r="A42" s="1"/>
      <c r="B42" s="1"/>
    </row>
    <row r="43" spans="1:2" x14ac:dyDescent="0.45">
      <c r="A43" s="1"/>
      <c r="B43" s="1"/>
    </row>
    <row r="44" spans="1:2" x14ac:dyDescent="0.45">
      <c r="A44" s="1"/>
      <c r="B44" s="1"/>
    </row>
    <row r="45" spans="1:2" x14ac:dyDescent="0.45">
      <c r="A45" s="1"/>
      <c r="B45" s="1"/>
    </row>
    <row r="46" spans="1:2" x14ac:dyDescent="0.45">
      <c r="A46" s="1"/>
      <c r="B46" s="1"/>
    </row>
    <row r="47" spans="1:2" x14ac:dyDescent="0.45">
      <c r="A47" s="1"/>
      <c r="B47" s="1"/>
    </row>
    <row r="48" spans="1:2" x14ac:dyDescent="0.45">
      <c r="A48" s="1"/>
      <c r="B48" s="1"/>
    </row>
    <row r="49" spans="1:2" x14ac:dyDescent="0.45">
      <c r="A49" s="1"/>
      <c r="B49" s="1"/>
    </row>
    <row r="50" spans="1:2" x14ac:dyDescent="0.45">
      <c r="A50" s="1"/>
      <c r="B50" s="1"/>
    </row>
    <row r="51" spans="1:2" x14ac:dyDescent="0.45">
      <c r="A51" s="1"/>
      <c r="B51" s="1"/>
    </row>
    <row r="52" spans="1:2" x14ac:dyDescent="0.45">
      <c r="A52" s="1"/>
      <c r="B52" s="1"/>
    </row>
    <row r="53" spans="1:2" x14ac:dyDescent="0.45">
      <c r="A53" s="1"/>
      <c r="B53" s="1"/>
    </row>
    <row r="54" spans="1:2" x14ac:dyDescent="0.45">
      <c r="A54" s="1"/>
      <c r="B54" s="1"/>
    </row>
    <row r="55" spans="1:2" x14ac:dyDescent="0.45">
      <c r="A55" s="1"/>
      <c r="B55" s="1"/>
    </row>
    <row r="56" spans="1:2" x14ac:dyDescent="0.45">
      <c r="A56" s="1"/>
      <c r="B56" s="1"/>
    </row>
    <row r="57" spans="1:2" x14ac:dyDescent="0.45">
      <c r="A57" s="1"/>
      <c r="B57" s="1"/>
    </row>
    <row r="58" spans="1:2" x14ac:dyDescent="0.45">
      <c r="A58" s="1"/>
      <c r="B58" s="1"/>
    </row>
    <row r="59" spans="1:2" x14ac:dyDescent="0.45">
      <c r="A59" s="1"/>
      <c r="B59" s="1"/>
    </row>
    <row r="60" spans="1:2" x14ac:dyDescent="0.45">
      <c r="A60" s="1"/>
      <c r="B60" s="1"/>
    </row>
    <row r="61" spans="1:2" x14ac:dyDescent="0.45">
      <c r="A61" s="1"/>
      <c r="B61" s="1"/>
    </row>
    <row r="62" spans="1:2" x14ac:dyDescent="0.45">
      <c r="A62" s="1"/>
      <c r="B62" s="1"/>
    </row>
    <row r="63" spans="1:2" x14ac:dyDescent="0.45">
      <c r="A63" s="1"/>
      <c r="B63" s="1"/>
    </row>
    <row r="64" spans="1:2" x14ac:dyDescent="0.45">
      <c r="A64" s="1"/>
      <c r="B64" s="1"/>
    </row>
    <row r="65" spans="1:2" x14ac:dyDescent="0.45">
      <c r="A65" s="1"/>
      <c r="B65" s="1"/>
    </row>
    <row r="66" spans="1:2" x14ac:dyDescent="0.45">
      <c r="A66" s="1"/>
      <c r="B66" s="1"/>
    </row>
    <row r="67" spans="1:2" x14ac:dyDescent="0.45">
      <c r="A67" s="1"/>
      <c r="B67" s="1"/>
    </row>
    <row r="68" spans="1:2" x14ac:dyDescent="0.45">
      <c r="A68" s="1"/>
      <c r="B68" s="1"/>
    </row>
    <row r="69" spans="1:2" x14ac:dyDescent="0.45">
      <c r="A69" s="1"/>
      <c r="B69" s="1"/>
    </row>
    <row r="70" spans="1:2" x14ac:dyDescent="0.45">
      <c r="A70" s="1"/>
      <c r="B70" s="1"/>
    </row>
    <row r="71" spans="1:2" x14ac:dyDescent="0.45">
      <c r="A71" s="1"/>
      <c r="B71" s="1"/>
    </row>
    <row r="72" spans="1:2" x14ac:dyDescent="0.45">
      <c r="A72" s="1"/>
      <c r="B72" s="1"/>
    </row>
    <row r="73" spans="1:2" x14ac:dyDescent="0.45">
      <c r="A73" s="1"/>
      <c r="B73" s="1"/>
    </row>
    <row r="74" spans="1:2" x14ac:dyDescent="0.45">
      <c r="A74" s="1"/>
      <c r="B74" s="1"/>
    </row>
    <row r="75" spans="1:2" x14ac:dyDescent="0.45">
      <c r="A75" s="1"/>
      <c r="B75" s="1"/>
    </row>
    <row r="76" spans="1:2" x14ac:dyDescent="0.45">
      <c r="A76" s="1"/>
      <c r="B76" s="1"/>
    </row>
    <row r="77" spans="1:2" x14ac:dyDescent="0.45">
      <c r="A77" s="1"/>
      <c r="B77" s="1"/>
    </row>
    <row r="78" spans="1:2" x14ac:dyDescent="0.45">
      <c r="A78" s="1"/>
      <c r="B78" s="1"/>
    </row>
    <row r="79" spans="1:2" x14ac:dyDescent="0.45">
      <c r="A79" s="1"/>
      <c r="B79" s="1"/>
    </row>
    <row r="80" spans="1:2" x14ac:dyDescent="0.45">
      <c r="A80" s="1"/>
      <c r="B80" s="1"/>
    </row>
    <row r="81" spans="1:2" x14ac:dyDescent="0.45">
      <c r="A81" s="1"/>
      <c r="B81" s="1"/>
    </row>
    <row r="82" spans="1:2" x14ac:dyDescent="0.45">
      <c r="A82" s="1"/>
      <c r="B82" s="1"/>
    </row>
    <row r="83" spans="1:2" x14ac:dyDescent="0.45">
      <c r="A83" s="1"/>
      <c r="B83" s="1"/>
    </row>
    <row r="84" spans="1:2" x14ac:dyDescent="0.45">
      <c r="A84" s="1"/>
      <c r="B84" s="1"/>
    </row>
    <row r="85" spans="1:2" x14ac:dyDescent="0.45">
      <c r="A85" s="1"/>
      <c r="B85" s="1"/>
    </row>
    <row r="86" spans="1:2" x14ac:dyDescent="0.45">
      <c r="A86" s="1"/>
      <c r="B86" s="1"/>
    </row>
    <row r="87" spans="1:2" x14ac:dyDescent="0.45">
      <c r="A87" s="1"/>
      <c r="B87" s="1"/>
    </row>
    <row r="88" spans="1:2" x14ac:dyDescent="0.45">
      <c r="A88" s="1"/>
      <c r="B88" s="1"/>
    </row>
    <row r="89" spans="1:2" x14ac:dyDescent="0.45">
      <c r="A89" s="1"/>
      <c r="B89" s="1"/>
    </row>
    <row r="90" spans="1:2" x14ac:dyDescent="0.45">
      <c r="A90" s="1"/>
      <c r="B90" s="1"/>
    </row>
    <row r="91" spans="1:2" x14ac:dyDescent="0.45">
      <c r="A91" s="1"/>
      <c r="B91" s="1"/>
    </row>
    <row r="92" spans="1:2" x14ac:dyDescent="0.45">
      <c r="A92" s="1"/>
      <c r="B92" s="1"/>
    </row>
    <row r="93" spans="1:2" x14ac:dyDescent="0.45">
      <c r="A93" s="1"/>
      <c r="B93" s="1"/>
    </row>
    <row r="94" spans="1:2" x14ac:dyDescent="0.45">
      <c r="A94" s="1"/>
      <c r="B94" s="1"/>
    </row>
    <row r="95" spans="1:2" x14ac:dyDescent="0.45">
      <c r="A95" s="1"/>
      <c r="B95" s="1"/>
    </row>
    <row r="96" spans="1:2" x14ac:dyDescent="0.45">
      <c r="A96" s="1"/>
      <c r="B96" s="1"/>
    </row>
    <row r="97" spans="1:2" x14ac:dyDescent="0.45">
      <c r="A97" s="1"/>
      <c r="B97" s="1"/>
    </row>
    <row r="98" spans="1:2" x14ac:dyDescent="0.45">
      <c r="A98" s="1"/>
      <c r="B98" s="1"/>
    </row>
    <row r="99" spans="1:2" x14ac:dyDescent="0.45">
      <c r="A99" s="1"/>
      <c r="B99" s="1"/>
    </row>
    <row r="100" spans="1:2" x14ac:dyDescent="0.45">
      <c r="A100" s="1"/>
      <c r="B100" s="1"/>
    </row>
    <row r="101" spans="1:2" x14ac:dyDescent="0.45">
      <c r="A101" s="1"/>
      <c r="B101" s="1"/>
    </row>
    <row r="102" spans="1:2" x14ac:dyDescent="0.45">
      <c r="A102" s="1"/>
      <c r="B102" s="1"/>
    </row>
    <row r="103" spans="1:2" x14ac:dyDescent="0.45">
      <c r="A103" s="1"/>
      <c r="B103" s="1"/>
    </row>
    <row r="104" spans="1:2" x14ac:dyDescent="0.45">
      <c r="A104" s="1"/>
      <c r="B104" s="1"/>
    </row>
    <row r="105" spans="1:2" x14ac:dyDescent="0.45">
      <c r="A105" s="1"/>
      <c r="B105" s="1"/>
    </row>
    <row r="106" spans="1:2" x14ac:dyDescent="0.45">
      <c r="A106" s="1"/>
      <c r="B106" s="1"/>
    </row>
    <row r="107" spans="1:2" x14ac:dyDescent="0.45">
      <c r="A107" s="1"/>
      <c r="B107" s="1"/>
    </row>
    <row r="108" spans="1:2" x14ac:dyDescent="0.45">
      <c r="A108" s="1"/>
      <c r="B108" s="1"/>
    </row>
    <row r="109" spans="1:2" x14ac:dyDescent="0.45">
      <c r="A109" s="1"/>
      <c r="B109" s="1"/>
    </row>
    <row r="110" spans="1:2" x14ac:dyDescent="0.45">
      <c r="A110" s="1"/>
      <c r="B110" s="1"/>
    </row>
    <row r="111" spans="1:2" x14ac:dyDescent="0.45">
      <c r="A111" s="1"/>
      <c r="B111" s="1"/>
    </row>
    <row r="112" spans="1:2" x14ac:dyDescent="0.45">
      <c r="A112" s="1"/>
      <c r="B112" s="1"/>
    </row>
    <row r="113" spans="1:2" x14ac:dyDescent="0.45">
      <c r="A113" s="1"/>
      <c r="B113" s="1"/>
    </row>
    <row r="114" spans="1:2" x14ac:dyDescent="0.45">
      <c r="A114" s="1"/>
      <c r="B114" s="1"/>
    </row>
    <row r="115" spans="1:2" x14ac:dyDescent="0.45">
      <c r="A115" s="1"/>
      <c r="B115" s="1"/>
    </row>
    <row r="116" spans="1:2" x14ac:dyDescent="0.45">
      <c r="A116" s="1"/>
      <c r="B116" s="1"/>
    </row>
    <row r="117" spans="1:2" x14ac:dyDescent="0.45">
      <c r="A117" s="1"/>
      <c r="B117" s="1"/>
    </row>
    <row r="118" spans="1:2" x14ac:dyDescent="0.45">
      <c r="A118" s="1"/>
      <c r="B118" s="1"/>
    </row>
    <row r="119" spans="1:2" x14ac:dyDescent="0.45">
      <c r="A119" s="1"/>
      <c r="B119" s="1"/>
    </row>
    <row r="120" spans="1:2" x14ac:dyDescent="0.45">
      <c r="A120" s="1"/>
      <c r="B120" s="1"/>
    </row>
    <row r="121" spans="1:2" x14ac:dyDescent="0.45">
      <c r="A121" s="1"/>
      <c r="B121" s="1"/>
    </row>
    <row r="122" spans="1:2" x14ac:dyDescent="0.45">
      <c r="A122" s="1"/>
      <c r="B122" s="1"/>
    </row>
    <row r="123" spans="1:2" x14ac:dyDescent="0.45">
      <c r="A123" s="1"/>
      <c r="B123" s="1"/>
    </row>
    <row r="124" spans="1:2" x14ac:dyDescent="0.45">
      <c r="A124" s="1"/>
      <c r="B124" s="1"/>
    </row>
    <row r="125" spans="1:2" x14ac:dyDescent="0.45">
      <c r="A125" s="1"/>
      <c r="B125" s="1"/>
    </row>
    <row r="126" spans="1:2" x14ac:dyDescent="0.45">
      <c r="A126" s="1"/>
      <c r="B126" s="1"/>
    </row>
    <row r="127" spans="1:2" x14ac:dyDescent="0.45">
      <c r="A127" s="1"/>
      <c r="B127" s="1"/>
    </row>
    <row r="128" spans="1:2" x14ac:dyDescent="0.45">
      <c r="A128" s="1"/>
      <c r="B128" s="1"/>
    </row>
    <row r="129" spans="1:2" x14ac:dyDescent="0.45">
      <c r="A129" s="1"/>
      <c r="B129" s="1"/>
    </row>
    <row r="130" spans="1:2" x14ac:dyDescent="0.45">
      <c r="A130" s="1"/>
      <c r="B130" s="1"/>
    </row>
    <row r="131" spans="1:2" x14ac:dyDescent="0.45">
      <c r="A131" s="1"/>
      <c r="B131" s="1"/>
    </row>
    <row r="132" spans="1:2" x14ac:dyDescent="0.45">
      <c r="A132" s="1"/>
      <c r="B132" s="1"/>
    </row>
    <row r="133" spans="1:2" x14ac:dyDescent="0.45">
      <c r="A133" s="1"/>
      <c r="B133" s="1"/>
    </row>
    <row r="134" spans="1:2" x14ac:dyDescent="0.45">
      <c r="A134" s="1"/>
      <c r="B134" s="1"/>
    </row>
    <row r="135" spans="1:2" x14ac:dyDescent="0.45">
      <c r="A135" s="1"/>
      <c r="B135" s="1"/>
    </row>
    <row r="136" spans="1:2" x14ac:dyDescent="0.45">
      <c r="A136" s="1"/>
      <c r="B136" s="1"/>
    </row>
    <row r="137" spans="1:2" x14ac:dyDescent="0.45">
      <c r="A137" s="1"/>
      <c r="B137" s="1"/>
    </row>
    <row r="138" spans="1:2" x14ac:dyDescent="0.45">
      <c r="A138" s="1"/>
      <c r="B138" s="1"/>
    </row>
    <row r="139" spans="1:2" x14ac:dyDescent="0.45">
      <c r="A139" s="1"/>
      <c r="B139" s="1"/>
    </row>
    <row r="140" spans="1:2" x14ac:dyDescent="0.45">
      <c r="A140" s="1"/>
      <c r="B140" s="1"/>
    </row>
    <row r="141" spans="1:2" x14ac:dyDescent="0.45">
      <c r="A141" s="1"/>
      <c r="B141" s="1"/>
    </row>
    <row r="142" spans="1:2" x14ac:dyDescent="0.45">
      <c r="A142" s="1"/>
      <c r="B142" s="1"/>
    </row>
    <row r="143" spans="1:2" x14ac:dyDescent="0.45">
      <c r="A143" s="1"/>
      <c r="B143" s="1"/>
    </row>
    <row r="144" spans="1:2" x14ac:dyDescent="0.45">
      <c r="A144" s="1"/>
      <c r="B144" s="1"/>
    </row>
    <row r="145" spans="1:2" x14ac:dyDescent="0.45">
      <c r="A145" s="1"/>
      <c r="B145" s="1"/>
    </row>
    <row r="146" spans="1:2" x14ac:dyDescent="0.45">
      <c r="A146" s="1"/>
      <c r="B146" s="1"/>
    </row>
    <row r="147" spans="1:2" x14ac:dyDescent="0.45">
      <c r="A147" s="1"/>
      <c r="B147" s="1"/>
    </row>
    <row r="148" spans="1:2" x14ac:dyDescent="0.45">
      <c r="A148" s="1"/>
      <c r="B148" s="1"/>
    </row>
    <row r="149" spans="1:2" x14ac:dyDescent="0.45">
      <c r="A149" s="1"/>
      <c r="B149" s="1"/>
    </row>
    <row r="150" spans="1:2" x14ac:dyDescent="0.45">
      <c r="A150" s="1"/>
      <c r="B150" s="1"/>
    </row>
    <row r="151" spans="1:2" x14ac:dyDescent="0.45">
      <c r="A151" s="1"/>
      <c r="B151" s="1"/>
    </row>
    <row r="152" spans="1:2" x14ac:dyDescent="0.45">
      <c r="A152" s="1"/>
      <c r="B152" s="1"/>
    </row>
    <row r="153" spans="1:2" x14ac:dyDescent="0.45">
      <c r="A153" s="1"/>
      <c r="B153" s="1"/>
    </row>
    <row r="154" spans="1:2" x14ac:dyDescent="0.45">
      <c r="A154" s="1"/>
      <c r="B154" s="1"/>
    </row>
    <row r="155" spans="1:2" x14ac:dyDescent="0.45">
      <c r="A155" s="1"/>
      <c r="B155" s="1"/>
    </row>
    <row r="156" spans="1:2" x14ac:dyDescent="0.45">
      <c r="A156" s="1"/>
      <c r="B156" s="1"/>
    </row>
    <row r="157" spans="1:2" x14ac:dyDescent="0.45">
      <c r="A157" s="1"/>
      <c r="B157" s="1"/>
    </row>
    <row r="158" spans="1:2" x14ac:dyDescent="0.45">
      <c r="A158" s="1"/>
      <c r="B158" s="1"/>
    </row>
    <row r="159" spans="1:2" x14ac:dyDescent="0.45">
      <c r="A159" s="1"/>
      <c r="B159" s="1"/>
    </row>
    <row r="160" spans="1:2" x14ac:dyDescent="0.45">
      <c r="A160" s="1"/>
      <c r="B160" s="1"/>
    </row>
    <row r="161" spans="1:2" x14ac:dyDescent="0.45">
      <c r="A161" s="1"/>
      <c r="B161" s="1"/>
    </row>
    <row r="162" spans="1:2" x14ac:dyDescent="0.45">
      <c r="A162" s="1"/>
      <c r="B162" s="1"/>
    </row>
    <row r="163" spans="1:2" x14ac:dyDescent="0.45">
      <c r="A163" s="1"/>
      <c r="B163" s="1"/>
    </row>
    <row r="164" spans="1:2" x14ac:dyDescent="0.45">
      <c r="A164" s="1"/>
      <c r="B164" s="1"/>
    </row>
    <row r="165" spans="1:2" x14ac:dyDescent="0.45">
      <c r="A165" s="1"/>
      <c r="B165" s="1"/>
    </row>
    <row r="166" spans="1:2" x14ac:dyDescent="0.45">
      <c r="A166" s="1"/>
      <c r="B166" s="1"/>
    </row>
    <row r="167" spans="1:2" x14ac:dyDescent="0.45">
      <c r="A167" s="1"/>
      <c r="B167" s="1"/>
    </row>
    <row r="168" spans="1:2" x14ac:dyDescent="0.45">
      <c r="A168" s="1"/>
      <c r="B168" s="1"/>
    </row>
    <row r="169" spans="1:2" x14ac:dyDescent="0.45">
      <c r="A169" s="1"/>
      <c r="B169" s="1"/>
    </row>
    <row r="170" spans="1:2" x14ac:dyDescent="0.45">
      <c r="A170" s="1"/>
      <c r="B170" s="1"/>
    </row>
    <row r="171" spans="1:2" x14ac:dyDescent="0.45">
      <c r="A171" s="1"/>
      <c r="B171" s="1"/>
    </row>
    <row r="172" spans="1:2" x14ac:dyDescent="0.45">
      <c r="A172" s="1"/>
      <c r="B172" s="1"/>
    </row>
    <row r="173" spans="1:2" x14ac:dyDescent="0.45">
      <c r="A173" s="1"/>
      <c r="B173" s="1"/>
    </row>
    <row r="174" spans="1:2" x14ac:dyDescent="0.45">
      <c r="A174" s="1"/>
      <c r="B174" s="1"/>
    </row>
    <row r="175" spans="1:2" x14ac:dyDescent="0.45">
      <c r="A175" s="1"/>
      <c r="B175" s="1"/>
    </row>
    <row r="176" spans="1:2" x14ac:dyDescent="0.45">
      <c r="A176" s="1"/>
      <c r="B176" s="1"/>
    </row>
    <row r="177" spans="1:2" x14ac:dyDescent="0.45">
      <c r="A177" s="1"/>
      <c r="B177" s="1"/>
    </row>
    <row r="178" spans="1:2" x14ac:dyDescent="0.45">
      <c r="A178" s="1"/>
      <c r="B178" s="1"/>
    </row>
    <row r="179" spans="1:2" x14ac:dyDescent="0.45">
      <c r="A179" s="1"/>
      <c r="B179" s="1"/>
    </row>
    <row r="180" spans="1:2" x14ac:dyDescent="0.45">
      <c r="A180" s="1"/>
      <c r="B180" s="1"/>
    </row>
    <row r="181" spans="1:2" x14ac:dyDescent="0.45">
      <c r="A181" s="1"/>
      <c r="B181" s="1"/>
    </row>
    <row r="182" spans="1:2" x14ac:dyDescent="0.45">
      <c r="A182" s="1"/>
      <c r="B182" s="1"/>
    </row>
    <row r="183" spans="1:2" x14ac:dyDescent="0.45">
      <c r="A183" s="1"/>
      <c r="B183" s="1"/>
    </row>
    <row r="184" spans="1:2" x14ac:dyDescent="0.45">
      <c r="A184" s="1"/>
      <c r="B184" s="1"/>
    </row>
    <row r="185" spans="1:2" x14ac:dyDescent="0.45">
      <c r="A185" s="1"/>
      <c r="B185" s="1"/>
    </row>
    <row r="186" spans="1:2" x14ac:dyDescent="0.45">
      <c r="A186" s="1"/>
      <c r="B186" s="1"/>
    </row>
    <row r="187" spans="1:2" x14ac:dyDescent="0.45">
      <c r="A187" s="1"/>
      <c r="B187" s="1"/>
    </row>
    <row r="188" spans="1:2" x14ac:dyDescent="0.45">
      <c r="A188" s="1"/>
      <c r="B188" s="1"/>
    </row>
    <row r="189" spans="1:2" x14ac:dyDescent="0.45">
      <c r="A189" s="1"/>
      <c r="B189" s="1"/>
    </row>
    <row r="190" spans="1:2" x14ac:dyDescent="0.45">
      <c r="A190" s="1"/>
      <c r="B190" s="1"/>
    </row>
    <row r="191" spans="1:2" x14ac:dyDescent="0.45">
      <c r="A191" s="1"/>
      <c r="B191" s="1"/>
    </row>
    <row r="192" spans="1:2" x14ac:dyDescent="0.45">
      <c r="A192" s="1"/>
      <c r="B192" s="1"/>
    </row>
    <row r="193" spans="1:2" x14ac:dyDescent="0.45">
      <c r="A193" s="1"/>
      <c r="B193" s="1"/>
    </row>
    <row r="194" spans="1:2" x14ac:dyDescent="0.45">
      <c r="A194" s="1"/>
      <c r="B194" s="1"/>
    </row>
    <row r="195" spans="1:2" x14ac:dyDescent="0.45">
      <c r="A195" s="1"/>
      <c r="B195" s="1"/>
    </row>
    <row r="196" spans="1:2" x14ac:dyDescent="0.45">
      <c r="A196" s="1"/>
      <c r="B196" s="1"/>
    </row>
    <row r="197" spans="1:2" x14ac:dyDescent="0.45">
      <c r="A197" s="1"/>
      <c r="B197" s="1"/>
    </row>
    <row r="198" spans="1:2" x14ac:dyDescent="0.45">
      <c r="A198" s="1"/>
      <c r="B198" s="1"/>
    </row>
    <row r="199" spans="1:2" x14ac:dyDescent="0.45">
      <c r="A199" s="1"/>
      <c r="B199" s="1"/>
    </row>
    <row r="200" spans="1:2" x14ac:dyDescent="0.45">
      <c r="A200" s="1"/>
      <c r="B200" s="1"/>
    </row>
    <row r="201" spans="1:2" x14ac:dyDescent="0.45">
      <c r="A201" s="1"/>
      <c r="B201" s="1"/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9D00-0486-429B-BAA1-EFEC2C36E532}">
  <sheetPr codeName="Лист2"/>
  <dimension ref="A1:P301"/>
  <sheetViews>
    <sheetView topLeftCell="A10" workbookViewId="0">
      <selection activeCell="L20" sqref="L20"/>
    </sheetView>
  </sheetViews>
  <sheetFormatPr defaultRowHeight="14.25" x14ac:dyDescent="0.45"/>
  <cols>
    <col min="1" max="1" width="9.06640625" style="2"/>
    <col min="2" max="2" width="10.265625" style="2" bestFit="1" customWidth="1"/>
    <col min="5" max="5" width="24.86328125" bestFit="1" customWidth="1"/>
    <col min="6" max="6" width="5.53125" customWidth="1"/>
  </cols>
  <sheetData>
    <row r="1" spans="1:16" x14ac:dyDescent="0.45">
      <c r="B1" s="1" t="s">
        <v>7</v>
      </c>
    </row>
    <row r="2" spans="1:16" x14ac:dyDescent="0.45">
      <c r="A2" s="1">
        <v>107.28158389327129</v>
      </c>
      <c r="B2" s="2">
        <f>(A2-$G$4)*(A2-$G$4)</f>
        <v>35749.669291191967</v>
      </c>
      <c r="F2" t="s">
        <v>9</v>
      </c>
      <c r="G2">
        <v>10</v>
      </c>
      <c r="O2" t="s">
        <v>11</v>
      </c>
    </row>
    <row r="3" spans="1:16" x14ac:dyDescent="0.45">
      <c r="A3" s="1">
        <v>127.82735370530034</v>
      </c>
      <c r="B3" s="2">
        <f t="shared" ref="B3:B11" si="0">(A3-$G$4)*(A3-$G$4)</f>
        <v>28402.381009588018</v>
      </c>
      <c r="E3" t="s">
        <v>6</v>
      </c>
      <c r="G3">
        <f>COUNT(A2:A11)</f>
        <v>10</v>
      </c>
      <c r="O3" s="4"/>
    </row>
    <row r="4" spans="1:16" x14ac:dyDescent="0.45">
      <c r="A4" s="1">
        <v>408.3546686385011</v>
      </c>
      <c r="B4" s="2">
        <f t="shared" si="0"/>
        <v>12543.385188341825</v>
      </c>
      <c r="E4" t="s">
        <v>0</v>
      </c>
      <c r="F4" s="2"/>
      <c r="G4">
        <f>SUM(A2:A11)/G2</f>
        <v>296.35741336703552</v>
      </c>
      <c r="O4" s="5">
        <f>(P4-G4)/G4</f>
        <v>-6.7078500868988436E-2</v>
      </c>
      <c r="P4">
        <f>'300'!G4</f>
        <v>276.47820235696366</v>
      </c>
    </row>
    <row r="5" spans="1:16" x14ac:dyDescent="0.45">
      <c r="A5" s="1">
        <v>98.890546210211852</v>
      </c>
      <c r="B5" s="2">
        <f t="shared" si="0"/>
        <v>38993.163624730645</v>
      </c>
      <c r="E5" t="s">
        <v>1</v>
      </c>
      <c r="F5" s="2"/>
      <c r="G5">
        <f>SUM(B2:B11)/(G2-1)</f>
        <v>34842.69334612129</v>
      </c>
      <c r="O5" s="5">
        <f t="shared" ref="O5:O10" si="1">(P5-G5)/G5</f>
        <v>-0.15913007183865083</v>
      </c>
      <c r="P5">
        <f>'300'!G5</f>
        <v>29298.173050900929</v>
      </c>
    </row>
    <row r="6" spans="1:16" x14ac:dyDescent="0.45">
      <c r="A6" s="1">
        <v>701.75957763374743</v>
      </c>
      <c r="B6" s="2">
        <f t="shared" si="0"/>
        <v>164350.91479213408</v>
      </c>
      <c r="E6" t="s">
        <v>2</v>
      </c>
      <c r="F6" s="2"/>
      <c r="G6">
        <f>SQRT(G5)</f>
        <v>186.66197616579893</v>
      </c>
      <c r="J6" s="3"/>
      <c r="O6" s="5">
        <f t="shared" si="1"/>
        <v>-8.3010399098577936E-2</v>
      </c>
      <c r="P6">
        <f>'300'!G6</f>
        <v>171.16709102774672</v>
      </c>
    </row>
    <row r="7" spans="1:16" ht="14.25" customHeight="1" x14ac:dyDescent="0.45">
      <c r="A7" s="1">
        <v>271.81439391360277</v>
      </c>
      <c r="B7" s="2">
        <f t="shared" si="0"/>
        <v>602.35980389157828</v>
      </c>
      <c r="E7" t="s">
        <v>3</v>
      </c>
      <c r="F7" s="2"/>
      <c r="G7">
        <f>G6/G4</f>
        <v>0.62985424945189428</v>
      </c>
      <c r="J7" s="3"/>
      <c r="O7" s="5">
        <f t="shared" si="1"/>
        <v>-1.7077426390569431E-2</v>
      </c>
      <c r="P7">
        <f>'300'!G7</f>
        <v>0.6190979598700922</v>
      </c>
    </row>
    <row r="8" spans="1:16" x14ac:dyDescent="0.45">
      <c r="A8" s="1">
        <v>320.49549343299248</v>
      </c>
      <c r="B8" s="2">
        <f t="shared" si="0"/>
        <v>582.64690927054858</v>
      </c>
      <c r="D8" s="7" t="s">
        <v>4</v>
      </c>
      <c r="E8">
        <v>0.9</v>
      </c>
      <c r="F8" s="2">
        <v>1.6839999999999999</v>
      </c>
      <c r="G8">
        <f>$G$13*F8</f>
        <v>99.402646333866855</v>
      </c>
      <c r="I8">
        <f>K8-G8</f>
        <v>196.95476703316865</v>
      </c>
      <c r="J8" s="3" t="s">
        <v>10</v>
      </c>
      <c r="K8">
        <f>$G$4</f>
        <v>296.35741336703552</v>
      </c>
      <c r="L8" s="3" t="s">
        <v>10</v>
      </c>
      <c r="M8">
        <f>K8+G8</f>
        <v>395.76005970090239</v>
      </c>
      <c r="O8" s="5">
        <f t="shared" si="1"/>
        <v>-0.83258137019621048</v>
      </c>
      <c r="P8">
        <f>'300'!G8</f>
        <v>16.641854848086666</v>
      </c>
    </row>
    <row r="9" spans="1:16" x14ac:dyDescent="0.45">
      <c r="A9" s="1">
        <v>248.02335172534512</v>
      </c>
      <c r="B9" s="2">
        <f t="shared" si="0"/>
        <v>2336.1815147827269</v>
      </c>
      <c r="D9" s="7"/>
      <c r="E9">
        <v>0.95</v>
      </c>
      <c r="F9" s="2">
        <v>1.96</v>
      </c>
      <c r="G9">
        <f t="shared" ref="G9:G10" si="2">$G$13*F9</f>
        <v>115.69429145746973</v>
      </c>
      <c r="I9">
        <f t="shared" ref="I9:I10" si="3">K9-G9</f>
        <v>180.6631219095658</v>
      </c>
      <c r="J9" s="3" t="s">
        <v>10</v>
      </c>
      <c r="K9">
        <f t="shared" ref="K9:K10" si="4">$G$4</f>
        <v>296.35741336703552</v>
      </c>
      <c r="L9" s="3" t="s">
        <v>10</v>
      </c>
      <c r="M9">
        <f t="shared" ref="M9:M10" si="5">K9+G9</f>
        <v>412.05170482450524</v>
      </c>
      <c r="O9" s="5">
        <f t="shared" si="1"/>
        <v>-0.83258137019621048</v>
      </c>
      <c r="P9">
        <f>'300'!G9</f>
        <v>19.369379751929849</v>
      </c>
    </row>
    <row r="10" spans="1:16" x14ac:dyDescent="0.45">
      <c r="A10" s="1">
        <v>224.91195357298182</v>
      </c>
      <c r="B10" s="2">
        <f t="shared" si="0"/>
        <v>5104.4537251837446</v>
      </c>
      <c r="D10" s="7"/>
      <c r="E10">
        <v>0.99</v>
      </c>
      <c r="F10" s="2">
        <v>2.5790000000000002</v>
      </c>
      <c r="G10">
        <f t="shared" si="2"/>
        <v>152.23243758612983</v>
      </c>
      <c r="I10">
        <f t="shared" si="3"/>
        <v>144.12497578090569</v>
      </c>
      <c r="J10" s="3" t="s">
        <v>10</v>
      </c>
      <c r="K10">
        <f t="shared" si="4"/>
        <v>296.35741336703552</v>
      </c>
      <c r="L10" s="3" t="s">
        <v>10</v>
      </c>
      <c r="M10">
        <f t="shared" si="5"/>
        <v>448.58985095316535</v>
      </c>
      <c r="O10" s="5">
        <f t="shared" si="1"/>
        <v>-0.83258137019621048</v>
      </c>
      <c r="P10">
        <f>'300'!G10</f>
        <v>25.486546112360756</v>
      </c>
    </row>
    <row r="11" spans="1:16" x14ac:dyDescent="0.45">
      <c r="A11" s="1">
        <v>454.21521094440101</v>
      </c>
      <c r="B11" s="2">
        <f t="shared" si="0"/>
        <v>24919.084255976497</v>
      </c>
      <c r="E11" t="s">
        <v>5</v>
      </c>
      <c r="F11" s="2"/>
      <c r="O11" s="4"/>
    </row>
    <row r="12" spans="1:16" x14ac:dyDescent="0.45">
      <c r="A12" s="1"/>
      <c r="B12" s="1"/>
      <c r="F12" s="2"/>
    </row>
    <row r="13" spans="1:16" x14ac:dyDescent="0.45">
      <c r="A13" s="1"/>
      <c r="B13" s="1"/>
      <c r="E13" t="s">
        <v>8</v>
      </c>
      <c r="F13" s="2"/>
      <c r="G13">
        <f>SQRT(G5/G2)</f>
        <v>59.027699723198843</v>
      </c>
    </row>
    <row r="14" spans="1:16" x14ac:dyDescent="0.45">
      <c r="A14" s="1"/>
      <c r="B14" s="1"/>
      <c r="F14" s="2"/>
    </row>
    <row r="15" spans="1:16" x14ac:dyDescent="0.45">
      <c r="A15" s="1"/>
      <c r="B15" s="1"/>
      <c r="F15" s="2"/>
    </row>
    <row r="16" spans="1:16" x14ac:dyDescent="0.45">
      <c r="A16" s="1"/>
      <c r="B16" s="1"/>
    </row>
    <row r="17" spans="1:2" x14ac:dyDescent="0.45">
      <c r="A17" s="1"/>
      <c r="B17" s="1"/>
    </row>
    <row r="18" spans="1:2" x14ac:dyDescent="0.45">
      <c r="A18" s="1"/>
      <c r="B18" s="1"/>
    </row>
    <row r="19" spans="1:2" x14ac:dyDescent="0.45">
      <c r="A19" s="1"/>
      <c r="B19" s="1"/>
    </row>
    <row r="20" spans="1:2" x14ac:dyDescent="0.45">
      <c r="A20" s="1"/>
      <c r="B20" s="1"/>
    </row>
    <row r="21" spans="1:2" x14ac:dyDescent="0.45">
      <c r="A21" s="1"/>
      <c r="B21" s="1"/>
    </row>
    <row r="22" spans="1:2" x14ac:dyDescent="0.45">
      <c r="A22" s="1"/>
      <c r="B22" s="1"/>
    </row>
    <row r="23" spans="1:2" x14ac:dyDescent="0.45">
      <c r="A23" s="1"/>
      <c r="B23" s="1"/>
    </row>
    <row r="24" spans="1:2" x14ac:dyDescent="0.45">
      <c r="A24" s="1"/>
      <c r="B24" s="1"/>
    </row>
    <row r="25" spans="1:2" x14ac:dyDescent="0.45">
      <c r="A25" s="1"/>
      <c r="B25" s="1"/>
    </row>
    <row r="26" spans="1:2" x14ac:dyDescent="0.45">
      <c r="A26" s="1"/>
      <c r="B26" s="1"/>
    </row>
    <row r="27" spans="1:2" x14ac:dyDescent="0.45">
      <c r="A27" s="1"/>
      <c r="B27" s="1"/>
    </row>
    <row r="28" spans="1:2" x14ac:dyDescent="0.45">
      <c r="A28" s="1"/>
      <c r="B28" s="1"/>
    </row>
    <row r="29" spans="1:2" x14ac:dyDescent="0.45">
      <c r="A29" s="1"/>
      <c r="B29" s="1"/>
    </row>
    <row r="30" spans="1:2" x14ac:dyDescent="0.45">
      <c r="A30" s="1"/>
      <c r="B30" s="1"/>
    </row>
    <row r="31" spans="1:2" x14ac:dyDescent="0.45">
      <c r="A31" s="1"/>
      <c r="B31" s="1"/>
    </row>
    <row r="32" spans="1:2" x14ac:dyDescent="0.45">
      <c r="A32" s="1"/>
      <c r="B32" s="1"/>
    </row>
    <row r="33" spans="1:2" x14ac:dyDescent="0.45">
      <c r="A33" s="1"/>
      <c r="B33" s="1"/>
    </row>
    <row r="34" spans="1:2" x14ac:dyDescent="0.45">
      <c r="A34" s="1"/>
      <c r="B34" s="1"/>
    </row>
    <row r="35" spans="1:2" x14ac:dyDescent="0.45">
      <c r="A35" s="1"/>
      <c r="B35" s="1"/>
    </row>
    <row r="36" spans="1:2" x14ac:dyDescent="0.45">
      <c r="A36" s="1"/>
      <c r="B36" s="1"/>
    </row>
    <row r="37" spans="1:2" x14ac:dyDescent="0.45">
      <c r="A37" s="1"/>
      <c r="B37" s="1"/>
    </row>
    <row r="38" spans="1:2" x14ac:dyDescent="0.45">
      <c r="A38" s="1"/>
      <c r="B38" s="1"/>
    </row>
    <row r="39" spans="1:2" x14ac:dyDescent="0.45">
      <c r="A39" s="1"/>
      <c r="B39" s="1"/>
    </row>
    <row r="40" spans="1:2" x14ac:dyDescent="0.45">
      <c r="A40" s="1"/>
      <c r="B40" s="1"/>
    </row>
    <row r="41" spans="1:2" x14ac:dyDescent="0.45">
      <c r="A41" s="1"/>
      <c r="B41" s="1"/>
    </row>
    <row r="42" spans="1:2" x14ac:dyDescent="0.45">
      <c r="A42" s="1"/>
      <c r="B42" s="1"/>
    </row>
    <row r="43" spans="1:2" x14ac:dyDescent="0.45">
      <c r="A43" s="1"/>
      <c r="B43" s="1"/>
    </row>
    <row r="44" spans="1:2" x14ac:dyDescent="0.45">
      <c r="A44" s="1"/>
      <c r="B44" s="1"/>
    </row>
    <row r="45" spans="1:2" x14ac:dyDescent="0.45">
      <c r="A45" s="1"/>
      <c r="B45" s="1"/>
    </row>
    <row r="46" spans="1:2" x14ac:dyDescent="0.45">
      <c r="A46" s="1"/>
      <c r="B46" s="1"/>
    </row>
    <row r="47" spans="1:2" x14ac:dyDescent="0.45">
      <c r="A47" s="1"/>
      <c r="B47" s="1"/>
    </row>
    <row r="48" spans="1:2" x14ac:dyDescent="0.45">
      <c r="A48" s="1"/>
      <c r="B48" s="1"/>
    </row>
    <row r="49" spans="1:2" x14ac:dyDescent="0.45">
      <c r="A49" s="1"/>
      <c r="B49" s="1"/>
    </row>
    <row r="50" spans="1:2" x14ac:dyDescent="0.45">
      <c r="A50" s="1"/>
      <c r="B50" s="1"/>
    </row>
    <row r="51" spans="1:2" x14ac:dyDescent="0.45">
      <c r="A51" s="1"/>
      <c r="B51" s="1"/>
    </row>
    <row r="52" spans="1:2" x14ac:dyDescent="0.45">
      <c r="A52" s="1"/>
      <c r="B52" s="1"/>
    </row>
    <row r="53" spans="1:2" x14ac:dyDescent="0.45">
      <c r="A53" s="1"/>
      <c r="B53" s="1"/>
    </row>
    <row r="54" spans="1:2" x14ac:dyDescent="0.45">
      <c r="A54" s="1"/>
      <c r="B54" s="1"/>
    </row>
    <row r="55" spans="1:2" x14ac:dyDescent="0.45">
      <c r="A55" s="1"/>
      <c r="B55" s="1"/>
    </row>
    <row r="56" spans="1:2" x14ac:dyDescent="0.45">
      <c r="A56" s="1"/>
      <c r="B56" s="1"/>
    </row>
    <row r="57" spans="1:2" x14ac:dyDescent="0.45">
      <c r="A57" s="1"/>
      <c r="B57" s="1"/>
    </row>
    <row r="58" spans="1:2" x14ac:dyDescent="0.45">
      <c r="A58" s="1"/>
      <c r="B58" s="1"/>
    </row>
    <row r="59" spans="1:2" x14ac:dyDescent="0.45">
      <c r="A59" s="1"/>
      <c r="B59" s="1"/>
    </row>
    <row r="60" spans="1:2" x14ac:dyDescent="0.45">
      <c r="A60" s="1"/>
      <c r="B60" s="1"/>
    </row>
    <row r="61" spans="1:2" x14ac:dyDescent="0.45">
      <c r="A61" s="1"/>
      <c r="B61" s="1"/>
    </row>
    <row r="62" spans="1:2" x14ac:dyDescent="0.45">
      <c r="A62" s="1"/>
      <c r="B62" s="1"/>
    </row>
    <row r="63" spans="1:2" x14ac:dyDescent="0.45">
      <c r="A63" s="1"/>
      <c r="B63" s="1"/>
    </row>
    <row r="64" spans="1:2" x14ac:dyDescent="0.45">
      <c r="A64" s="1"/>
      <c r="B64" s="1"/>
    </row>
    <row r="65" spans="1:2" x14ac:dyDescent="0.45">
      <c r="A65" s="1"/>
      <c r="B65" s="1"/>
    </row>
    <row r="66" spans="1:2" x14ac:dyDescent="0.45">
      <c r="A66" s="1"/>
      <c r="B66" s="1"/>
    </row>
    <row r="67" spans="1:2" x14ac:dyDescent="0.45">
      <c r="A67" s="1"/>
      <c r="B67" s="1"/>
    </row>
    <row r="68" spans="1:2" x14ac:dyDescent="0.45">
      <c r="A68" s="1"/>
      <c r="B68" s="1"/>
    </row>
    <row r="69" spans="1:2" x14ac:dyDescent="0.45">
      <c r="A69" s="1"/>
      <c r="B69" s="1"/>
    </row>
    <row r="70" spans="1:2" x14ac:dyDescent="0.45">
      <c r="A70" s="1"/>
      <c r="B70" s="1"/>
    </row>
    <row r="71" spans="1:2" x14ac:dyDescent="0.45">
      <c r="A71" s="1"/>
      <c r="B71" s="1"/>
    </row>
    <row r="72" spans="1:2" x14ac:dyDescent="0.45">
      <c r="A72" s="1"/>
      <c r="B72" s="1"/>
    </row>
    <row r="73" spans="1:2" x14ac:dyDescent="0.45">
      <c r="A73" s="1"/>
      <c r="B73" s="1"/>
    </row>
    <row r="74" spans="1:2" x14ac:dyDescent="0.45">
      <c r="A74" s="1"/>
      <c r="B74" s="1"/>
    </row>
    <row r="75" spans="1:2" x14ac:dyDescent="0.45">
      <c r="A75" s="1"/>
      <c r="B75" s="1"/>
    </row>
    <row r="76" spans="1:2" x14ac:dyDescent="0.45">
      <c r="A76" s="1"/>
      <c r="B76" s="1"/>
    </row>
    <row r="77" spans="1:2" x14ac:dyDescent="0.45">
      <c r="A77" s="1"/>
      <c r="B77" s="1"/>
    </row>
    <row r="78" spans="1:2" x14ac:dyDescent="0.45">
      <c r="A78" s="1"/>
      <c r="B78" s="1"/>
    </row>
    <row r="79" spans="1:2" x14ac:dyDescent="0.45">
      <c r="A79" s="1"/>
      <c r="B79" s="1"/>
    </row>
    <row r="80" spans="1:2" x14ac:dyDescent="0.45">
      <c r="A80" s="1"/>
      <c r="B80" s="1"/>
    </row>
    <row r="81" spans="1:2" x14ac:dyDescent="0.45">
      <c r="A81" s="1"/>
      <c r="B81" s="1"/>
    </row>
    <row r="82" spans="1:2" x14ac:dyDescent="0.45">
      <c r="A82" s="1"/>
      <c r="B82" s="1"/>
    </row>
    <row r="83" spans="1:2" x14ac:dyDescent="0.45">
      <c r="A83" s="1"/>
      <c r="B83" s="1"/>
    </row>
    <row r="84" spans="1:2" x14ac:dyDescent="0.45">
      <c r="A84" s="1"/>
      <c r="B84" s="1"/>
    </row>
    <row r="85" spans="1:2" x14ac:dyDescent="0.45">
      <c r="A85" s="1"/>
      <c r="B85" s="1"/>
    </row>
    <row r="86" spans="1:2" x14ac:dyDescent="0.45">
      <c r="A86" s="1"/>
      <c r="B86" s="1"/>
    </row>
    <row r="87" spans="1:2" x14ac:dyDescent="0.45">
      <c r="A87" s="1"/>
      <c r="B87" s="1"/>
    </row>
    <row r="88" spans="1:2" x14ac:dyDescent="0.45">
      <c r="A88" s="1"/>
      <c r="B88" s="1"/>
    </row>
    <row r="89" spans="1:2" x14ac:dyDescent="0.45">
      <c r="A89" s="1"/>
      <c r="B89" s="1"/>
    </row>
    <row r="90" spans="1:2" x14ac:dyDescent="0.45">
      <c r="A90" s="1"/>
      <c r="B90" s="1"/>
    </row>
    <row r="91" spans="1:2" x14ac:dyDescent="0.45">
      <c r="A91" s="1"/>
      <c r="B91" s="1"/>
    </row>
    <row r="92" spans="1:2" x14ac:dyDescent="0.45">
      <c r="A92" s="1"/>
      <c r="B92" s="1"/>
    </row>
    <row r="93" spans="1:2" x14ac:dyDescent="0.45">
      <c r="A93" s="1"/>
      <c r="B93" s="1"/>
    </row>
    <row r="94" spans="1:2" x14ac:dyDescent="0.45">
      <c r="A94" s="1"/>
      <c r="B94" s="1"/>
    </row>
    <row r="95" spans="1:2" x14ac:dyDescent="0.45">
      <c r="A95" s="1"/>
      <c r="B95" s="1"/>
    </row>
    <row r="96" spans="1:2" x14ac:dyDescent="0.45">
      <c r="A96" s="1"/>
      <c r="B96" s="1"/>
    </row>
    <row r="97" spans="1:2" x14ac:dyDescent="0.45">
      <c r="A97" s="1"/>
      <c r="B97" s="1"/>
    </row>
    <row r="98" spans="1:2" x14ac:dyDescent="0.45">
      <c r="A98" s="1"/>
      <c r="B98" s="1"/>
    </row>
    <row r="99" spans="1:2" x14ac:dyDescent="0.45">
      <c r="A99" s="1"/>
      <c r="B99" s="1"/>
    </row>
    <row r="100" spans="1:2" x14ac:dyDescent="0.45">
      <c r="A100" s="1"/>
      <c r="B100" s="1"/>
    </row>
    <row r="101" spans="1:2" x14ac:dyDescent="0.45">
      <c r="A101" s="1"/>
      <c r="B101" s="1"/>
    </row>
    <row r="102" spans="1:2" x14ac:dyDescent="0.45">
      <c r="A102" s="1"/>
      <c r="B102" s="1"/>
    </row>
    <row r="103" spans="1:2" x14ac:dyDescent="0.45">
      <c r="A103" s="1"/>
      <c r="B103" s="1"/>
    </row>
    <row r="104" spans="1:2" x14ac:dyDescent="0.45">
      <c r="A104" s="1"/>
      <c r="B104" s="1"/>
    </row>
    <row r="105" spans="1:2" x14ac:dyDescent="0.45">
      <c r="A105" s="1"/>
      <c r="B105" s="1"/>
    </row>
    <row r="106" spans="1:2" x14ac:dyDescent="0.45">
      <c r="A106" s="1"/>
      <c r="B106" s="1"/>
    </row>
    <row r="107" spans="1:2" x14ac:dyDescent="0.45">
      <c r="A107" s="1"/>
      <c r="B107" s="1"/>
    </row>
    <row r="108" spans="1:2" x14ac:dyDescent="0.45">
      <c r="A108" s="1"/>
      <c r="B108" s="1"/>
    </row>
    <row r="109" spans="1:2" x14ac:dyDescent="0.45">
      <c r="A109" s="1"/>
      <c r="B109" s="1"/>
    </row>
    <row r="110" spans="1:2" x14ac:dyDescent="0.45">
      <c r="A110" s="1"/>
      <c r="B110" s="1"/>
    </row>
    <row r="111" spans="1:2" x14ac:dyDescent="0.45">
      <c r="A111" s="1"/>
      <c r="B111" s="1"/>
    </row>
    <row r="112" spans="1:2" x14ac:dyDescent="0.45">
      <c r="A112" s="1"/>
      <c r="B112" s="1"/>
    </row>
    <row r="113" spans="1:2" x14ac:dyDescent="0.45">
      <c r="A113" s="1"/>
      <c r="B113" s="1"/>
    </row>
    <row r="114" spans="1:2" x14ac:dyDescent="0.45">
      <c r="A114" s="1"/>
      <c r="B114" s="1"/>
    </row>
    <row r="115" spans="1:2" x14ac:dyDescent="0.45">
      <c r="A115" s="1"/>
      <c r="B115" s="1"/>
    </row>
    <row r="116" spans="1:2" x14ac:dyDescent="0.45">
      <c r="A116" s="1"/>
      <c r="B116" s="1"/>
    </row>
    <row r="117" spans="1:2" x14ac:dyDescent="0.45">
      <c r="A117" s="1"/>
      <c r="B117" s="1"/>
    </row>
    <row r="118" spans="1:2" x14ac:dyDescent="0.45">
      <c r="A118" s="1"/>
      <c r="B118" s="1"/>
    </row>
    <row r="119" spans="1:2" x14ac:dyDescent="0.45">
      <c r="A119" s="1"/>
      <c r="B119" s="1"/>
    </row>
    <row r="120" spans="1:2" x14ac:dyDescent="0.45">
      <c r="A120" s="1"/>
      <c r="B120" s="1"/>
    </row>
    <row r="121" spans="1:2" x14ac:dyDescent="0.45">
      <c r="A121" s="1"/>
      <c r="B121" s="1"/>
    </row>
    <row r="122" spans="1:2" x14ac:dyDescent="0.45">
      <c r="A122" s="1"/>
      <c r="B122" s="1"/>
    </row>
    <row r="123" spans="1:2" x14ac:dyDescent="0.45">
      <c r="A123" s="1"/>
      <c r="B123" s="1"/>
    </row>
    <row r="124" spans="1:2" x14ac:dyDescent="0.45">
      <c r="A124" s="1"/>
      <c r="B124" s="1"/>
    </row>
    <row r="125" spans="1:2" x14ac:dyDescent="0.45">
      <c r="A125" s="1"/>
      <c r="B125" s="1"/>
    </row>
    <row r="126" spans="1:2" x14ac:dyDescent="0.45">
      <c r="A126" s="1"/>
      <c r="B126" s="1"/>
    </row>
    <row r="127" spans="1:2" x14ac:dyDescent="0.45">
      <c r="A127" s="1"/>
      <c r="B127" s="1"/>
    </row>
    <row r="128" spans="1:2" x14ac:dyDescent="0.45">
      <c r="A128" s="1"/>
      <c r="B128" s="1"/>
    </row>
    <row r="129" spans="1:2" x14ac:dyDescent="0.45">
      <c r="A129" s="1"/>
      <c r="B129" s="1"/>
    </row>
    <row r="130" spans="1:2" x14ac:dyDescent="0.45">
      <c r="A130" s="1"/>
      <c r="B130" s="1"/>
    </row>
    <row r="131" spans="1:2" x14ac:dyDescent="0.45">
      <c r="A131" s="1"/>
      <c r="B131" s="1"/>
    </row>
    <row r="132" spans="1:2" x14ac:dyDescent="0.45">
      <c r="A132" s="1"/>
      <c r="B132" s="1"/>
    </row>
    <row r="133" spans="1:2" x14ac:dyDescent="0.45">
      <c r="A133" s="1"/>
      <c r="B133" s="1"/>
    </row>
    <row r="134" spans="1:2" x14ac:dyDescent="0.45">
      <c r="A134" s="1"/>
      <c r="B134" s="1"/>
    </row>
    <row r="135" spans="1:2" x14ac:dyDescent="0.45">
      <c r="A135" s="1"/>
      <c r="B135" s="1"/>
    </row>
    <row r="136" spans="1:2" x14ac:dyDescent="0.45">
      <c r="A136" s="1"/>
      <c r="B136" s="1"/>
    </row>
    <row r="137" spans="1:2" x14ac:dyDescent="0.45">
      <c r="A137" s="1"/>
      <c r="B137" s="1"/>
    </row>
    <row r="138" spans="1:2" x14ac:dyDescent="0.45">
      <c r="A138" s="1"/>
      <c r="B138" s="1"/>
    </row>
    <row r="139" spans="1:2" x14ac:dyDescent="0.45">
      <c r="A139" s="1"/>
      <c r="B139" s="1"/>
    </row>
    <row r="140" spans="1:2" x14ac:dyDescent="0.45">
      <c r="A140" s="1"/>
      <c r="B140" s="1"/>
    </row>
    <row r="141" spans="1:2" x14ac:dyDescent="0.45">
      <c r="A141" s="1"/>
      <c r="B141" s="1"/>
    </row>
    <row r="142" spans="1:2" x14ac:dyDescent="0.45">
      <c r="A142" s="1"/>
      <c r="B142" s="1"/>
    </row>
    <row r="143" spans="1:2" x14ac:dyDescent="0.45">
      <c r="A143" s="1"/>
      <c r="B143" s="1"/>
    </row>
    <row r="144" spans="1:2" x14ac:dyDescent="0.45">
      <c r="A144" s="1"/>
      <c r="B144" s="1"/>
    </row>
    <row r="145" spans="1:2" x14ac:dyDescent="0.45">
      <c r="A145" s="1"/>
      <c r="B145" s="1"/>
    </row>
    <row r="146" spans="1:2" x14ac:dyDescent="0.45">
      <c r="A146" s="1"/>
      <c r="B146" s="1"/>
    </row>
    <row r="147" spans="1:2" x14ac:dyDescent="0.45">
      <c r="A147" s="1"/>
      <c r="B147" s="1"/>
    </row>
    <row r="148" spans="1:2" x14ac:dyDescent="0.45">
      <c r="A148" s="1"/>
      <c r="B148" s="1"/>
    </row>
    <row r="149" spans="1:2" x14ac:dyDescent="0.45">
      <c r="A149" s="1"/>
      <c r="B149" s="1"/>
    </row>
    <row r="150" spans="1:2" x14ac:dyDescent="0.45">
      <c r="A150" s="1"/>
      <c r="B150" s="1"/>
    </row>
    <row r="151" spans="1:2" x14ac:dyDescent="0.45">
      <c r="A151" s="1"/>
      <c r="B151" s="1"/>
    </row>
    <row r="152" spans="1:2" x14ac:dyDescent="0.45">
      <c r="A152" s="1"/>
      <c r="B152" s="1"/>
    </row>
    <row r="153" spans="1:2" x14ac:dyDescent="0.45">
      <c r="A153" s="1"/>
      <c r="B153" s="1"/>
    </row>
    <row r="154" spans="1:2" x14ac:dyDescent="0.45">
      <c r="A154" s="1"/>
      <c r="B154" s="1"/>
    </row>
    <row r="155" spans="1:2" x14ac:dyDescent="0.45">
      <c r="A155" s="1"/>
      <c r="B155" s="1"/>
    </row>
    <row r="156" spans="1:2" x14ac:dyDescent="0.45">
      <c r="A156" s="1"/>
      <c r="B156" s="1"/>
    </row>
    <row r="157" spans="1:2" x14ac:dyDescent="0.45">
      <c r="A157" s="1"/>
      <c r="B157" s="1"/>
    </row>
    <row r="158" spans="1:2" x14ac:dyDescent="0.45">
      <c r="A158" s="1"/>
      <c r="B158" s="1"/>
    </row>
    <row r="159" spans="1:2" x14ac:dyDescent="0.45">
      <c r="A159" s="1"/>
      <c r="B159" s="1"/>
    </row>
    <row r="160" spans="1:2" x14ac:dyDescent="0.45">
      <c r="A160" s="1"/>
      <c r="B160" s="1"/>
    </row>
    <row r="161" spans="1:2" x14ac:dyDescent="0.45">
      <c r="A161" s="1"/>
      <c r="B161" s="1"/>
    </row>
    <row r="162" spans="1:2" x14ac:dyDescent="0.45">
      <c r="A162" s="1"/>
      <c r="B162" s="1"/>
    </row>
    <row r="163" spans="1:2" x14ac:dyDescent="0.45">
      <c r="A163" s="1"/>
      <c r="B163" s="1"/>
    </row>
    <row r="164" spans="1:2" x14ac:dyDescent="0.45">
      <c r="A164" s="1"/>
      <c r="B164" s="1"/>
    </row>
    <row r="165" spans="1:2" x14ac:dyDescent="0.45">
      <c r="A165" s="1"/>
      <c r="B165" s="1"/>
    </row>
    <row r="166" spans="1:2" x14ac:dyDescent="0.45">
      <c r="A166" s="1"/>
      <c r="B166" s="1"/>
    </row>
    <row r="167" spans="1:2" x14ac:dyDescent="0.45">
      <c r="A167" s="1"/>
      <c r="B167" s="1"/>
    </row>
    <row r="168" spans="1:2" x14ac:dyDescent="0.45">
      <c r="A168" s="1"/>
      <c r="B168" s="1"/>
    </row>
    <row r="169" spans="1:2" x14ac:dyDescent="0.45">
      <c r="A169" s="1"/>
      <c r="B169" s="1"/>
    </row>
    <row r="170" spans="1:2" x14ac:dyDescent="0.45">
      <c r="A170" s="1"/>
      <c r="B170" s="1"/>
    </row>
    <row r="171" spans="1:2" x14ac:dyDescent="0.45">
      <c r="A171" s="1"/>
      <c r="B171" s="1"/>
    </row>
    <row r="172" spans="1:2" x14ac:dyDescent="0.45">
      <c r="A172" s="1"/>
      <c r="B172" s="1"/>
    </row>
    <row r="173" spans="1:2" x14ac:dyDescent="0.45">
      <c r="A173" s="1"/>
      <c r="B173" s="1"/>
    </row>
    <row r="174" spans="1:2" x14ac:dyDescent="0.45">
      <c r="A174" s="1"/>
      <c r="B174" s="1"/>
    </row>
    <row r="175" spans="1:2" x14ac:dyDescent="0.45">
      <c r="A175" s="1"/>
      <c r="B175" s="1"/>
    </row>
    <row r="176" spans="1:2" x14ac:dyDescent="0.45">
      <c r="A176" s="1"/>
      <c r="B176" s="1"/>
    </row>
    <row r="177" spans="1:2" x14ac:dyDescent="0.45">
      <c r="A177" s="1"/>
      <c r="B177" s="1"/>
    </row>
    <row r="178" spans="1:2" x14ac:dyDescent="0.45">
      <c r="A178" s="1"/>
      <c r="B178" s="1"/>
    </row>
    <row r="179" spans="1:2" x14ac:dyDescent="0.45">
      <c r="A179" s="1"/>
      <c r="B179" s="1"/>
    </row>
    <row r="180" spans="1:2" x14ac:dyDescent="0.45">
      <c r="A180" s="1"/>
      <c r="B180" s="1"/>
    </row>
    <row r="181" spans="1:2" x14ac:dyDescent="0.45">
      <c r="A181" s="1"/>
      <c r="B181" s="1"/>
    </row>
    <row r="182" spans="1:2" x14ac:dyDescent="0.45">
      <c r="A182" s="1"/>
      <c r="B182" s="1"/>
    </row>
    <row r="183" spans="1:2" x14ac:dyDescent="0.45">
      <c r="A183" s="1"/>
      <c r="B183" s="1"/>
    </row>
    <row r="184" spans="1:2" x14ac:dyDescent="0.45">
      <c r="A184" s="1"/>
      <c r="B184" s="1"/>
    </row>
    <row r="185" spans="1:2" x14ac:dyDescent="0.45">
      <c r="A185" s="1"/>
      <c r="B185" s="1"/>
    </row>
    <row r="186" spans="1:2" x14ac:dyDescent="0.45">
      <c r="A186" s="1"/>
      <c r="B186" s="1"/>
    </row>
    <row r="187" spans="1:2" x14ac:dyDescent="0.45">
      <c r="A187" s="1"/>
      <c r="B187" s="1"/>
    </row>
    <row r="188" spans="1:2" x14ac:dyDescent="0.45">
      <c r="A188" s="1"/>
      <c r="B188" s="1"/>
    </row>
    <row r="189" spans="1:2" x14ac:dyDescent="0.45">
      <c r="A189" s="1"/>
      <c r="B189" s="1"/>
    </row>
    <row r="190" spans="1:2" x14ac:dyDescent="0.45">
      <c r="A190" s="1"/>
      <c r="B190" s="1"/>
    </row>
    <row r="191" spans="1:2" x14ac:dyDescent="0.45">
      <c r="A191" s="1"/>
      <c r="B191" s="1"/>
    </row>
    <row r="192" spans="1:2" x14ac:dyDescent="0.45">
      <c r="A192" s="1"/>
      <c r="B192" s="1"/>
    </row>
    <row r="193" spans="1:2" x14ac:dyDescent="0.45">
      <c r="A193" s="1"/>
      <c r="B193" s="1"/>
    </row>
    <row r="194" spans="1:2" x14ac:dyDescent="0.45">
      <c r="A194" s="1"/>
      <c r="B194" s="1"/>
    </row>
    <row r="195" spans="1:2" x14ac:dyDescent="0.45">
      <c r="A195" s="1"/>
      <c r="B195" s="1"/>
    </row>
    <row r="196" spans="1:2" x14ac:dyDescent="0.45">
      <c r="A196" s="1"/>
      <c r="B196" s="1"/>
    </row>
    <row r="197" spans="1:2" x14ac:dyDescent="0.45">
      <c r="A197" s="1"/>
      <c r="B197" s="1"/>
    </row>
    <row r="198" spans="1:2" x14ac:dyDescent="0.45">
      <c r="A198" s="1"/>
      <c r="B198" s="1"/>
    </row>
    <row r="199" spans="1:2" x14ac:dyDescent="0.45">
      <c r="A199" s="1"/>
      <c r="B199" s="1"/>
    </row>
    <row r="200" spans="1:2" x14ac:dyDescent="0.45">
      <c r="A200" s="1"/>
      <c r="B200" s="1"/>
    </row>
    <row r="201" spans="1:2" x14ac:dyDescent="0.45">
      <c r="A201" s="1"/>
      <c r="B201" s="1"/>
    </row>
    <row r="202" spans="1:2" x14ac:dyDescent="0.45">
      <c r="A202" s="1"/>
      <c r="B202" s="1"/>
    </row>
    <row r="203" spans="1:2" x14ac:dyDescent="0.45">
      <c r="A203" s="1"/>
      <c r="B203" s="1"/>
    </row>
    <row r="204" spans="1:2" x14ac:dyDescent="0.45">
      <c r="A204" s="1"/>
      <c r="B204" s="1"/>
    </row>
    <row r="205" spans="1:2" x14ac:dyDescent="0.45">
      <c r="A205" s="1"/>
      <c r="B205" s="1"/>
    </row>
    <row r="206" spans="1:2" x14ac:dyDescent="0.45">
      <c r="A206" s="1"/>
      <c r="B206" s="1"/>
    </row>
    <row r="207" spans="1:2" x14ac:dyDescent="0.45">
      <c r="A207" s="1"/>
      <c r="B207" s="1"/>
    </row>
    <row r="208" spans="1:2" x14ac:dyDescent="0.45">
      <c r="A208" s="1"/>
      <c r="B208" s="1"/>
    </row>
    <row r="209" spans="1:2" x14ac:dyDescent="0.45">
      <c r="A209" s="1"/>
      <c r="B209" s="1"/>
    </row>
    <row r="210" spans="1:2" x14ac:dyDescent="0.45">
      <c r="A210" s="1"/>
      <c r="B210" s="1"/>
    </row>
    <row r="211" spans="1:2" x14ac:dyDescent="0.45">
      <c r="A211" s="1"/>
      <c r="B211" s="1"/>
    </row>
    <row r="212" spans="1:2" x14ac:dyDescent="0.45">
      <c r="A212" s="1"/>
      <c r="B212" s="1"/>
    </row>
    <row r="213" spans="1:2" x14ac:dyDescent="0.45">
      <c r="A213" s="1"/>
      <c r="B213" s="1"/>
    </row>
    <row r="214" spans="1:2" x14ac:dyDescent="0.45">
      <c r="A214" s="1"/>
      <c r="B214" s="1"/>
    </row>
    <row r="215" spans="1:2" x14ac:dyDescent="0.45">
      <c r="A215" s="1"/>
      <c r="B215" s="1"/>
    </row>
    <row r="216" spans="1:2" x14ac:dyDescent="0.45">
      <c r="A216" s="1"/>
      <c r="B216" s="1"/>
    </row>
    <row r="217" spans="1:2" x14ac:dyDescent="0.45">
      <c r="A217" s="1"/>
      <c r="B217" s="1"/>
    </row>
    <row r="218" spans="1:2" x14ac:dyDescent="0.45">
      <c r="A218" s="1"/>
      <c r="B218" s="1"/>
    </row>
    <row r="219" spans="1:2" x14ac:dyDescent="0.45">
      <c r="A219" s="1"/>
      <c r="B219" s="1"/>
    </row>
    <row r="220" spans="1:2" x14ac:dyDescent="0.45">
      <c r="A220" s="1"/>
      <c r="B220" s="1"/>
    </row>
    <row r="221" spans="1:2" x14ac:dyDescent="0.45">
      <c r="A221" s="1"/>
      <c r="B221" s="1"/>
    </row>
    <row r="222" spans="1:2" x14ac:dyDescent="0.45">
      <c r="A222" s="1"/>
      <c r="B222" s="1"/>
    </row>
    <row r="223" spans="1:2" x14ac:dyDescent="0.45">
      <c r="A223" s="1"/>
      <c r="B223" s="1"/>
    </row>
    <row r="224" spans="1:2" x14ac:dyDescent="0.45">
      <c r="A224" s="1"/>
      <c r="B224" s="1"/>
    </row>
    <row r="225" spans="1:2" x14ac:dyDescent="0.45">
      <c r="A225" s="1"/>
      <c r="B225" s="1"/>
    </row>
    <row r="226" spans="1:2" x14ac:dyDescent="0.45">
      <c r="A226" s="1"/>
      <c r="B226" s="1"/>
    </row>
    <row r="227" spans="1:2" x14ac:dyDescent="0.45">
      <c r="A227" s="1"/>
      <c r="B227" s="1"/>
    </row>
    <row r="228" spans="1:2" x14ac:dyDescent="0.45">
      <c r="A228" s="1"/>
      <c r="B228" s="1"/>
    </row>
    <row r="229" spans="1:2" x14ac:dyDescent="0.45">
      <c r="A229" s="1"/>
      <c r="B229" s="1"/>
    </row>
    <row r="230" spans="1:2" x14ac:dyDescent="0.45">
      <c r="A230" s="1"/>
      <c r="B230" s="1"/>
    </row>
    <row r="231" spans="1:2" x14ac:dyDescent="0.45">
      <c r="A231" s="1"/>
      <c r="B231" s="1"/>
    </row>
    <row r="232" spans="1:2" x14ac:dyDescent="0.45">
      <c r="A232" s="1"/>
      <c r="B232" s="1"/>
    </row>
    <row r="233" spans="1:2" x14ac:dyDescent="0.45">
      <c r="A233" s="1"/>
      <c r="B233" s="1"/>
    </row>
    <row r="234" spans="1:2" x14ac:dyDescent="0.45">
      <c r="A234" s="1"/>
      <c r="B234" s="1"/>
    </row>
    <row r="235" spans="1:2" x14ac:dyDescent="0.45">
      <c r="A235" s="1"/>
      <c r="B235" s="1"/>
    </row>
    <row r="236" spans="1:2" x14ac:dyDescent="0.45">
      <c r="A236" s="1"/>
      <c r="B236" s="1"/>
    </row>
    <row r="237" spans="1:2" x14ac:dyDescent="0.45">
      <c r="A237" s="1"/>
      <c r="B237" s="1"/>
    </row>
    <row r="238" spans="1:2" x14ac:dyDescent="0.45">
      <c r="A238" s="1"/>
      <c r="B238" s="1"/>
    </row>
    <row r="239" spans="1:2" x14ac:dyDescent="0.45">
      <c r="A239" s="1"/>
      <c r="B239" s="1"/>
    </row>
    <row r="240" spans="1:2" x14ac:dyDescent="0.45">
      <c r="A240" s="1"/>
      <c r="B240" s="1"/>
    </row>
    <row r="241" spans="1:2" x14ac:dyDescent="0.45">
      <c r="A241" s="1"/>
      <c r="B241" s="1"/>
    </row>
    <row r="242" spans="1:2" x14ac:dyDescent="0.45">
      <c r="A242" s="1"/>
      <c r="B242" s="1"/>
    </row>
    <row r="243" spans="1:2" x14ac:dyDescent="0.45">
      <c r="A243" s="1"/>
      <c r="B243" s="1"/>
    </row>
    <row r="244" spans="1:2" x14ac:dyDescent="0.45">
      <c r="A244" s="1"/>
      <c r="B244" s="1"/>
    </row>
    <row r="245" spans="1:2" x14ac:dyDescent="0.45">
      <c r="A245" s="1"/>
      <c r="B245" s="1"/>
    </row>
    <row r="246" spans="1:2" x14ac:dyDescent="0.45">
      <c r="A246" s="1"/>
      <c r="B246" s="1"/>
    </row>
    <row r="247" spans="1:2" x14ac:dyDescent="0.45">
      <c r="A247" s="1"/>
      <c r="B247" s="1"/>
    </row>
    <row r="248" spans="1:2" x14ac:dyDescent="0.45">
      <c r="A248" s="1"/>
      <c r="B248" s="1"/>
    </row>
    <row r="249" spans="1:2" x14ac:dyDescent="0.45">
      <c r="A249" s="1"/>
      <c r="B249" s="1"/>
    </row>
    <row r="250" spans="1:2" x14ac:dyDescent="0.45">
      <c r="A250" s="1"/>
      <c r="B250" s="1"/>
    </row>
    <row r="251" spans="1:2" x14ac:dyDescent="0.45">
      <c r="A251" s="1"/>
      <c r="B251" s="1"/>
    </row>
    <row r="252" spans="1:2" x14ac:dyDescent="0.45">
      <c r="A252" s="1"/>
      <c r="B252" s="1"/>
    </row>
    <row r="253" spans="1:2" x14ac:dyDescent="0.45">
      <c r="A253" s="1"/>
      <c r="B253" s="1"/>
    </row>
    <row r="254" spans="1:2" x14ac:dyDescent="0.45">
      <c r="A254" s="1"/>
      <c r="B254" s="1"/>
    </row>
    <row r="255" spans="1:2" x14ac:dyDescent="0.45">
      <c r="A255" s="1"/>
      <c r="B255" s="1"/>
    </row>
    <row r="256" spans="1:2" x14ac:dyDescent="0.45">
      <c r="A256" s="1"/>
      <c r="B256" s="1"/>
    </row>
    <row r="257" spans="1:2" x14ac:dyDescent="0.45">
      <c r="A257" s="1"/>
      <c r="B257" s="1"/>
    </row>
    <row r="258" spans="1:2" x14ac:dyDescent="0.45">
      <c r="A258" s="1"/>
      <c r="B258" s="1"/>
    </row>
    <row r="259" spans="1:2" x14ac:dyDescent="0.45">
      <c r="A259" s="1"/>
      <c r="B259" s="1"/>
    </row>
    <row r="260" spans="1:2" x14ac:dyDescent="0.45">
      <c r="A260" s="1"/>
      <c r="B260" s="1"/>
    </row>
    <row r="261" spans="1:2" x14ac:dyDescent="0.45">
      <c r="A261" s="1"/>
      <c r="B261" s="1"/>
    </row>
    <row r="262" spans="1:2" x14ac:dyDescent="0.45">
      <c r="A262" s="1"/>
      <c r="B262" s="1"/>
    </row>
    <row r="263" spans="1:2" x14ac:dyDescent="0.45">
      <c r="A263" s="1"/>
      <c r="B263" s="1"/>
    </row>
    <row r="264" spans="1:2" x14ac:dyDescent="0.45">
      <c r="A264" s="1"/>
      <c r="B264" s="1"/>
    </row>
    <row r="265" spans="1:2" x14ac:dyDescent="0.45">
      <c r="A265" s="1"/>
      <c r="B265" s="1"/>
    </row>
    <row r="266" spans="1:2" x14ac:dyDescent="0.45">
      <c r="A266" s="1"/>
      <c r="B266" s="1"/>
    </row>
    <row r="267" spans="1:2" x14ac:dyDescent="0.45">
      <c r="A267" s="1"/>
      <c r="B267" s="1"/>
    </row>
    <row r="268" spans="1:2" x14ac:dyDescent="0.45">
      <c r="A268" s="1"/>
      <c r="B268" s="1"/>
    </row>
    <row r="269" spans="1:2" x14ac:dyDescent="0.45">
      <c r="A269" s="1"/>
      <c r="B269" s="1"/>
    </row>
    <row r="270" spans="1:2" x14ac:dyDescent="0.45">
      <c r="A270" s="1"/>
      <c r="B270" s="1"/>
    </row>
    <row r="271" spans="1:2" x14ac:dyDescent="0.45">
      <c r="A271" s="1"/>
      <c r="B271" s="1"/>
    </row>
    <row r="272" spans="1:2" x14ac:dyDescent="0.45">
      <c r="A272" s="1"/>
      <c r="B272" s="1"/>
    </row>
    <row r="273" spans="1:2" x14ac:dyDescent="0.45">
      <c r="A273" s="1"/>
      <c r="B273" s="1"/>
    </row>
    <row r="274" spans="1:2" x14ac:dyDescent="0.45">
      <c r="A274" s="1"/>
      <c r="B274" s="1"/>
    </row>
    <row r="275" spans="1:2" x14ac:dyDescent="0.45">
      <c r="A275" s="1"/>
      <c r="B275" s="1"/>
    </row>
    <row r="276" spans="1:2" x14ac:dyDescent="0.45">
      <c r="A276" s="1"/>
      <c r="B276" s="1"/>
    </row>
    <row r="277" spans="1:2" x14ac:dyDescent="0.45">
      <c r="A277" s="1"/>
      <c r="B277" s="1"/>
    </row>
    <row r="278" spans="1:2" x14ac:dyDescent="0.45">
      <c r="A278" s="1"/>
      <c r="B278" s="1"/>
    </row>
    <row r="279" spans="1:2" x14ac:dyDescent="0.45">
      <c r="A279" s="1"/>
      <c r="B279" s="1"/>
    </row>
    <row r="280" spans="1:2" x14ac:dyDescent="0.45">
      <c r="A280" s="1"/>
      <c r="B280" s="1"/>
    </row>
    <row r="281" spans="1:2" x14ac:dyDescent="0.45">
      <c r="A281" s="1"/>
      <c r="B281" s="1"/>
    </row>
    <row r="282" spans="1:2" x14ac:dyDescent="0.45">
      <c r="A282" s="1"/>
      <c r="B282" s="1"/>
    </row>
    <row r="283" spans="1:2" x14ac:dyDescent="0.45">
      <c r="A283" s="1"/>
      <c r="B283" s="1"/>
    </row>
    <row r="284" spans="1:2" x14ac:dyDescent="0.45">
      <c r="A284" s="1"/>
      <c r="B284" s="1"/>
    </row>
    <row r="285" spans="1:2" x14ac:dyDescent="0.45">
      <c r="A285" s="1"/>
      <c r="B285" s="1"/>
    </row>
    <row r="286" spans="1:2" x14ac:dyDescent="0.45">
      <c r="A286" s="1"/>
      <c r="B286" s="1"/>
    </row>
    <row r="287" spans="1:2" x14ac:dyDescent="0.45">
      <c r="A287" s="1"/>
      <c r="B287" s="1"/>
    </row>
    <row r="288" spans="1:2" x14ac:dyDescent="0.45">
      <c r="A288" s="1"/>
      <c r="B288" s="1"/>
    </row>
    <row r="289" spans="1:2" x14ac:dyDescent="0.45">
      <c r="A289" s="1"/>
      <c r="B289" s="1"/>
    </row>
    <row r="290" spans="1:2" x14ac:dyDescent="0.45">
      <c r="A290" s="1"/>
      <c r="B290" s="1"/>
    </row>
    <row r="291" spans="1:2" x14ac:dyDescent="0.45">
      <c r="A291" s="1"/>
      <c r="B291" s="1"/>
    </row>
    <row r="292" spans="1:2" x14ac:dyDescent="0.45">
      <c r="A292" s="1"/>
      <c r="B292" s="1"/>
    </row>
    <row r="293" spans="1:2" x14ac:dyDescent="0.45">
      <c r="A293" s="1"/>
      <c r="B293" s="1"/>
    </row>
    <row r="294" spans="1:2" x14ac:dyDescent="0.45">
      <c r="A294" s="1"/>
      <c r="B294" s="1"/>
    </row>
    <row r="295" spans="1:2" x14ac:dyDescent="0.45">
      <c r="A295" s="1"/>
      <c r="B295" s="1"/>
    </row>
    <row r="296" spans="1:2" x14ac:dyDescent="0.45">
      <c r="A296" s="1"/>
      <c r="B296" s="1"/>
    </row>
    <row r="297" spans="1:2" x14ac:dyDescent="0.45">
      <c r="A297" s="1"/>
      <c r="B297" s="1"/>
    </row>
    <row r="298" spans="1:2" x14ac:dyDescent="0.45">
      <c r="A298" s="1"/>
      <c r="B298" s="1"/>
    </row>
    <row r="299" spans="1:2" x14ac:dyDescent="0.45">
      <c r="A299" s="1"/>
      <c r="B299" s="1"/>
    </row>
    <row r="300" spans="1:2" x14ac:dyDescent="0.45">
      <c r="A300" s="1"/>
      <c r="B300" s="1"/>
    </row>
    <row r="301" spans="1:2" x14ac:dyDescent="0.45">
      <c r="A301" s="1"/>
      <c r="B301" s="1"/>
    </row>
  </sheetData>
  <mergeCells count="1">
    <mergeCell ref="D8:D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6440-A570-4965-8AD0-6F6B05643516}">
  <sheetPr codeName="Лист3"/>
  <dimension ref="A1:AV1048576"/>
  <sheetViews>
    <sheetView zoomScale="70" zoomScaleNormal="70" workbookViewId="0">
      <selection activeCell="Q4" sqref="Q4"/>
    </sheetView>
  </sheetViews>
  <sheetFormatPr defaultRowHeight="14.25" x14ac:dyDescent="0.45"/>
  <cols>
    <col min="1" max="1" width="9.06640625" style="2"/>
    <col min="4" max="4" width="9.06640625" customWidth="1"/>
    <col min="17" max="18" width="9.06640625" style="2"/>
    <col min="19" max="19" width="11.73046875" style="2" bestFit="1" customWidth="1"/>
    <col min="20" max="33" width="9.06640625" style="2"/>
  </cols>
  <sheetData>
    <row r="1" spans="1:48" x14ac:dyDescent="0.45">
      <c r="S1" s="2">
        <f>CORREL($Q$4:$Q$303,S4:S303)</f>
        <v>-3.1988354872457853E-2</v>
      </c>
      <c r="T1" s="2">
        <f t="shared" ref="T1:AG1" si="0">CORREL($Q$4:$Q$303,T4:T303)</f>
        <v>-3.0426632726997145E-2</v>
      </c>
      <c r="U1" s="2">
        <f t="shared" si="0"/>
        <v>-4.9195742628947541E-2</v>
      </c>
      <c r="V1" s="2">
        <f t="shared" si="0"/>
        <v>4.2372882773105656E-3</v>
      </c>
      <c r="W1" s="2">
        <f t="shared" si="0"/>
        <v>2.9058435421817096E-2</v>
      </c>
      <c r="X1" s="2">
        <f t="shared" si="0"/>
        <v>6.8666815576322232E-2</v>
      </c>
      <c r="Y1" s="2">
        <f t="shared" si="0"/>
        <v>1.1581391236112614E-2</v>
      </c>
      <c r="Z1" s="2">
        <f t="shared" si="0"/>
        <v>5.8080888573985655E-2</v>
      </c>
      <c r="AA1" s="2">
        <f t="shared" si="0"/>
        <v>7.0174641794295264E-2</v>
      </c>
      <c r="AB1" s="2">
        <f t="shared" si="0"/>
        <v>-4.1811578677852304E-2</v>
      </c>
      <c r="AC1" s="2">
        <f t="shared" si="0"/>
        <v>1.087997281537898E-2</v>
      </c>
      <c r="AD1" s="2">
        <f t="shared" si="0"/>
        <v>-4.5146029319797151E-3</v>
      </c>
      <c r="AE1" s="2">
        <f t="shared" si="0"/>
        <v>-2.4007167643684633E-2</v>
      </c>
      <c r="AF1" s="2">
        <f t="shared" si="0"/>
        <v>-3.5223292687641343E-2</v>
      </c>
      <c r="AG1" s="2">
        <f t="shared" si="0"/>
        <v>7.7740053206234007E-3</v>
      </c>
      <c r="AJ1">
        <f>AVERAGE(S1:AG1)</f>
        <v>2.8857377897523531E-3</v>
      </c>
    </row>
    <row r="2" spans="1:48" x14ac:dyDescent="0.45"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J2">
        <f>MEDIAN(S1:AG1)</f>
        <v>4.2372882773105656E-3</v>
      </c>
    </row>
    <row r="3" spans="1:48" x14ac:dyDescent="0.45">
      <c r="R3" s="2" t="s">
        <v>12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  <c r="Z3">
        <v>8</v>
      </c>
      <c r="AA3">
        <v>9</v>
      </c>
      <c r="AB3">
        <v>10</v>
      </c>
      <c r="AC3">
        <v>11</v>
      </c>
      <c r="AD3">
        <v>12</v>
      </c>
      <c r="AE3">
        <v>13</v>
      </c>
      <c r="AF3">
        <v>14</v>
      </c>
      <c r="AG3">
        <v>15</v>
      </c>
    </row>
    <row r="4" spans="1:48" x14ac:dyDescent="0.45">
      <c r="A4" s="8">
        <v>107.28158389327129</v>
      </c>
      <c r="Q4" s="9">
        <v>107.28158389327129</v>
      </c>
      <c r="R4" s="1">
        <f>Q4-$F$30</f>
        <v>-169.19661846369237</v>
      </c>
      <c r="S4" s="1">
        <f>Q5</f>
        <v>127.82735370530034</v>
      </c>
      <c r="T4" s="1">
        <f>S5</f>
        <v>408.3546686385011</v>
      </c>
      <c r="U4" s="1">
        <f t="shared" ref="U4:AG4" si="1">T5</f>
        <v>98.890546210211852</v>
      </c>
      <c r="V4" s="1">
        <f t="shared" si="1"/>
        <v>701.75957763374743</v>
      </c>
      <c r="W4" s="1">
        <f t="shared" si="1"/>
        <v>271.81439391360277</v>
      </c>
      <c r="X4" s="1">
        <f t="shared" si="1"/>
        <v>320.49549343299248</v>
      </c>
      <c r="Y4" s="1">
        <f t="shared" si="1"/>
        <v>248.02335172534512</v>
      </c>
      <c r="Z4" s="1">
        <f t="shared" si="1"/>
        <v>224.91195357298182</v>
      </c>
      <c r="AA4" s="1">
        <f t="shared" si="1"/>
        <v>454.21521094440101</v>
      </c>
      <c r="AB4" s="1">
        <f t="shared" si="1"/>
        <v>254.47077882330547</v>
      </c>
      <c r="AC4" s="1">
        <f t="shared" si="1"/>
        <v>216.90657928262164</v>
      </c>
      <c r="AD4" s="1">
        <f t="shared" si="1"/>
        <v>797.62537343667645</v>
      </c>
      <c r="AE4" s="1">
        <f t="shared" si="1"/>
        <v>630.35309829085122</v>
      </c>
      <c r="AF4" s="1">
        <f t="shared" si="1"/>
        <v>187.66933410519863</v>
      </c>
      <c r="AG4" s="1">
        <f t="shared" si="1"/>
        <v>81.610533594883279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45">
      <c r="A5" s="8">
        <v>127.82735370530034</v>
      </c>
      <c r="Q5" s="9">
        <v>127.82735370530034</v>
      </c>
      <c r="R5" s="1">
        <f t="shared" ref="R5:R68" si="2">Q5-$F$30</f>
        <v>-148.65084865166332</v>
      </c>
      <c r="S5" s="1">
        <f>Q6</f>
        <v>408.3546686385011</v>
      </c>
      <c r="T5" s="1">
        <f t="shared" ref="T5:AG68" si="3">S6</f>
        <v>98.890546210211852</v>
      </c>
      <c r="U5" s="1">
        <f t="shared" si="3"/>
        <v>701.75957763374743</v>
      </c>
      <c r="V5" s="1">
        <f t="shared" si="3"/>
        <v>271.81439391360277</v>
      </c>
      <c r="W5" s="1">
        <f t="shared" si="3"/>
        <v>320.49549343299248</v>
      </c>
      <c r="X5" s="1">
        <f t="shared" si="3"/>
        <v>248.02335172534512</v>
      </c>
      <c r="Y5" s="1">
        <f t="shared" si="3"/>
        <v>224.91195357298182</v>
      </c>
      <c r="Z5" s="1">
        <f t="shared" si="3"/>
        <v>454.21521094440101</v>
      </c>
      <c r="AA5" s="1">
        <f t="shared" si="3"/>
        <v>254.47077882330547</v>
      </c>
      <c r="AB5" s="1">
        <f t="shared" si="3"/>
        <v>216.90657928262164</v>
      </c>
      <c r="AC5" s="1">
        <f t="shared" si="3"/>
        <v>797.62537343667645</v>
      </c>
      <c r="AD5" s="1">
        <f t="shared" si="3"/>
        <v>630.35309829085122</v>
      </c>
      <c r="AE5" s="1">
        <f t="shared" si="3"/>
        <v>187.66933410519863</v>
      </c>
      <c r="AF5" s="1">
        <f t="shared" si="3"/>
        <v>81.610533594883279</v>
      </c>
      <c r="AG5" s="1">
        <f t="shared" si="3"/>
        <v>283.24936593557317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45">
      <c r="A6" s="8">
        <v>408.3546686385011</v>
      </c>
      <c r="Q6" s="9">
        <v>408.3546686385011</v>
      </c>
      <c r="R6" s="1">
        <f t="shared" si="2"/>
        <v>131.87646628153743</v>
      </c>
      <c r="S6" s="1">
        <f t="shared" ref="S6:S69" si="4">Q7</f>
        <v>98.890546210211852</v>
      </c>
      <c r="T6" s="1">
        <f t="shared" si="3"/>
        <v>701.75957763374743</v>
      </c>
      <c r="U6" s="1">
        <f t="shared" si="3"/>
        <v>271.81439391360277</v>
      </c>
      <c r="V6" s="1">
        <f t="shared" si="3"/>
        <v>320.49549343299248</v>
      </c>
      <c r="W6" s="1">
        <f t="shared" si="3"/>
        <v>248.02335172534512</v>
      </c>
      <c r="X6" s="1">
        <f t="shared" si="3"/>
        <v>224.91195357298182</v>
      </c>
      <c r="Y6" s="1">
        <f t="shared" si="3"/>
        <v>454.21521094440101</v>
      </c>
      <c r="Z6" s="1">
        <f t="shared" si="3"/>
        <v>254.47077882330547</v>
      </c>
      <c r="AA6" s="1">
        <f t="shared" si="3"/>
        <v>216.90657928262164</v>
      </c>
      <c r="AB6" s="1">
        <f t="shared" si="3"/>
        <v>797.62537343667645</v>
      </c>
      <c r="AC6" s="1">
        <f t="shared" si="3"/>
        <v>630.35309829085122</v>
      </c>
      <c r="AD6" s="1">
        <f t="shared" si="3"/>
        <v>187.66933410519863</v>
      </c>
      <c r="AE6" s="1">
        <f t="shared" si="3"/>
        <v>81.610533594883279</v>
      </c>
      <c r="AF6" s="1">
        <f t="shared" si="3"/>
        <v>283.24936593557317</v>
      </c>
      <c r="AG6" s="1">
        <f t="shared" si="3"/>
        <v>151.51033225013779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x14ac:dyDescent="0.45">
      <c r="A7" s="8">
        <v>98.890546210211852</v>
      </c>
      <c r="Q7" s="9">
        <v>98.890546210211852</v>
      </c>
      <c r="R7" s="1">
        <f t="shared" si="2"/>
        <v>-177.58765614675181</v>
      </c>
      <c r="S7" s="1">
        <f t="shared" si="4"/>
        <v>701.75957763374743</v>
      </c>
      <c r="T7" s="1">
        <f t="shared" si="3"/>
        <v>271.81439391360277</v>
      </c>
      <c r="U7" s="1">
        <f t="shared" si="3"/>
        <v>320.49549343299248</v>
      </c>
      <c r="V7" s="1">
        <f t="shared" si="3"/>
        <v>248.02335172534512</v>
      </c>
      <c r="W7" s="1">
        <f t="shared" si="3"/>
        <v>224.91195357298182</v>
      </c>
      <c r="X7" s="1">
        <f t="shared" si="3"/>
        <v>454.21521094440101</v>
      </c>
      <c r="Y7" s="1">
        <f t="shared" si="3"/>
        <v>254.47077882330547</v>
      </c>
      <c r="Z7" s="1">
        <f t="shared" si="3"/>
        <v>216.90657928262164</v>
      </c>
      <c r="AA7" s="1">
        <f t="shared" si="3"/>
        <v>797.62537343667645</v>
      </c>
      <c r="AB7" s="1">
        <f t="shared" si="3"/>
        <v>630.35309829085122</v>
      </c>
      <c r="AC7" s="1">
        <f t="shared" si="3"/>
        <v>187.66933410519863</v>
      </c>
      <c r="AD7" s="1">
        <f t="shared" si="3"/>
        <v>81.610533594883279</v>
      </c>
      <c r="AE7" s="1">
        <f t="shared" si="3"/>
        <v>283.24936593557317</v>
      </c>
      <c r="AF7" s="1">
        <f t="shared" si="3"/>
        <v>151.51033225013779</v>
      </c>
      <c r="AG7" s="1">
        <f t="shared" si="3"/>
        <v>407.89408014857736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45">
      <c r="A8" s="8">
        <v>701.75957763374743</v>
      </c>
      <c r="Q8" s="9">
        <v>701.75957763374743</v>
      </c>
      <c r="R8" s="1">
        <f t="shared" si="2"/>
        <v>425.28137527678376</v>
      </c>
      <c r="S8" s="1">
        <f t="shared" si="4"/>
        <v>271.81439391360277</v>
      </c>
      <c r="T8" s="1">
        <f t="shared" si="3"/>
        <v>320.49549343299248</v>
      </c>
      <c r="U8" s="1">
        <f t="shared" si="3"/>
        <v>248.02335172534512</v>
      </c>
      <c r="V8" s="1">
        <f t="shared" si="3"/>
        <v>224.91195357298182</v>
      </c>
      <c r="W8" s="1">
        <f t="shared" si="3"/>
        <v>454.21521094440101</v>
      </c>
      <c r="X8" s="1">
        <f t="shared" si="3"/>
        <v>254.47077882330547</v>
      </c>
      <c r="Y8" s="1">
        <f t="shared" si="3"/>
        <v>216.90657928262164</v>
      </c>
      <c r="Z8" s="1">
        <f t="shared" si="3"/>
        <v>797.62537343667645</v>
      </c>
      <c r="AA8" s="1">
        <f t="shared" si="3"/>
        <v>630.35309829085122</v>
      </c>
      <c r="AB8" s="1">
        <f t="shared" si="3"/>
        <v>187.66933410519863</v>
      </c>
      <c r="AC8" s="1">
        <f t="shared" si="3"/>
        <v>81.610533594883279</v>
      </c>
      <c r="AD8" s="1">
        <f t="shared" si="3"/>
        <v>283.24936593557317</v>
      </c>
      <c r="AE8" s="1">
        <f t="shared" si="3"/>
        <v>151.51033225013779</v>
      </c>
      <c r="AF8" s="1">
        <f t="shared" si="3"/>
        <v>407.89408014857736</v>
      </c>
      <c r="AG8" s="1">
        <f t="shared" si="3"/>
        <v>196.50012539926712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ht="14.25" customHeight="1" x14ac:dyDescent="0.45">
      <c r="A9" s="8">
        <v>271.81439391360277</v>
      </c>
      <c r="Q9" s="9">
        <v>271.81439391360277</v>
      </c>
      <c r="R9" s="1">
        <f t="shared" si="2"/>
        <v>-4.6638084433608924</v>
      </c>
      <c r="S9" s="1">
        <f t="shared" si="4"/>
        <v>320.49549343299248</v>
      </c>
      <c r="T9" s="1">
        <f t="shared" si="3"/>
        <v>248.02335172534512</v>
      </c>
      <c r="U9" s="1">
        <f t="shared" si="3"/>
        <v>224.91195357298182</v>
      </c>
      <c r="V9" s="1">
        <f t="shared" si="3"/>
        <v>454.21521094440101</v>
      </c>
      <c r="W9" s="1">
        <f t="shared" si="3"/>
        <v>254.47077882330547</v>
      </c>
      <c r="X9" s="1">
        <f t="shared" si="3"/>
        <v>216.90657928262164</v>
      </c>
      <c r="Y9" s="1">
        <f t="shared" si="3"/>
        <v>797.62537343667645</v>
      </c>
      <c r="Z9" s="1">
        <f t="shared" si="3"/>
        <v>630.35309829085122</v>
      </c>
      <c r="AA9" s="1">
        <f t="shared" si="3"/>
        <v>187.66933410519863</v>
      </c>
      <c r="AB9" s="1">
        <f t="shared" si="3"/>
        <v>81.610533594883279</v>
      </c>
      <c r="AC9" s="1">
        <f t="shared" si="3"/>
        <v>283.24936593557317</v>
      </c>
      <c r="AD9" s="1">
        <f t="shared" si="3"/>
        <v>151.51033225013779</v>
      </c>
      <c r="AE9" s="1">
        <f t="shared" si="3"/>
        <v>407.89408014857736</v>
      </c>
      <c r="AF9" s="1">
        <f t="shared" si="3"/>
        <v>196.50012539926712</v>
      </c>
      <c r="AG9" s="1">
        <f t="shared" si="3"/>
        <v>226.10190058519862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x14ac:dyDescent="0.45">
      <c r="A10" s="8">
        <v>320.49549343299248</v>
      </c>
      <c r="C10" s="7"/>
      <c r="Q10" s="9">
        <v>320.49549343299248</v>
      </c>
      <c r="R10" s="1">
        <f t="shared" si="2"/>
        <v>44.017291076028812</v>
      </c>
      <c r="S10" s="1">
        <f t="shared" si="4"/>
        <v>248.02335172534512</v>
      </c>
      <c r="T10" s="1">
        <f t="shared" si="3"/>
        <v>224.91195357298182</v>
      </c>
      <c r="U10" s="1">
        <f t="shared" si="3"/>
        <v>454.21521094440101</v>
      </c>
      <c r="V10" s="1">
        <f t="shared" si="3"/>
        <v>254.47077882330547</v>
      </c>
      <c r="W10" s="1">
        <f t="shared" si="3"/>
        <v>216.90657928262164</v>
      </c>
      <c r="X10" s="1">
        <f t="shared" si="3"/>
        <v>797.62537343667645</v>
      </c>
      <c r="Y10" s="1">
        <f t="shared" si="3"/>
        <v>630.35309829085122</v>
      </c>
      <c r="Z10" s="1">
        <f t="shared" si="3"/>
        <v>187.66933410519863</v>
      </c>
      <c r="AA10" s="1">
        <f t="shared" si="3"/>
        <v>81.610533594883279</v>
      </c>
      <c r="AB10" s="1">
        <f t="shared" si="3"/>
        <v>283.24936593557317</v>
      </c>
      <c r="AC10" s="1">
        <f t="shared" si="3"/>
        <v>151.51033225013779</v>
      </c>
      <c r="AD10" s="1">
        <f t="shared" si="3"/>
        <v>407.89408014857736</v>
      </c>
      <c r="AE10" s="1">
        <f t="shared" si="3"/>
        <v>196.50012539926712</v>
      </c>
      <c r="AF10" s="1">
        <f t="shared" si="3"/>
        <v>226.10190058519862</v>
      </c>
      <c r="AG10" s="1">
        <f t="shared" si="3"/>
        <v>296.82006676145301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x14ac:dyDescent="0.45">
      <c r="A11" s="8">
        <v>248.02335172534512</v>
      </c>
      <c r="C11" s="7"/>
      <c r="Q11" s="9">
        <v>248.02335172534512</v>
      </c>
      <c r="R11" s="1">
        <f t="shared" si="2"/>
        <v>-28.454850631618541</v>
      </c>
      <c r="S11" s="1">
        <f t="shared" si="4"/>
        <v>224.91195357298182</v>
      </c>
      <c r="T11" s="1">
        <f t="shared" si="3"/>
        <v>454.21521094440101</v>
      </c>
      <c r="U11" s="1">
        <f t="shared" si="3"/>
        <v>254.47077882330547</v>
      </c>
      <c r="V11" s="1">
        <f t="shared" si="3"/>
        <v>216.90657928262164</v>
      </c>
      <c r="W11" s="1">
        <f t="shared" si="3"/>
        <v>797.62537343667645</v>
      </c>
      <c r="X11" s="1">
        <f t="shared" si="3"/>
        <v>630.35309829085122</v>
      </c>
      <c r="Y11" s="1">
        <f t="shared" si="3"/>
        <v>187.66933410519863</v>
      </c>
      <c r="Z11" s="1">
        <f t="shared" si="3"/>
        <v>81.610533594883279</v>
      </c>
      <c r="AA11" s="1">
        <f t="shared" si="3"/>
        <v>283.24936593557317</v>
      </c>
      <c r="AB11" s="1">
        <f t="shared" si="3"/>
        <v>151.51033225013779</v>
      </c>
      <c r="AC11" s="1">
        <f t="shared" si="3"/>
        <v>407.89408014857736</v>
      </c>
      <c r="AD11" s="1">
        <f t="shared" si="3"/>
        <v>196.50012539926712</v>
      </c>
      <c r="AE11" s="1">
        <f t="shared" si="3"/>
        <v>226.10190058519862</v>
      </c>
      <c r="AF11" s="1">
        <f t="shared" si="3"/>
        <v>296.82006676145301</v>
      </c>
      <c r="AG11" s="1">
        <f t="shared" si="3"/>
        <v>365.89967866417624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x14ac:dyDescent="0.45">
      <c r="A12" s="8">
        <v>224.91195357298182</v>
      </c>
      <c r="C12" s="7"/>
      <c r="Q12" s="9">
        <v>224.91195357298182</v>
      </c>
      <c r="R12" s="1">
        <f t="shared" si="2"/>
        <v>-51.566248783981848</v>
      </c>
      <c r="S12" s="1">
        <f t="shared" si="4"/>
        <v>454.21521094440101</v>
      </c>
      <c r="T12" s="1">
        <f t="shared" si="3"/>
        <v>254.47077882330547</v>
      </c>
      <c r="U12" s="1">
        <f t="shared" si="3"/>
        <v>216.90657928262164</v>
      </c>
      <c r="V12" s="1">
        <f t="shared" si="3"/>
        <v>797.62537343667645</v>
      </c>
      <c r="W12" s="1">
        <f t="shared" si="3"/>
        <v>630.35309829085122</v>
      </c>
      <c r="X12" s="1">
        <f t="shared" si="3"/>
        <v>187.66933410519863</v>
      </c>
      <c r="Y12" s="1">
        <f t="shared" si="3"/>
        <v>81.610533594883279</v>
      </c>
      <c r="Z12" s="1">
        <f t="shared" si="3"/>
        <v>283.24936593557317</v>
      </c>
      <c r="AA12" s="1">
        <f t="shared" si="3"/>
        <v>151.51033225013779</v>
      </c>
      <c r="AB12" s="1">
        <f t="shared" si="3"/>
        <v>407.89408014857736</v>
      </c>
      <c r="AC12" s="1">
        <f t="shared" si="3"/>
        <v>196.50012539926712</v>
      </c>
      <c r="AD12" s="1">
        <f t="shared" si="3"/>
        <v>226.10190058519862</v>
      </c>
      <c r="AE12" s="1">
        <f t="shared" si="3"/>
        <v>296.82006676145301</v>
      </c>
      <c r="AF12" s="1">
        <f t="shared" si="3"/>
        <v>365.89967866417624</v>
      </c>
      <c r="AG12" s="1">
        <f t="shared" si="3"/>
        <v>126.08793960916096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x14ac:dyDescent="0.45">
      <c r="A13" s="8">
        <v>454.21521094440101</v>
      </c>
      <c r="Q13" s="9">
        <v>454.21521094440101</v>
      </c>
      <c r="R13" s="1">
        <f t="shared" si="2"/>
        <v>177.73700858743734</v>
      </c>
      <c r="S13" s="1">
        <f t="shared" si="4"/>
        <v>254.47077882330547</v>
      </c>
      <c r="T13" s="1">
        <f t="shared" si="3"/>
        <v>216.90657928262164</v>
      </c>
      <c r="U13" s="1">
        <f t="shared" si="3"/>
        <v>797.62537343667645</v>
      </c>
      <c r="V13" s="1">
        <f t="shared" si="3"/>
        <v>630.35309829085122</v>
      </c>
      <c r="W13" s="1">
        <f t="shared" si="3"/>
        <v>187.66933410519863</v>
      </c>
      <c r="X13" s="1">
        <f t="shared" si="3"/>
        <v>81.610533594883279</v>
      </c>
      <c r="Y13" s="1">
        <f t="shared" si="3"/>
        <v>283.24936593557317</v>
      </c>
      <c r="Z13" s="1">
        <f t="shared" si="3"/>
        <v>151.51033225013779</v>
      </c>
      <c r="AA13" s="1">
        <f t="shared" si="3"/>
        <v>407.89408014857736</v>
      </c>
      <c r="AB13" s="1">
        <f t="shared" si="3"/>
        <v>196.50012539926712</v>
      </c>
      <c r="AC13" s="1">
        <f t="shared" si="3"/>
        <v>226.10190058519862</v>
      </c>
      <c r="AD13" s="1">
        <f t="shared" si="3"/>
        <v>296.82006676145301</v>
      </c>
      <c r="AE13" s="1">
        <f t="shared" si="3"/>
        <v>365.89967866417624</v>
      </c>
      <c r="AF13" s="1">
        <f t="shared" si="3"/>
        <v>126.08793960916096</v>
      </c>
      <c r="AG13" s="1">
        <f t="shared" si="3"/>
        <v>158.17331398046889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45">
      <c r="A14" s="8">
        <v>254.47077882330547</v>
      </c>
      <c r="Q14" s="9">
        <v>254.47077882330547</v>
      </c>
      <c r="R14" s="1">
        <f t="shared" si="2"/>
        <v>-22.007423533658198</v>
      </c>
      <c r="S14" s="1">
        <f t="shared" si="4"/>
        <v>216.90657928262164</v>
      </c>
      <c r="T14" s="1">
        <f t="shared" si="3"/>
        <v>797.62537343667645</v>
      </c>
      <c r="U14" s="1">
        <f t="shared" si="3"/>
        <v>630.35309829085122</v>
      </c>
      <c r="V14" s="1">
        <f t="shared" si="3"/>
        <v>187.66933410519863</v>
      </c>
      <c r="W14" s="1">
        <f t="shared" si="3"/>
        <v>81.610533594883279</v>
      </c>
      <c r="X14" s="1">
        <f t="shared" si="3"/>
        <v>283.24936593557317</v>
      </c>
      <c r="Y14" s="1">
        <f t="shared" si="3"/>
        <v>151.51033225013779</v>
      </c>
      <c r="Z14" s="1">
        <f t="shared" si="3"/>
        <v>407.89408014857736</v>
      </c>
      <c r="AA14" s="1">
        <f t="shared" si="3"/>
        <v>196.50012539926712</v>
      </c>
      <c r="AB14" s="1">
        <f t="shared" si="3"/>
        <v>226.10190058519862</v>
      </c>
      <c r="AC14" s="1">
        <f t="shared" si="3"/>
        <v>296.82006676145301</v>
      </c>
      <c r="AD14" s="1">
        <f t="shared" si="3"/>
        <v>365.89967866417624</v>
      </c>
      <c r="AE14" s="1">
        <f t="shared" si="3"/>
        <v>126.08793960916096</v>
      </c>
      <c r="AF14" s="1">
        <f t="shared" si="3"/>
        <v>158.17331398046889</v>
      </c>
      <c r="AG14" s="1">
        <f t="shared" si="3"/>
        <v>169.31814511084991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x14ac:dyDescent="0.45">
      <c r="A15" s="8">
        <v>216.90657928262164</v>
      </c>
      <c r="Q15" s="9">
        <v>216.90657928262164</v>
      </c>
      <c r="R15" s="1">
        <f t="shared" si="2"/>
        <v>-59.571623074342028</v>
      </c>
      <c r="S15" s="1">
        <f t="shared" si="4"/>
        <v>797.62537343667645</v>
      </c>
      <c r="T15" s="1">
        <f t="shared" si="3"/>
        <v>630.35309829085122</v>
      </c>
      <c r="U15" s="1">
        <f t="shared" si="3"/>
        <v>187.66933410519863</v>
      </c>
      <c r="V15" s="1">
        <f t="shared" si="3"/>
        <v>81.610533594883279</v>
      </c>
      <c r="W15" s="1">
        <f t="shared" si="3"/>
        <v>283.24936593557317</v>
      </c>
      <c r="X15" s="1">
        <f t="shared" si="3"/>
        <v>151.51033225013779</v>
      </c>
      <c r="Y15" s="1">
        <f t="shared" si="3"/>
        <v>407.89408014857736</v>
      </c>
      <c r="Z15" s="1">
        <f t="shared" si="3"/>
        <v>196.50012539926712</v>
      </c>
      <c r="AA15" s="1">
        <f t="shared" si="3"/>
        <v>226.10190058519862</v>
      </c>
      <c r="AB15" s="1">
        <f t="shared" si="3"/>
        <v>296.82006676145301</v>
      </c>
      <c r="AC15" s="1">
        <f t="shared" si="3"/>
        <v>365.89967866417624</v>
      </c>
      <c r="AD15" s="1">
        <f t="shared" si="3"/>
        <v>126.08793960916096</v>
      </c>
      <c r="AE15" s="1">
        <f t="shared" si="3"/>
        <v>158.17331398046889</v>
      </c>
      <c r="AF15" s="1">
        <f t="shared" si="3"/>
        <v>169.31814511084991</v>
      </c>
      <c r="AG15" s="1">
        <f t="shared" si="3"/>
        <v>356.99176152030975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x14ac:dyDescent="0.45">
      <c r="A16" s="8">
        <v>797.62537343667645</v>
      </c>
      <c r="Q16" s="9">
        <v>797.62537343667645</v>
      </c>
      <c r="R16" s="1">
        <f t="shared" si="2"/>
        <v>521.14717107971273</v>
      </c>
      <c r="S16" s="1">
        <f t="shared" si="4"/>
        <v>630.35309829085122</v>
      </c>
      <c r="T16" s="1">
        <f t="shared" si="3"/>
        <v>187.66933410519863</v>
      </c>
      <c r="U16" s="1">
        <f t="shared" si="3"/>
        <v>81.610533594883279</v>
      </c>
      <c r="V16" s="1">
        <f t="shared" si="3"/>
        <v>283.24936593557317</v>
      </c>
      <c r="W16" s="1">
        <f t="shared" si="3"/>
        <v>151.51033225013779</v>
      </c>
      <c r="X16" s="1">
        <f t="shared" si="3"/>
        <v>407.89408014857736</v>
      </c>
      <c r="Y16" s="1">
        <f t="shared" si="3"/>
        <v>196.50012539926712</v>
      </c>
      <c r="Z16" s="1">
        <f t="shared" si="3"/>
        <v>226.10190058519862</v>
      </c>
      <c r="AA16" s="1">
        <f t="shared" si="3"/>
        <v>296.82006676145301</v>
      </c>
      <c r="AB16" s="1">
        <f t="shared" si="3"/>
        <v>365.89967866417624</v>
      </c>
      <c r="AC16" s="1">
        <f t="shared" si="3"/>
        <v>126.08793960916096</v>
      </c>
      <c r="AD16" s="1">
        <f t="shared" si="3"/>
        <v>158.17331398046889</v>
      </c>
      <c r="AE16" s="1">
        <f t="shared" si="3"/>
        <v>169.31814511084991</v>
      </c>
      <c r="AF16" s="1">
        <f t="shared" si="3"/>
        <v>356.99176152030975</v>
      </c>
      <c r="AG16" s="1">
        <f t="shared" si="3"/>
        <v>51.531820594945302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x14ac:dyDescent="0.45">
      <c r="A17" s="8">
        <v>630.35309829085122</v>
      </c>
      <c r="Q17" s="9">
        <v>630.35309829085122</v>
      </c>
      <c r="R17" s="1">
        <f t="shared" si="2"/>
        <v>353.87489593388756</v>
      </c>
      <c r="S17" s="1">
        <f t="shared" si="4"/>
        <v>187.66933410519863</v>
      </c>
      <c r="T17" s="1">
        <f t="shared" si="3"/>
        <v>81.610533594883279</v>
      </c>
      <c r="U17" s="1">
        <f t="shared" si="3"/>
        <v>283.24936593557317</v>
      </c>
      <c r="V17" s="1">
        <f t="shared" si="3"/>
        <v>151.51033225013779</v>
      </c>
      <c r="W17" s="1">
        <f t="shared" si="3"/>
        <v>407.89408014857736</v>
      </c>
      <c r="X17" s="1">
        <f t="shared" si="3"/>
        <v>196.50012539926712</v>
      </c>
      <c r="Y17" s="1">
        <f t="shared" si="3"/>
        <v>226.10190058519862</v>
      </c>
      <c r="Z17" s="1">
        <f t="shared" si="3"/>
        <v>296.82006676145301</v>
      </c>
      <c r="AA17" s="1">
        <f t="shared" si="3"/>
        <v>365.89967866417624</v>
      </c>
      <c r="AB17" s="1">
        <f t="shared" si="3"/>
        <v>126.08793960916096</v>
      </c>
      <c r="AC17" s="1">
        <f t="shared" si="3"/>
        <v>158.17331398046889</v>
      </c>
      <c r="AD17" s="1">
        <f t="shared" si="3"/>
        <v>169.31814511084991</v>
      </c>
      <c r="AE17" s="1">
        <f t="shared" si="3"/>
        <v>356.99176152030975</v>
      </c>
      <c r="AF17" s="1">
        <f t="shared" si="3"/>
        <v>51.531820594945302</v>
      </c>
      <c r="AG17" s="1">
        <f t="shared" si="3"/>
        <v>138.94007100937398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x14ac:dyDescent="0.45">
      <c r="A18" s="8">
        <v>187.66933410519863</v>
      </c>
      <c r="Q18" s="9">
        <v>187.66933410519863</v>
      </c>
      <c r="R18" s="1">
        <f t="shared" si="2"/>
        <v>-88.808868251765034</v>
      </c>
      <c r="S18" s="1">
        <f t="shared" si="4"/>
        <v>81.610533594883279</v>
      </c>
      <c r="T18" s="1">
        <f t="shared" si="3"/>
        <v>283.24936593557317</v>
      </c>
      <c r="U18" s="1">
        <f t="shared" si="3"/>
        <v>151.51033225013779</v>
      </c>
      <c r="V18" s="1">
        <f t="shared" si="3"/>
        <v>407.89408014857736</v>
      </c>
      <c r="W18" s="1">
        <f t="shared" si="3"/>
        <v>196.50012539926712</v>
      </c>
      <c r="X18" s="1">
        <f t="shared" si="3"/>
        <v>226.10190058519862</v>
      </c>
      <c r="Y18" s="1">
        <f t="shared" si="3"/>
        <v>296.82006676145301</v>
      </c>
      <c r="Z18" s="1">
        <f t="shared" si="3"/>
        <v>365.89967866417624</v>
      </c>
      <c r="AA18" s="1">
        <f t="shared" si="3"/>
        <v>126.08793960916096</v>
      </c>
      <c r="AB18" s="1">
        <f t="shared" si="3"/>
        <v>158.17331398046889</v>
      </c>
      <c r="AC18" s="1">
        <f t="shared" si="3"/>
        <v>169.31814511084991</v>
      </c>
      <c r="AD18" s="1">
        <f t="shared" si="3"/>
        <v>356.99176152030975</v>
      </c>
      <c r="AE18" s="1">
        <f t="shared" si="3"/>
        <v>51.531820594945302</v>
      </c>
      <c r="AF18" s="1">
        <f t="shared" si="3"/>
        <v>138.94007100937398</v>
      </c>
      <c r="AG18" s="1">
        <f t="shared" si="3"/>
        <v>122.36436339055496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x14ac:dyDescent="0.45">
      <c r="A19" s="8">
        <v>81.610533594883279</v>
      </c>
      <c r="Q19" s="9">
        <v>81.610533594883279</v>
      </c>
      <c r="R19" s="1">
        <f t="shared" si="2"/>
        <v>-194.86766876208037</v>
      </c>
      <c r="S19" s="1">
        <f t="shared" si="4"/>
        <v>283.24936593557317</v>
      </c>
      <c r="T19" s="1">
        <f t="shared" si="3"/>
        <v>151.51033225013779</v>
      </c>
      <c r="U19" s="1">
        <f t="shared" si="3"/>
        <v>407.89408014857736</v>
      </c>
      <c r="V19" s="1">
        <f t="shared" si="3"/>
        <v>196.50012539926712</v>
      </c>
      <c r="W19" s="1">
        <f t="shared" si="3"/>
        <v>226.10190058519862</v>
      </c>
      <c r="X19" s="1">
        <f t="shared" si="3"/>
        <v>296.82006676145301</v>
      </c>
      <c r="Y19" s="1">
        <f t="shared" si="3"/>
        <v>365.89967866417624</v>
      </c>
      <c r="Z19" s="1">
        <f t="shared" si="3"/>
        <v>126.08793960916096</v>
      </c>
      <c r="AA19" s="1">
        <f t="shared" si="3"/>
        <v>158.17331398046889</v>
      </c>
      <c r="AB19" s="1">
        <f t="shared" si="3"/>
        <v>169.31814511084991</v>
      </c>
      <c r="AC19" s="1">
        <f t="shared" si="3"/>
        <v>356.99176152030975</v>
      </c>
      <c r="AD19" s="1">
        <f t="shared" ref="U19:AG34" si="5">AC20</f>
        <v>51.531820594945302</v>
      </c>
      <c r="AE19" s="1">
        <f t="shared" si="5"/>
        <v>138.94007100937398</v>
      </c>
      <c r="AF19" s="1">
        <f t="shared" si="5"/>
        <v>122.36436339055496</v>
      </c>
      <c r="AG19" s="1">
        <f t="shared" si="5"/>
        <v>192.42385978046303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x14ac:dyDescent="0.45">
      <c r="A20" s="8">
        <v>283.24936593557317</v>
      </c>
      <c r="Q20" s="9">
        <v>283.24936593557317</v>
      </c>
      <c r="R20" s="1">
        <f t="shared" si="2"/>
        <v>6.771163578609503</v>
      </c>
      <c r="S20" s="1">
        <f t="shared" si="4"/>
        <v>151.51033225013779</v>
      </c>
      <c r="T20" s="1">
        <f t="shared" si="3"/>
        <v>407.89408014857736</v>
      </c>
      <c r="U20" s="1">
        <f t="shared" si="5"/>
        <v>196.50012539926712</v>
      </c>
      <c r="V20" s="1">
        <f t="shared" si="5"/>
        <v>226.10190058519862</v>
      </c>
      <c r="W20" s="1">
        <f t="shared" si="5"/>
        <v>296.82006676145301</v>
      </c>
      <c r="X20" s="1">
        <f t="shared" si="5"/>
        <v>365.89967866417624</v>
      </c>
      <c r="Y20" s="1">
        <f t="shared" si="5"/>
        <v>126.08793960916096</v>
      </c>
      <c r="Z20" s="1">
        <f t="shared" si="5"/>
        <v>158.17331398046889</v>
      </c>
      <c r="AA20" s="1">
        <f t="shared" si="5"/>
        <v>169.31814511084991</v>
      </c>
      <c r="AB20" s="1">
        <f t="shared" si="5"/>
        <v>356.99176152030975</v>
      </c>
      <c r="AC20" s="1">
        <f t="shared" si="5"/>
        <v>51.531820594945302</v>
      </c>
      <c r="AD20" s="1">
        <f t="shared" si="5"/>
        <v>138.94007100937398</v>
      </c>
      <c r="AE20" s="1">
        <f t="shared" si="5"/>
        <v>122.36436339055496</v>
      </c>
      <c r="AF20" s="1">
        <f t="shared" si="5"/>
        <v>192.42385978046303</v>
      </c>
      <c r="AG20" s="1">
        <f t="shared" si="5"/>
        <v>314.19161734563977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x14ac:dyDescent="0.45">
      <c r="A21" s="8">
        <v>151.51033225013779</v>
      </c>
      <c r="Q21" s="9">
        <v>151.51033225013779</v>
      </c>
      <c r="R21" s="1">
        <f t="shared" si="2"/>
        <v>-124.96787010682587</v>
      </c>
      <c r="S21" s="1">
        <f t="shared" si="4"/>
        <v>407.89408014857736</v>
      </c>
      <c r="T21" s="1">
        <f t="shared" si="3"/>
        <v>196.50012539926712</v>
      </c>
      <c r="U21" s="1">
        <f t="shared" si="5"/>
        <v>226.10190058519862</v>
      </c>
      <c r="V21" s="1">
        <f t="shared" si="5"/>
        <v>296.82006676145301</v>
      </c>
      <c r="W21" s="1">
        <f t="shared" si="5"/>
        <v>365.89967866417624</v>
      </c>
      <c r="X21" s="1">
        <f t="shared" si="5"/>
        <v>126.08793960916096</v>
      </c>
      <c r="Y21" s="1">
        <f t="shared" si="5"/>
        <v>158.17331398046889</v>
      </c>
      <c r="Z21" s="1">
        <f t="shared" si="5"/>
        <v>169.31814511084991</v>
      </c>
      <c r="AA21" s="1">
        <f t="shared" si="5"/>
        <v>356.99176152030975</v>
      </c>
      <c r="AB21" s="1">
        <f t="shared" si="5"/>
        <v>51.531820594945302</v>
      </c>
      <c r="AC21" s="1">
        <f t="shared" si="5"/>
        <v>138.94007100937398</v>
      </c>
      <c r="AD21" s="1">
        <f t="shared" si="5"/>
        <v>122.36436339055496</v>
      </c>
      <c r="AE21" s="1">
        <f t="shared" si="5"/>
        <v>192.42385978046303</v>
      </c>
      <c r="AF21" s="1">
        <f t="shared" si="5"/>
        <v>314.19161734563977</v>
      </c>
      <c r="AG21" s="1">
        <f t="shared" si="5"/>
        <v>224.76623940791234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x14ac:dyDescent="0.45">
      <c r="A22" s="8">
        <v>407.89408014857736</v>
      </c>
      <c r="Q22" s="9">
        <v>407.89408014857736</v>
      </c>
      <c r="R22" s="1">
        <f t="shared" si="2"/>
        <v>131.4158777916137</v>
      </c>
      <c r="S22" s="1">
        <f t="shared" si="4"/>
        <v>196.50012539926712</v>
      </c>
      <c r="T22" s="1">
        <f t="shared" si="3"/>
        <v>226.10190058519862</v>
      </c>
      <c r="U22" s="1">
        <f t="shared" si="5"/>
        <v>296.82006676145301</v>
      </c>
      <c r="V22" s="1">
        <f t="shared" si="5"/>
        <v>365.89967866417624</v>
      </c>
      <c r="W22" s="1">
        <f t="shared" si="5"/>
        <v>126.08793960916096</v>
      </c>
      <c r="X22" s="1">
        <f t="shared" si="5"/>
        <v>158.17331398046889</v>
      </c>
      <c r="Y22" s="1">
        <f t="shared" si="5"/>
        <v>169.31814511084991</v>
      </c>
      <c r="Z22" s="1">
        <f t="shared" si="5"/>
        <v>356.99176152030975</v>
      </c>
      <c r="AA22" s="1">
        <f t="shared" si="5"/>
        <v>51.531820594945302</v>
      </c>
      <c r="AB22" s="1">
        <f t="shared" si="5"/>
        <v>138.94007100937398</v>
      </c>
      <c r="AC22" s="1">
        <f t="shared" si="5"/>
        <v>122.36436339055496</v>
      </c>
      <c r="AD22" s="1">
        <f t="shared" si="5"/>
        <v>192.42385978046303</v>
      </c>
      <c r="AE22" s="1">
        <f t="shared" si="5"/>
        <v>314.19161734563977</v>
      </c>
      <c r="AF22" s="1">
        <f t="shared" si="5"/>
        <v>224.76623940791234</v>
      </c>
      <c r="AG22" s="1">
        <f t="shared" si="5"/>
        <v>55.898927187361181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x14ac:dyDescent="0.45">
      <c r="A23" s="8">
        <v>196.50012539926712</v>
      </c>
      <c r="Q23" s="9">
        <v>196.50012539926712</v>
      </c>
      <c r="R23" s="1">
        <f t="shared" si="2"/>
        <v>-79.978076957696544</v>
      </c>
      <c r="S23" s="1">
        <f t="shared" si="4"/>
        <v>226.10190058519862</v>
      </c>
      <c r="T23" s="1">
        <f t="shared" si="3"/>
        <v>296.82006676145301</v>
      </c>
      <c r="U23" s="1">
        <f t="shared" si="5"/>
        <v>365.89967866417624</v>
      </c>
      <c r="V23" s="1">
        <f t="shared" si="5"/>
        <v>126.08793960916096</v>
      </c>
      <c r="W23" s="1">
        <f t="shared" si="5"/>
        <v>158.17331398046889</v>
      </c>
      <c r="X23" s="1">
        <f t="shared" si="5"/>
        <v>169.31814511084991</v>
      </c>
      <c r="Y23" s="1">
        <f t="shared" si="5"/>
        <v>356.99176152030975</v>
      </c>
      <c r="Z23" s="1">
        <f t="shared" si="5"/>
        <v>51.531820594945302</v>
      </c>
      <c r="AA23" s="1">
        <f t="shared" si="5"/>
        <v>138.94007100937398</v>
      </c>
      <c r="AB23" s="1">
        <f t="shared" si="5"/>
        <v>122.36436339055496</v>
      </c>
      <c r="AC23" s="1">
        <f t="shared" si="5"/>
        <v>192.42385978046303</v>
      </c>
      <c r="AD23" s="1">
        <f t="shared" si="5"/>
        <v>314.19161734563977</v>
      </c>
      <c r="AE23" s="1">
        <f t="shared" si="5"/>
        <v>224.76623940791234</v>
      </c>
      <c r="AF23" s="1">
        <f t="shared" si="5"/>
        <v>55.898927187361181</v>
      </c>
      <c r="AG23" s="1">
        <f t="shared" si="5"/>
        <v>327.76712307497064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x14ac:dyDescent="0.45">
      <c r="A24" s="8">
        <v>226.10190058519862</v>
      </c>
      <c r="Q24" s="9">
        <v>226.10190058519862</v>
      </c>
      <c r="R24" s="1">
        <f t="shared" si="2"/>
        <v>-50.376301771765043</v>
      </c>
      <c r="S24" s="1">
        <f t="shared" si="4"/>
        <v>296.82006676145301</v>
      </c>
      <c r="T24" s="1">
        <f t="shared" si="3"/>
        <v>365.89967866417624</v>
      </c>
      <c r="U24" s="1">
        <f t="shared" si="5"/>
        <v>126.08793960916096</v>
      </c>
      <c r="V24" s="1">
        <f t="shared" si="5"/>
        <v>158.17331398046889</v>
      </c>
      <c r="W24" s="1">
        <f t="shared" si="5"/>
        <v>169.31814511084991</v>
      </c>
      <c r="X24" s="1">
        <f t="shared" si="5"/>
        <v>356.99176152030975</v>
      </c>
      <c r="Y24" s="1">
        <f t="shared" si="5"/>
        <v>51.531820594945302</v>
      </c>
      <c r="Z24" s="1">
        <f t="shared" si="5"/>
        <v>138.94007100937398</v>
      </c>
      <c r="AA24" s="1">
        <f t="shared" si="5"/>
        <v>122.36436339055496</v>
      </c>
      <c r="AB24" s="1">
        <f t="shared" si="5"/>
        <v>192.42385978046303</v>
      </c>
      <c r="AC24" s="1">
        <f t="shared" si="5"/>
        <v>314.19161734563977</v>
      </c>
      <c r="AD24" s="1">
        <f t="shared" si="5"/>
        <v>224.76623940791234</v>
      </c>
      <c r="AE24" s="1">
        <f t="shared" si="5"/>
        <v>55.898927187361181</v>
      </c>
      <c r="AF24" s="1">
        <f t="shared" si="5"/>
        <v>327.76712307497064</v>
      </c>
      <c r="AG24" s="1">
        <f t="shared" si="5"/>
        <v>375.33573039261597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x14ac:dyDescent="0.45">
      <c r="A25" s="8">
        <v>296.82006676145301</v>
      </c>
      <c r="Q25" s="9">
        <v>296.82006676145301</v>
      </c>
      <c r="R25" s="1">
        <f t="shared" si="2"/>
        <v>20.341864404489343</v>
      </c>
      <c r="S25" s="1">
        <f t="shared" si="4"/>
        <v>365.89967866417624</v>
      </c>
      <c r="T25" s="1">
        <f t="shared" si="3"/>
        <v>126.08793960916096</v>
      </c>
      <c r="U25" s="1">
        <f t="shared" si="5"/>
        <v>158.17331398046889</v>
      </c>
      <c r="V25" s="1">
        <f t="shared" si="5"/>
        <v>169.31814511084991</v>
      </c>
      <c r="W25" s="1">
        <f t="shared" si="5"/>
        <v>356.99176152030975</v>
      </c>
      <c r="X25" s="1">
        <f t="shared" si="5"/>
        <v>51.531820594945302</v>
      </c>
      <c r="Y25" s="1">
        <f t="shared" si="5"/>
        <v>138.94007100937398</v>
      </c>
      <c r="Z25" s="1">
        <f t="shared" si="5"/>
        <v>122.36436339055496</v>
      </c>
      <c r="AA25" s="1">
        <f t="shared" si="5"/>
        <v>192.42385978046303</v>
      </c>
      <c r="AB25" s="1">
        <f t="shared" si="5"/>
        <v>314.19161734563977</v>
      </c>
      <c r="AC25" s="1">
        <f t="shared" si="5"/>
        <v>224.76623940791234</v>
      </c>
      <c r="AD25" s="1">
        <f t="shared" si="5"/>
        <v>55.898927187361181</v>
      </c>
      <c r="AE25" s="1">
        <f t="shared" si="5"/>
        <v>327.76712307497064</v>
      </c>
      <c r="AF25" s="1">
        <f t="shared" si="5"/>
        <v>375.33573039261597</v>
      </c>
      <c r="AG25" s="1">
        <f t="shared" si="5"/>
        <v>227.86161586375553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x14ac:dyDescent="0.45">
      <c r="A26" s="8">
        <v>365.89967866417624</v>
      </c>
      <c r="Q26" s="9">
        <v>365.89967866417624</v>
      </c>
      <c r="R26" s="1">
        <f t="shared" si="2"/>
        <v>89.421476307212572</v>
      </c>
      <c r="S26" s="1">
        <f t="shared" si="4"/>
        <v>126.08793960916096</v>
      </c>
      <c r="T26" s="1">
        <f t="shared" si="3"/>
        <v>158.17331398046889</v>
      </c>
      <c r="U26" s="1">
        <f t="shared" si="5"/>
        <v>169.31814511084991</v>
      </c>
      <c r="V26" s="1">
        <f t="shared" si="5"/>
        <v>356.99176152030975</v>
      </c>
      <c r="W26" s="1">
        <f t="shared" si="5"/>
        <v>51.531820594945302</v>
      </c>
      <c r="X26" s="1">
        <f t="shared" si="5"/>
        <v>138.94007100937398</v>
      </c>
      <c r="Y26" s="1">
        <f t="shared" si="5"/>
        <v>122.36436339055496</v>
      </c>
      <c r="Z26" s="1">
        <f t="shared" si="5"/>
        <v>192.42385978046303</v>
      </c>
      <c r="AA26" s="1">
        <f t="shared" si="5"/>
        <v>314.19161734563977</v>
      </c>
      <c r="AB26" s="1">
        <f t="shared" si="5"/>
        <v>224.76623940791234</v>
      </c>
      <c r="AC26" s="1">
        <f t="shared" si="5"/>
        <v>55.898927187361181</v>
      </c>
      <c r="AD26" s="1">
        <f t="shared" si="5"/>
        <v>327.76712307497064</v>
      </c>
      <c r="AE26" s="1">
        <f t="shared" si="5"/>
        <v>375.33573039261597</v>
      </c>
      <c r="AF26" s="1">
        <f t="shared" si="5"/>
        <v>227.86161586375553</v>
      </c>
      <c r="AG26" s="1">
        <f t="shared" si="5"/>
        <v>355.13663052220119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x14ac:dyDescent="0.45">
      <c r="A27" s="8">
        <v>126.08793960916096</v>
      </c>
      <c r="Q27" s="9">
        <v>126.08793960916096</v>
      </c>
      <c r="R27" s="1">
        <f t="shared" si="2"/>
        <v>-150.39026274780269</v>
      </c>
      <c r="S27" s="1">
        <f t="shared" si="4"/>
        <v>158.17331398046889</v>
      </c>
      <c r="T27" s="1">
        <f t="shared" si="3"/>
        <v>169.31814511084991</v>
      </c>
      <c r="U27" s="1">
        <f t="shared" si="5"/>
        <v>356.99176152030975</v>
      </c>
      <c r="V27" s="1">
        <f t="shared" si="5"/>
        <v>51.531820594945302</v>
      </c>
      <c r="W27" s="1">
        <f t="shared" si="5"/>
        <v>138.94007100937398</v>
      </c>
      <c r="X27" s="1">
        <f t="shared" si="5"/>
        <v>122.36436339055496</v>
      </c>
      <c r="Y27" s="1">
        <f t="shared" si="5"/>
        <v>192.42385978046303</v>
      </c>
      <c r="Z27" s="1">
        <f t="shared" si="5"/>
        <v>314.19161734563977</v>
      </c>
      <c r="AA27" s="1">
        <f t="shared" si="5"/>
        <v>224.76623940791234</v>
      </c>
      <c r="AB27" s="1">
        <f t="shared" si="5"/>
        <v>55.898927187361181</v>
      </c>
      <c r="AC27" s="1">
        <f t="shared" si="5"/>
        <v>327.76712307497064</v>
      </c>
      <c r="AD27" s="1">
        <f t="shared" si="5"/>
        <v>375.33573039261597</v>
      </c>
      <c r="AE27" s="1">
        <f t="shared" si="5"/>
        <v>227.86161586375553</v>
      </c>
      <c r="AF27" s="1">
        <f t="shared" si="5"/>
        <v>355.13663052220119</v>
      </c>
      <c r="AG27" s="1">
        <f t="shared" si="5"/>
        <v>286.7413177403497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x14ac:dyDescent="0.45">
      <c r="A28" s="8">
        <v>158.17331398046889</v>
      </c>
      <c r="E28" t="s">
        <v>9</v>
      </c>
      <c r="F28">
        <v>300</v>
      </c>
      <c r="Q28" s="9">
        <v>158.17331398046889</v>
      </c>
      <c r="R28" s="1">
        <f t="shared" si="2"/>
        <v>-118.30488837649477</v>
      </c>
      <c r="S28" s="1">
        <f t="shared" si="4"/>
        <v>169.31814511084991</v>
      </c>
      <c r="T28" s="1">
        <f t="shared" si="3"/>
        <v>356.99176152030975</v>
      </c>
      <c r="U28" s="1">
        <f t="shared" si="5"/>
        <v>51.531820594945302</v>
      </c>
      <c r="V28" s="1">
        <f t="shared" si="5"/>
        <v>138.94007100937398</v>
      </c>
      <c r="W28" s="1">
        <f t="shared" si="5"/>
        <v>122.36436339055496</v>
      </c>
      <c r="X28" s="1">
        <f t="shared" si="5"/>
        <v>192.42385978046303</v>
      </c>
      <c r="Y28" s="1">
        <f t="shared" si="5"/>
        <v>314.19161734563977</v>
      </c>
      <c r="Z28" s="1">
        <f t="shared" si="5"/>
        <v>224.76623940791234</v>
      </c>
      <c r="AA28" s="1">
        <f t="shared" si="5"/>
        <v>55.898927187361181</v>
      </c>
      <c r="AB28" s="1">
        <f t="shared" si="5"/>
        <v>327.76712307497064</v>
      </c>
      <c r="AC28" s="1">
        <f t="shared" si="5"/>
        <v>375.33573039261597</v>
      </c>
      <c r="AD28" s="1">
        <f t="shared" si="5"/>
        <v>227.86161586375553</v>
      </c>
      <c r="AE28" s="1">
        <f t="shared" si="5"/>
        <v>355.13663052220119</v>
      </c>
      <c r="AF28" s="1">
        <f t="shared" si="5"/>
        <v>286.7413177403497</v>
      </c>
      <c r="AG28" s="1">
        <f t="shared" si="5"/>
        <v>133.99561157809518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x14ac:dyDescent="0.45">
      <c r="A29" s="8">
        <v>169.31814511084991</v>
      </c>
      <c r="D29" t="s">
        <v>6</v>
      </c>
      <c r="F29">
        <v>300</v>
      </c>
      <c r="Q29" s="9">
        <v>169.31814511084991</v>
      </c>
      <c r="R29" s="1">
        <f t="shared" si="2"/>
        <v>-107.16005724611375</v>
      </c>
      <c r="S29" s="1">
        <f t="shared" si="4"/>
        <v>356.99176152030975</v>
      </c>
      <c r="T29" s="1">
        <f t="shared" si="3"/>
        <v>51.531820594945302</v>
      </c>
      <c r="U29" s="1">
        <f t="shared" si="5"/>
        <v>138.94007100937398</v>
      </c>
      <c r="V29" s="1">
        <f t="shared" si="5"/>
        <v>122.36436339055496</v>
      </c>
      <c r="W29" s="1">
        <f t="shared" si="5"/>
        <v>192.42385978046303</v>
      </c>
      <c r="X29" s="1">
        <f t="shared" si="5"/>
        <v>314.19161734563977</v>
      </c>
      <c r="Y29" s="1">
        <f t="shared" si="5"/>
        <v>224.76623940791234</v>
      </c>
      <c r="Z29" s="1">
        <f t="shared" si="5"/>
        <v>55.898927187361181</v>
      </c>
      <c r="AA29" s="1">
        <f t="shared" si="5"/>
        <v>327.76712307497064</v>
      </c>
      <c r="AB29" s="1">
        <f t="shared" si="5"/>
        <v>375.33573039261597</v>
      </c>
      <c r="AC29" s="1">
        <f t="shared" si="5"/>
        <v>227.86161586375553</v>
      </c>
      <c r="AD29" s="1">
        <f t="shared" si="5"/>
        <v>355.13663052220119</v>
      </c>
      <c r="AE29" s="1">
        <f t="shared" si="5"/>
        <v>286.7413177403497</v>
      </c>
      <c r="AF29" s="1">
        <f t="shared" si="5"/>
        <v>133.99561157809518</v>
      </c>
      <c r="AG29" s="1">
        <f t="shared" si="5"/>
        <v>229.31356051547908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x14ac:dyDescent="0.45">
      <c r="A30" s="8">
        <v>356.99176152030975</v>
      </c>
      <c r="D30" t="s">
        <v>0</v>
      </c>
      <c r="F30">
        <v>276.47820235696366</v>
      </c>
      <c r="Q30" s="9">
        <v>356.99176152030975</v>
      </c>
      <c r="R30" s="1">
        <f t="shared" si="2"/>
        <v>80.513559163346088</v>
      </c>
      <c r="S30" s="1">
        <f t="shared" si="4"/>
        <v>51.531820594945302</v>
      </c>
      <c r="T30" s="1">
        <f t="shared" si="3"/>
        <v>138.94007100937398</v>
      </c>
      <c r="U30" s="1">
        <f t="shared" si="5"/>
        <v>122.36436339055496</v>
      </c>
      <c r="V30" s="1">
        <f t="shared" si="5"/>
        <v>192.42385978046303</v>
      </c>
      <c r="W30" s="1">
        <f t="shared" si="5"/>
        <v>314.19161734563977</v>
      </c>
      <c r="X30" s="1">
        <f t="shared" si="5"/>
        <v>224.76623940791234</v>
      </c>
      <c r="Y30" s="1">
        <f t="shared" si="5"/>
        <v>55.898927187361181</v>
      </c>
      <c r="Z30" s="1">
        <f t="shared" si="5"/>
        <v>327.76712307497064</v>
      </c>
      <c r="AA30" s="1">
        <f t="shared" si="5"/>
        <v>375.33573039261597</v>
      </c>
      <c r="AB30" s="1">
        <f t="shared" si="5"/>
        <v>227.86161586375553</v>
      </c>
      <c r="AC30" s="1">
        <f t="shared" si="5"/>
        <v>355.13663052220119</v>
      </c>
      <c r="AD30" s="1">
        <f t="shared" si="5"/>
        <v>286.7413177403497</v>
      </c>
      <c r="AE30" s="1">
        <f t="shared" si="5"/>
        <v>133.99561157809518</v>
      </c>
      <c r="AF30" s="1">
        <f t="shared" si="5"/>
        <v>229.31356051547908</v>
      </c>
      <c r="AG30" s="1">
        <f t="shared" si="5"/>
        <v>427.5796519704889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x14ac:dyDescent="0.45">
      <c r="A31" s="8">
        <v>51.531820594945302</v>
      </c>
      <c r="D31" t="s">
        <v>1</v>
      </c>
      <c r="F31">
        <v>29298.173050900929</v>
      </c>
      <c r="Q31" s="9">
        <v>51.531820594945302</v>
      </c>
      <c r="R31" s="1">
        <f t="shared" si="2"/>
        <v>-224.94638176201835</v>
      </c>
      <c r="S31" s="1">
        <f t="shared" si="4"/>
        <v>138.94007100937398</v>
      </c>
      <c r="T31" s="1">
        <f t="shared" si="3"/>
        <v>122.36436339055496</v>
      </c>
      <c r="U31" s="1">
        <f t="shared" si="5"/>
        <v>192.42385978046303</v>
      </c>
      <c r="V31" s="1">
        <f t="shared" si="5"/>
        <v>314.19161734563977</v>
      </c>
      <c r="W31" s="1">
        <f t="shared" si="5"/>
        <v>224.76623940791234</v>
      </c>
      <c r="X31" s="1">
        <f t="shared" si="5"/>
        <v>55.898927187361181</v>
      </c>
      <c r="Y31" s="1">
        <f t="shared" si="5"/>
        <v>327.76712307497064</v>
      </c>
      <c r="Z31" s="1">
        <f t="shared" si="5"/>
        <v>375.33573039261597</v>
      </c>
      <c r="AA31" s="1">
        <f t="shared" si="5"/>
        <v>227.86161586375553</v>
      </c>
      <c r="AB31" s="1">
        <f t="shared" si="5"/>
        <v>355.13663052220119</v>
      </c>
      <c r="AC31" s="1">
        <f t="shared" si="5"/>
        <v>286.7413177403497</v>
      </c>
      <c r="AD31" s="1">
        <f t="shared" si="5"/>
        <v>133.99561157809518</v>
      </c>
      <c r="AE31" s="1">
        <f t="shared" si="5"/>
        <v>229.31356051547908</v>
      </c>
      <c r="AF31" s="1">
        <f t="shared" si="5"/>
        <v>427.5796519704889</v>
      </c>
      <c r="AG31" s="1">
        <f t="shared" si="5"/>
        <v>379.88380148467013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x14ac:dyDescent="0.45">
      <c r="A32" s="8">
        <v>138.94007100937398</v>
      </c>
      <c r="D32" t="s">
        <v>2</v>
      </c>
      <c r="F32">
        <v>171.16709102774672</v>
      </c>
      <c r="Q32" s="9">
        <v>138.94007100937398</v>
      </c>
      <c r="R32" s="1">
        <f t="shared" si="2"/>
        <v>-137.53813134758968</v>
      </c>
      <c r="S32" s="1">
        <f t="shared" si="4"/>
        <v>122.36436339055496</v>
      </c>
      <c r="T32" s="1">
        <f t="shared" si="3"/>
        <v>192.42385978046303</v>
      </c>
      <c r="U32" s="1">
        <f t="shared" si="5"/>
        <v>314.19161734563977</v>
      </c>
      <c r="V32" s="1">
        <f t="shared" si="5"/>
        <v>224.76623940791234</v>
      </c>
      <c r="W32" s="1">
        <f t="shared" si="5"/>
        <v>55.898927187361181</v>
      </c>
      <c r="X32" s="1">
        <f t="shared" si="5"/>
        <v>327.76712307497064</v>
      </c>
      <c r="Y32" s="1">
        <f t="shared" si="5"/>
        <v>375.33573039261597</v>
      </c>
      <c r="Z32" s="1">
        <f t="shared" si="5"/>
        <v>227.86161586375553</v>
      </c>
      <c r="AA32" s="1">
        <f t="shared" si="5"/>
        <v>355.13663052220119</v>
      </c>
      <c r="AB32" s="1">
        <f t="shared" si="5"/>
        <v>286.7413177403497</v>
      </c>
      <c r="AC32" s="1">
        <f t="shared" si="5"/>
        <v>133.99561157809518</v>
      </c>
      <c r="AD32" s="1">
        <f t="shared" si="5"/>
        <v>229.31356051547908</v>
      </c>
      <c r="AE32" s="1">
        <f t="shared" si="5"/>
        <v>427.5796519704889</v>
      </c>
      <c r="AF32" s="1">
        <f t="shared" si="5"/>
        <v>379.88380148467013</v>
      </c>
      <c r="AG32" s="1">
        <f t="shared" si="5"/>
        <v>470.07277475710123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x14ac:dyDescent="0.45">
      <c r="A33" s="8">
        <v>122.36436339055496</v>
      </c>
      <c r="D33" t="s">
        <v>3</v>
      </c>
      <c r="F33">
        <v>0.6190979598700922</v>
      </c>
      <c r="Q33" s="9">
        <v>122.36436339055496</v>
      </c>
      <c r="R33" s="1">
        <f t="shared" si="2"/>
        <v>-154.11383896640871</v>
      </c>
      <c r="S33" s="1">
        <f t="shared" si="4"/>
        <v>192.42385978046303</v>
      </c>
      <c r="T33" s="1">
        <f t="shared" si="3"/>
        <v>314.19161734563977</v>
      </c>
      <c r="U33" s="1">
        <f t="shared" si="5"/>
        <v>224.76623940791234</v>
      </c>
      <c r="V33" s="1">
        <f t="shared" si="5"/>
        <v>55.898927187361181</v>
      </c>
      <c r="W33" s="1">
        <f t="shared" si="5"/>
        <v>327.76712307497064</v>
      </c>
      <c r="X33" s="1">
        <f t="shared" si="5"/>
        <v>375.33573039261597</v>
      </c>
      <c r="Y33" s="1">
        <f t="shared" si="5"/>
        <v>227.86161586375553</v>
      </c>
      <c r="Z33" s="1">
        <f t="shared" si="5"/>
        <v>355.13663052220119</v>
      </c>
      <c r="AA33" s="1">
        <f t="shared" si="5"/>
        <v>286.7413177403497</v>
      </c>
      <c r="AB33" s="1">
        <f t="shared" si="5"/>
        <v>133.99561157809518</v>
      </c>
      <c r="AC33" s="1">
        <f t="shared" si="5"/>
        <v>229.31356051547908</v>
      </c>
      <c r="AD33" s="1">
        <f t="shared" si="5"/>
        <v>427.5796519704889</v>
      </c>
      <c r="AE33" s="1">
        <f t="shared" si="5"/>
        <v>379.88380148467013</v>
      </c>
      <c r="AF33" s="1">
        <f t="shared" si="5"/>
        <v>470.07277475710123</v>
      </c>
      <c r="AG33" s="1">
        <f t="shared" si="5"/>
        <v>270.68980051071156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 x14ac:dyDescent="0.45">
      <c r="A34" s="8">
        <v>192.42385978046303</v>
      </c>
      <c r="C34" t="s">
        <v>4</v>
      </c>
      <c r="D34">
        <v>0.9</v>
      </c>
      <c r="E34">
        <v>1.6839999999999999</v>
      </c>
      <c r="F34">
        <v>16.641854848086666</v>
      </c>
      <c r="H34">
        <v>259.836347508877</v>
      </c>
      <c r="I34" t="s">
        <v>10</v>
      </c>
      <c r="J34">
        <v>276.47820235696366</v>
      </c>
      <c r="K34" t="s">
        <v>10</v>
      </c>
      <c r="L34">
        <v>293.12005720505033</v>
      </c>
      <c r="Q34" s="9">
        <v>192.42385978046303</v>
      </c>
      <c r="R34" s="1">
        <f t="shared" si="2"/>
        <v>-84.05434257650063</v>
      </c>
      <c r="S34" s="1">
        <f t="shared" si="4"/>
        <v>314.19161734563977</v>
      </c>
      <c r="T34" s="1">
        <f t="shared" si="3"/>
        <v>224.76623940791234</v>
      </c>
      <c r="U34" s="1">
        <f t="shared" si="5"/>
        <v>55.898927187361181</v>
      </c>
      <c r="V34" s="1">
        <f t="shared" si="5"/>
        <v>327.76712307497064</v>
      </c>
      <c r="W34" s="1">
        <f t="shared" si="5"/>
        <v>375.33573039261597</v>
      </c>
      <c r="X34" s="1">
        <f t="shared" si="5"/>
        <v>227.86161586375553</v>
      </c>
      <c r="Y34" s="1">
        <f t="shared" si="5"/>
        <v>355.13663052220119</v>
      </c>
      <c r="Z34" s="1">
        <f t="shared" si="5"/>
        <v>286.7413177403497</v>
      </c>
      <c r="AA34" s="1">
        <f t="shared" si="5"/>
        <v>133.99561157809518</v>
      </c>
      <c r="AB34" s="1">
        <f t="shared" si="5"/>
        <v>229.31356051547908</v>
      </c>
      <c r="AC34" s="1">
        <f t="shared" si="5"/>
        <v>427.5796519704889</v>
      </c>
      <c r="AD34" s="1">
        <f t="shared" si="5"/>
        <v>379.88380148467013</v>
      </c>
      <c r="AE34" s="1">
        <f t="shared" si="5"/>
        <v>470.07277475710123</v>
      </c>
      <c r="AF34" s="1">
        <f t="shared" si="5"/>
        <v>270.68980051071156</v>
      </c>
      <c r="AG34" s="1">
        <f t="shared" si="5"/>
        <v>151.08022269670758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 x14ac:dyDescent="0.45">
      <c r="A35" s="8">
        <v>314.19161734563977</v>
      </c>
      <c r="D35">
        <v>0.95</v>
      </c>
      <c r="E35">
        <v>1.96</v>
      </c>
      <c r="F35">
        <v>19.369379751929849</v>
      </c>
      <c r="H35">
        <v>257.10882260503382</v>
      </c>
      <c r="I35" t="s">
        <v>10</v>
      </c>
      <c r="J35">
        <v>276.47820235696366</v>
      </c>
      <c r="K35" t="s">
        <v>10</v>
      </c>
      <c r="L35">
        <v>295.8475821088935</v>
      </c>
      <c r="Q35" s="9">
        <v>314.19161734563977</v>
      </c>
      <c r="R35" s="1">
        <f t="shared" si="2"/>
        <v>37.713414988676107</v>
      </c>
      <c r="S35" s="1">
        <f t="shared" si="4"/>
        <v>224.76623940791234</v>
      </c>
      <c r="T35" s="1">
        <f t="shared" si="3"/>
        <v>55.898927187361181</v>
      </c>
      <c r="U35" s="1">
        <f t="shared" ref="U35:AG50" si="6">T36</f>
        <v>327.76712307497064</v>
      </c>
      <c r="V35" s="1">
        <f t="shared" si="6"/>
        <v>375.33573039261597</v>
      </c>
      <c r="W35" s="1">
        <f t="shared" si="6"/>
        <v>227.86161586375553</v>
      </c>
      <c r="X35" s="1">
        <f t="shared" si="6"/>
        <v>355.13663052220119</v>
      </c>
      <c r="Y35" s="1">
        <f t="shared" si="6"/>
        <v>286.7413177403497</v>
      </c>
      <c r="Z35" s="1">
        <f t="shared" si="6"/>
        <v>133.99561157809518</v>
      </c>
      <c r="AA35" s="1">
        <f t="shared" si="6"/>
        <v>229.31356051547908</v>
      </c>
      <c r="AB35" s="1">
        <f t="shared" si="6"/>
        <v>427.5796519704889</v>
      </c>
      <c r="AC35" s="1">
        <f t="shared" si="6"/>
        <v>379.88380148467013</v>
      </c>
      <c r="AD35" s="1">
        <f t="shared" si="6"/>
        <v>470.07277475710123</v>
      </c>
      <c r="AE35" s="1">
        <f t="shared" si="6"/>
        <v>270.68980051071156</v>
      </c>
      <c r="AF35" s="1">
        <f t="shared" si="6"/>
        <v>151.08022269670758</v>
      </c>
      <c r="AG35" s="1">
        <f t="shared" si="6"/>
        <v>184.74179118427588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 x14ac:dyDescent="0.45">
      <c r="A36" s="8">
        <v>224.76623940791234</v>
      </c>
      <c r="D36">
        <v>0.99</v>
      </c>
      <c r="E36">
        <v>3.29</v>
      </c>
      <c r="F36">
        <v>32.512887440739391</v>
      </c>
      <c r="H36">
        <v>243.96531491622426</v>
      </c>
      <c r="I36" t="s">
        <v>10</v>
      </c>
      <c r="J36">
        <v>276.47820235696366</v>
      </c>
      <c r="K36" t="s">
        <v>10</v>
      </c>
      <c r="L36">
        <v>308.99108979770307</v>
      </c>
      <c r="Q36" s="9">
        <v>224.76623940791234</v>
      </c>
      <c r="R36" s="1">
        <f t="shared" si="2"/>
        <v>-51.711962949051326</v>
      </c>
      <c r="S36" s="1">
        <f t="shared" si="4"/>
        <v>55.898927187361181</v>
      </c>
      <c r="T36" s="1">
        <f t="shared" si="3"/>
        <v>327.76712307497064</v>
      </c>
      <c r="U36" s="1">
        <f t="shared" si="6"/>
        <v>375.33573039261597</v>
      </c>
      <c r="V36" s="1">
        <f t="shared" si="6"/>
        <v>227.86161586375553</v>
      </c>
      <c r="W36" s="1">
        <f t="shared" si="6"/>
        <v>355.13663052220119</v>
      </c>
      <c r="X36" s="1">
        <f t="shared" si="6"/>
        <v>286.7413177403497</v>
      </c>
      <c r="Y36" s="1">
        <f t="shared" si="6"/>
        <v>133.99561157809518</v>
      </c>
      <c r="Z36" s="1">
        <f t="shared" si="6"/>
        <v>229.31356051547908</v>
      </c>
      <c r="AA36" s="1">
        <f t="shared" si="6"/>
        <v>427.5796519704889</v>
      </c>
      <c r="AB36" s="1">
        <f t="shared" si="6"/>
        <v>379.88380148467013</v>
      </c>
      <c r="AC36" s="1">
        <f t="shared" si="6"/>
        <v>470.07277475710123</v>
      </c>
      <c r="AD36" s="1">
        <f t="shared" si="6"/>
        <v>270.68980051071156</v>
      </c>
      <c r="AE36" s="1">
        <f t="shared" si="6"/>
        <v>151.08022269670758</v>
      </c>
      <c r="AF36" s="1">
        <f t="shared" si="6"/>
        <v>184.74179118427588</v>
      </c>
      <c r="AG36" s="1">
        <f t="shared" si="6"/>
        <v>484.80314732117779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 x14ac:dyDescent="0.45">
      <c r="A37" s="8">
        <v>55.898927187361181</v>
      </c>
      <c r="D37" t="s">
        <v>5</v>
      </c>
      <c r="Q37" s="9">
        <v>55.898927187361181</v>
      </c>
      <c r="R37" s="1">
        <f t="shared" si="2"/>
        <v>-220.57927516960248</v>
      </c>
      <c r="S37" s="1">
        <f t="shared" si="4"/>
        <v>327.76712307497064</v>
      </c>
      <c r="T37" s="1">
        <f t="shared" si="3"/>
        <v>375.33573039261597</v>
      </c>
      <c r="U37" s="1">
        <f t="shared" si="6"/>
        <v>227.86161586375553</v>
      </c>
      <c r="V37" s="1">
        <f t="shared" si="6"/>
        <v>355.13663052220119</v>
      </c>
      <c r="W37" s="1">
        <f t="shared" si="6"/>
        <v>286.7413177403497</v>
      </c>
      <c r="X37" s="1">
        <f t="shared" si="6"/>
        <v>133.99561157809518</v>
      </c>
      <c r="Y37" s="1">
        <f t="shared" si="6"/>
        <v>229.31356051547908</v>
      </c>
      <c r="Z37" s="1">
        <f t="shared" si="6"/>
        <v>427.5796519704889</v>
      </c>
      <c r="AA37" s="1">
        <f t="shared" si="6"/>
        <v>379.88380148467013</v>
      </c>
      <c r="AB37" s="1">
        <f t="shared" si="6"/>
        <v>470.07277475710123</v>
      </c>
      <c r="AC37" s="1">
        <f t="shared" si="6"/>
        <v>270.68980051071156</v>
      </c>
      <c r="AD37" s="1">
        <f t="shared" si="6"/>
        <v>151.08022269670758</v>
      </c>
      <c r="AE37" s="1">
        <f t="shared" si="6"/>
        <v>184.74179118427588</v>
      </c>
      <c r="AF37" s="1">
        <f t="shared" si="6"/>
        <v>484.80314732117779</v>
      </c>
      <c r="AG37" s="1">
        <f t="shared" si="6"/>
        <v>130.8094017575973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x14ac:dyDescent="0.45">
      <c r="A38" s="8">
        <v>327.76712307497064</v>
      </c>
      <c r="Q38" s="9">
        <v>327.76712307497064</v>
      </c>
      <c r="R38" s="1">
        <f t="shared" si="2"/>
        <v>51.288920718006977</v>
      </c>
      <c r="S38" s="1">
        <f t="shared" si="4"/>
        <v>375.33573039261597</v>
      </c>
      <c r="T38" s="1">
        <f t="shared" si="3"/>
        <v>227.86161586375553</v>
      </c>
      <c r="U38" s="1">
        <f t="shared" si="6"/>
        <v>355.13663052220119</v>
      </c>
      <c r="V38" s="1">
        <f t="shared" si="6"/>
        <v>286.7413177403497</v>
      </c>
      <c r="W38" s="1">
        <f t="shared" si="6"/>
        <v>133.99561157809518</v>
      </c>
      <c r="X38" s="1">
        <f t="shared" si="6"/>
        <v>229.31356051547908</v>
      </c>
      <c r="Y38" s="1">
        <f t="shared" si="6"/>
        <v>427.5796519704889</v>
      </c>
      <c r="Z38" s="1">
        <f t="shared" si="6"/>
        <v>379.88380148467013</v>
      </c>
      <c r="AA38" s="1">
        <f t="shared" si="6"/>
        <v>470.07277475710123</v>
      </c>
      <c r="AB38" s="1">
        <f t="shared" si="6"/>
        <v>270.68980051071156</v>
      </c>
      <c r="AC38" s="1">
        <f t="shared" si="6"/>
        <v>151.08022269670758</v>
      </c>
      <c r="AD38" s="1">
        <f t="shared" si="6"/>
        <v>184.74179118427588</v>
      </c>
      <c r="AE38" s="1">
        <f t="shared" si="6"/>
        <v>484.80314732117779</v>
      </c>
      <c r="AF38" s="1">
        <f t="shared" si="6"/>
        <v>130.8094017575973</v>
      </c>
      <c r="AG38" s="1">
        <f t="shared" si="6"/>
        <v>184.10637657715995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x14ac:dyDescent="0.45">
      <c r="A39" s="8">
        <v>375.33573039261597</v>
      </c>
      <c r="D39" t="s">
        <v>8</v>
      </c>
      <c r="F39">
        <v>9.8823366081274742</v>
      </c>
      <c r="Q39" s="9">
        <v>375.33573039261597</v>
      </c>
      <c r="R39" s="1">
        <f t="shared" si="2"/>
        <v>98.857528035652308</v>
      </c>
      <c r="S39" s="1">
        <f t="shared" si="4"/>
        <v>227.86161586375553</v>
      </c>
      <c r="T39" s="1">
        <f t="shared" si="3"/>
        <v>355.13663052220119</v>
      </c>
      <c r="U39" s="1">
        <f t="shared" si="6"/>
        <v>286.7413177403497</v>
      </c>
      <c r="V39" s="1">
        <f t="shared" si="6"/>
        <v>133.99561157809518</v>
      </c>
      <c r="W39" s="1">
        <f t="shared" si="6"/>
        <v>229.31356051547908</v>
      </c>
      <c r="X39" s="1">
        <f t="shared" si="6"/>
        <v>427.5796519704889</v>
      </c>
      <c r="Y39" s="1">
        <f t="shared" si="6"/>
        <v>379.88380148467013</v>
      </c>
      <c r="Z39" s="1">
        <f t="shared" si="6"/>
        <v>470.07277475710123</v>
      </c>
      <c r="AA39" s="1">
        <f t="shared" si="6"/>
        <v>270.68980051071156</v>
      </c>
      <c r="AB39" s="1">
        <f t="shared" si="6"/>
        <v>151.08022269670758</v>
      </c>
      <c r="AC39" s="1">
        <f t="shared" si="6"/>
        <v>184.74179118427588</v>
      </c>
      <c r="AD39" s="1">
        <f t="shared" si="6"/>
        <v>484.80314732117779</v>
      </c>
      <c r="AE39" s="1">
        <f t="shared" si="6"/>
        <v>130.8094017575973</v>
      </c>
      <c r="AF39" s="1">
        <f t="shared" si="6"/>
        <v>184.10637657715995</v>
      </c>
      <c r="AG39" s="1">
        <f t="shared" si="6"/>
        <v>385.10511983287188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x14ac:dyDescent="0.45">
      <c r="A40" s="8">
        <v>227.86161586375553</v>
      </c>
      <c r="Q40" s="9">
        <v>227.86161586375553</v>
      </c>
      <c r="R40" s="1">
        <f t="shared" si="2"/>
        <v>-48.616586493208132</v>
      </c>
      <c r="S40" s="1">
        <f t="shared" si="4"/>
        <v>355.13663052220119</v>
      </c>
      <c r="T40" s="1">
        <f t="shared" si="3"/>
        <v>286.7413177403497</v>
      </c>
      <c r="U40" s="1">
        <f t="shared" si="6"/>
        <v>133.99561157809518</v>
      </c>
      <c r="V40" s="1">
        <f t="shared" si="6"/>
        <v>229.31356051547908</v>
      </c>
      <c r="W40" s="1">
        <f t="shared" si="6"/>
        <v>427.5796519704889</v>
      </c>
      <c r="X40" s="1">
        <f t="shared" si="6"/>
        <v>379.88380148467013</v>
      </c>
      <c r="Y40" s="1">
        <f t="shared" si="6"/>
        <v>470.07277475710123</v>
      </c>
      <c r="Z40" s="1">
        <f t="shared" si="6"/>
        <v>270.68980051071156</v>
      </c>
      <c r="AA40" s="1">
        <f t="shared" si="6"/>
        <v>151.08022269670758</v>
      </c>
      <c r="AB40" s="1">
        <f t="shared" si="6"/>
        <v>184.74179118427588</v>
      </c>
      <c r="AC40" s="1">
        <f t="shared" si="6"/>
        <v>484.80314732117779</v>
      </c>
      <c r="AD40" s="1">
        <f t="shared" si="6"/>
        <v>130.8094017575973</v>
      </c>
      <c r="AE40" s="1">
        <f t="shared" si="6"/>
        <v>184.10637657715995</v>
      </c>
      <c r="AF40" s="1">
        <f t="shared" si="6"/>
        <v>385.10511983287188</v>
      </c>
      <c r="AG40" s="1">
        <f t="shared" si="6"/>
        <v>83.235214760513699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x14ac:dyDescent="0.45">
      <c r="A41" s="8">
        <v>355.13663052220119</v>
      </c>
      <c r="Q41" s="9">
        <v>355.13663052220119</v>
      </c>
      <c r="R41" s="1">
        <f t="shared" si="2"/>
        <v>78.658428165237524</v>
      </c>
      <c r="S41" s="1">
        <f t="shared" si="4"/>
        <v>286.7413177403497</v>
      </c>
      <c r="T41" s="1">
        <f t="shared" si="3"/>
        <v>133.99561157809518</v>
      </c>
      <c r="U41" s="1">
        <f t="shared" si="6"/>
        <v>229.31356051547908</v>
      </c>
      <c r="V41" s="1">
        <f t="shared" si="6"/>
        <v>427.5796519704889</v>
      </c>
      <c r="W41" s="1">
        <f t="shared" si="6"/>
        <v>379.88380148467013</v>
      </c>
      <c r="X41" s="1">
        <f t="shared" si="6"/>
        <v>470.07277475710123</v>
      </c>
      <c r="Y41" s="1">
        <f t="shared" si="6"/>
        <v>270.68980051071156</v>
      </c>
      <c r="Z41" s="1">
        <f t="shared" si="6"/>
        <v>151.08022269670758</v>
      </c>
      <c r="AA41" s="1">
        <f t="shared" si="6"/>
        <v>184.74179118427588</v>
      </c>
      <c r="AB41" s="1">
        <f t="shared" si="6"/>
        <v>484.80314732117779</v>
      </c>
      <c r="AC41" s="1">
        <f t="shared" si="6"/>
        <v>130.8094017575973</v>
      </c>
      <c r="AD41" s="1">
        <f t="shared" si="6"/>
        <v>184.10637657715995</v>
      </c>
      <c r="AE41" s="1">
        <f t="shared" si="6"/>
        <v>385.10511983287188</v>
      </c>
      <c r="AF41" s="1">
        <f t="shared" si="6"/>
        <v>83.235214760513699</v>
      </c>
      <c r="AG41" s="1">
        <f t="shared" si="6"/>
        <v>195.65674454690125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x14ac:dyDescent="0.45">
      <c r="A42" s="8">
        <v>286.7413177403497</v>
      </c>
      <c r="Q42" s="9">
        <v>286.7413177403497</v>
      </c>
      <c r="R42" s="1">
        <f t="shared" si="2"/>
        <v>10.263115383386037</v>
      </c>
      <c r="S42" s="1">
        <f t="shared" si="4"/>
        <v>133.99561157809518</v>
      </c>
      <c r="T42" s="1">
        <f t="shared" si="3"/>
        <v>229.31356051547908</v>
      </c>
      <c r="U42" s="1">
        <f t="shared" si="6"/>
        <v>427.5796519704889</v>
      </c>
      <c r="V42" s="1">
        <f t="shared" si="6"/>
        <v>379.88380148467013</v>
      </c>
      <c r="W42" s="1">
        <f t="shared" si="6"/>
        <v>470.07277475710123</v>
      </c>
      <c r="X42" s="1">
        <f t="shared" si="6"/>
        <v>270.68980051071156</v>
      </c>
      <c r="Y42" s="1">
        <f t="shared" si="6"/>
        <v>151.08022269670758</v>
      </c>
      <c r="Z42" s="1">
        <f t="shared" si="6"/>
        <v>184.74179118427588</v>
      </c>
      <c r="AA42" s="1">
        <f t="shared" si="6"/>
        <v>484.80314732117779</v>
      </c>
      <c r="AB42" s="1">
        <f t="shared" si="6"/>
        <v>130.8094017575973</v>
      </c>
      <c r="AC42" s="1">
        <f t="shared" si="6"/>
        <v>184.10637657715995</v>
      </c>
      <c r="AD42" s="1">
        <f t="shared" si="6"/>
        <v>385.10511983287188</v>
      </c>
      <c r="AE42" s="1">
        <f t="shared" si="6"/>
        <v>83.235214760513699</v>
      </c>
      <c r="AF42" s="1">
        <f t="shared" si="6"/>
        <v>195.65674454690125</v>
      </c>
      <c r="AG42" s="1">
        <f t="shared" si="6"/>
        <v>540.52449203860169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x14ac:dyDescent="0.45">
      <c r="A43" s="8">
        <v>133.99561157809518</v>
      </c>
      <c r="Q43" s="9">
        <v>133.99561157809518</v>
      </c>
      <c r="R43" s="1">
        <f t="shared" si="2"/>
        <v>-142.48259077886848</v>
      </c>
      <c r="S43" s="1">
        <f t="shared" si="4"/>
        <v>229.31356051547908</v>
      </c>
      <c r="T43" s="1">
        <f t="shared" si="3"/>
        <v>427.5796519704889</v>
      </c>
      <c r="U43" s="1">
        <f t="shared" si="6"/>
        <v>379.88380148467013</v>
      </c>
      <c r="V43" s="1">
        <f t="shared" si="6"/>
        <v>470.07277475710123</v>
      </c>
      <c r="W43" s="1">
        <f t="shared" si="6"/>
        <v>270.68980051071156</v>
      </c>
      <c r="X43" s="1">
        <f t="shared" si="6"/>
        <v>151.08022269670758</v>
      </c>
      <c r="Y43" s="1">
        <f t="shared" si="6"/>
        <v>184.74179118427588</v>
      </c>
      <c r="Z43" s="1">
        <f t="shared" si="6"/>
        <v>484.80314732117779</v>
      </c>
      <c r="AA43" s="1">
        <f t="shared" si="6"/>
        <v>130.8094017575973</v>
      </c>
      <c r="AB43" s="1">
        <f t="shared" si="6"/>
        <v>184.10637657715995</v>
      </c>
      <c r="AC43" s="1">
        <f t="shared" si="6"/>
        <v>385.10511983287188</v>
      </c>
      <c r="AD43" s="1">
        <f t="shared" si="6"/>
        <v>83.235214760513699</v>
      </c>
      <c r="AE43" s="1">
        <f t="shared" si="6"/>
        <v>195.65674454690125</v>
      </c>
      <c r="AF43" s="1">
        <f t="shared" si="6"/>
        <v>540.52449203860169</v>
      </c>
      <c r="AG43" s="1">
        <f t="shared" si="6"/>
        <v>343.16788171818587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x14ac:dyDescent="0.45">
      <c r="A44" s="8">
        <v>229.31356051547908</v>
      </c>
      <c r="Q44" s="9">
        <v>229.31356051547908</v>
      </c>
      <c r="R44" s="1">
        <f t="shared" si="2"/>
        <v>-47.164641841484581</v>
      </c>
      <c r="S44" s="1">
        <f t="shared" si="4"/>
        <v>427.5796519704889</v>
      </c>
      <c r="T44" s="1">
        <f t="shared" si="3"/>
        <v>379.88380148467013</v>
      </c>
      <c r="U44" s="1">
        <f t="shared" si="6"/>
        <v>470.07277475710123</v>
      </c>
      <c r="V44" s="1">
        <f t="shared" si="6"/>
        <v>270.68980051071156</v>
      </c>
      <c r="W44" s="1">
        <f t="shared" si="6"/>
        <v>151.08022269670758</v>
      </c>
      <c r="X44" s="1">
        <f t="shared" si="6"/>
        <v>184.74179118427588</v>
      </c>
      <c r="Y44" s="1">
        <f t="shared" si="6"/>
        <v>484.80314732117779</v>
      </c>
      <c r="Z44" s="1">
        <f t="shared" si="6"/>
        <v>130.8094017575973</v>
      </c>
      <c r="AA44" s="1">
        <f t="shared" si="6"/>
        <v>184.10637657715995</v>
      </c>
      <c r="AB44" s="1">
        <f t="shared" si="6"/>
        <v>385.10511983287188</v>
      </c>
      <c r="AC44" s="1">
        <f t="shared" si="6"/>
        <v>83.235214760513699</v>
      </c>
      <c r="AD44" s="1">
        <f t="shared" si="6"/>
        <v>195.65674454690125</v>
      </c>
      <c r="AE44" s="1">
        <f t="shared" si="6"/>
        <v>540.52449203860169</v>
      </c>
      <c r="AF44" s="1">
        <f t="shared" si="6"/>
        <v>343.16788171818587</v>
      </c>
      <c r="AG44" s="1">
        <f t="shared" si="6"/>
        <v>377.46792019065362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 x14ac:dyDescent="0.45">
      <c r="A45" s="8">
        <v>427.5796519704889</v>
      </c>
      <c r="Q45" s="9">
        <v>427.5796519704889</v>
      </c>
      <c r="R45" s="1">
        <f t="shared" si="2"/>
        <v>151.10144961352523</v>
      </c>
      <c r="S45" s="1">
        <f t="shared" si="4"/>
        <v>379.88380148467013</v>
      </c>
      <c r="T45" s="1">
        <f t="shared" si="3"/>
        <v>470.07277475710123</v>
      </c>
      <c r="U45" s="1">
        <f t="shared" si="6"/>
        <v>270.68980051071156</v>
      </c>
      <c r="V45" s="1">
        <f t="shared" si="6"/>
        <v>151.08022269670758</v>
      </c>
      <c r="W45" s="1">
        <f t="shared" si="6"/>
        <v>184.74179118427588</v>
      </c>
      <c r="X45" s="1">
        <f t="shared" si="6"/>
        <v>484.80314732117779</v>
      </c>
      <c r="Y45" s="1">
        <f t="shared" si="6"/>
        <v>130.8094017575973</v>
      </c>
      <c r="Z45" s="1">
        <f t="shared" si="6"/>
        <v>184.10637657715995</v>
      </c>
      <c r="AA45" s="1">
        <f t="shared" si="6"/>
        <v>385.10511983287188</v>
      </c>
      <c r="AB45" s="1">
        <f t="shared" si="6"/>
        <v>83.235214760513699</v>
      </c>
      <c r="AC45" s="1">
        <f t="shared" si="6"/>
        <v>195.65674454690125</v>
      </c>
      <c r="AD45" s="1">
        <f t="shared" si="6"/>
        <v>540.52449203860169</v>
      </c>
      <c r="AE45" s="1">
        <f t="shared" si="6"/>
        <v>343.16788171818587</v>
      </c>
      <c r="AF45" s="1">
        <f t="shared" si="6"/>
        <v>377.46792019065362</v>
      </c>
      <c r="AG45" s="1">
        <f t="shared" si="6"/>
        <v>763.05828906878878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48" x14ac:dyDescent="0.45">
      <c r="A46" s="8">
        <v>379.88380148467013</v>
      </c>
      <c r="Q46" s="9">
        <v>379.88380148467013</v>
      </c>
      <c r="R46" s="1">
        <f t="shared" si="2"/>
        <v>103.40559912770647</v>
      </c>
      <c r="S46" s="1">
        <f t="shared" si="4"/>
        <v>470.07277475710123</v>
      </c>
      <c r="T46" s="1">
        <f t="shared" si="3"/>
        <v>270.68980051071156</v>
      </c>
      <c r="U46" s="1">
        <f t="shared" si="6"/>
        <v>151.08022269670758</v>
      </c>
      <c r="V46" s="1">
        <f t="shared" si="6"/>
        <v>184.74179118427588</v>
      </c>
      <c r="W46" s="1">
        <f t="shared" si="6"/>
        <v>484.80314732117779</v>
      </c>
      <c r="X46" s="1">
        <f t="shared" si="6"/>
        <v>130.8094017575973</v>
      </c>
      <c r="Y46" s="1">
        <f t="shared" si="6"/>
        <v>184.10637657715995</v>
      </c>
      <c r="Z46" s="1">
        <f t="shared" si="6"/>
        <v>385.10511983287188</v>
      </c>
      <c r="AA46" s="1">
        <f t="shared" si="6"/>
        <v>83.235214760513699</v>
      </c>
      <c r="AB46" s="1">
        <f t="shared" si="6"/>
        <v>195.65674454690125</v>
      </c>
      <c r="AC46" s="1">
        <f t="shared" si="6"/>
        <v>540.52449203860169</v>
      </c>
      <c r="AD46" s="1">
        <f t="shared" si="6"/>
        <v>343.16788171818587</v>
      </c>
      <c r="AE46" s="1">
        <f t="shared" si="6"/>
        <v>377.46792019065362</v>
      </c>
      <c r="AF46" s="1">
        <f t="shared" si="6"/>
        <v>763.05828906878878</v>
      </c>
      <c r="AG46" s="1">
        <f t="shared" si="6"/>
        <v>114.1957280012459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48" x14ac:dyDescent="0.45">
      <c r="A47" s="8">
        <v>470.07277475710123</v>
      </c>
      <c r="Q47" s="9">
        <v>470.07277475710123</v>
      </c>
      <c r="R47" s="1">
        <f t="shared" si="2"/>
        <v>193.59457240013757</v>
      </c>
      <c r="S47" s="1">
        <f t="shared" si="4"/>
        <v>270.68980051071156</v>
      </c>
      <c r="T47" s="1">
        <f t="shared" si="3"/>
        <v>151.08022269670758</v>
      </c>
      <c r="U47" s="1">
        <f t="shared" si="6"/>
        <v>184.74179118427588</v>
      </c>
      <c r="V47" s="1">
        <f t="shared" si="6"/>
        <v>484.80314732117779</v>
      </c>
      <c r="W47" s="1">
        <f t="shared" si="6"/>
        <v>130.8094017575973</v>
      </c>
      <c r="X47" s="1">
        <f t="shared" si="6"/>
        <v>184.10637657715995</v>
      </c>
      <c r="Y47" s="1">
        <f t="shared" si="6"/>
        <v>385.10511983287188</v>
      </c>
      <c r="Z47" s="1">
        <f t="shared" si="6"/>
        <v>83.235214760513699</v>
      </c>
      <c r="AA47" s="1">
        <f t="shared" si="6"/>
        <v>195.65674454690125</v>
      </c>
      <c r="AB47" s="1">
        <f t="shared" si="6"/>
        <v>540.52449203860169</v>
      </c>
      <c r="AC47" s="1">
        <f t="shared" si="6"/>
        <v>343.16788171818587</v>
      </c>
      <c r="AD47" s="1">
        <f t="shared" si="6"/>
        <v>377.46792019065362</v>
      </c>
      <c r="AE47" s="1">
        <f t="shared" si="6"/>
        <v>763.05828906878878</v>
      </c>
      <c r="AF47" s="1">
        <f t="shared" si="6"/>
        <v>114.1957280012459</v>
      </c>
      <c r="AG47" s="1">
        <f t="shared" si="6"/>
        <v>93.828691587588537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48" x14ac:dyDescent="0.45">
      <c r="A48" s="8">
        <v>270.68980051071156</v>
      </c>
      <c r="Q48" s="9">
        <v>270.68980051071156</v>
      </c>
      <c r="R48" s="1">
        <f t="shared" si="2"/>
        <v>-5.7884018462520999</v>
      </c>
      <c r="S48" s="1">
        <f t="shared" si="4"/>
        <v>151.08022269670758</v>
      </c>
      <c r="T48" s="1">
        <f t="shared" si="3"/>
        <v>184.74179118427588</v>
      </c>
      <c r="U48" s="1">
        <f t="shared" si="6"/>
        <v>484.80314732117779</v>
      </c>
      <c r="V48" s="1">
        <f t="shared" si="6"/>
        <v>130.8094017575973</v>
      </c>
      <c r="W48" s="1">
        <f t="shared" si="6"/>
        <v>184.10637657715995</v>
      </c>
      <c r="X48" s="1">
        <f t="shared" si="6"/>
        <v>385.10511983287188</v>
      </c>
      <c r="Y48" s="1">
        <f t="shared" si="6"/>
        <v>83.235214760513699</v>
      </c>
      <c r="Z48" s="1">
        <f t="shared" si="6"/>
        <v>195.65674454690125</v>
      </c>
      <c r="AA48" s="1">
        <f t="shared" si="6"/>
        <v>540.52449203860169</v>
      </c>
      <c r="AB48" s="1">
        <f t="shared" si="6"/>
        <v>343.16788171818587</v>
      </c>
      <c r="AC48" s="1">
        <f t="shared" si="6"/>
        <v>377.46792019065362</v>
      </c>
      <c r="AD48" s="1">
        <f t="shared" si="6"/>
        <v>763.05828906878878</v>
      </c>
      <c r="AE48" s="1">
        <f t="shared" si="6"/>
        <v>114.1957280012459</v>
      </c>
      <c r="AF48" s="1">
        <f t="shared" si="6"/>
        <v>93.828691587588537</v>
      </c>
      <c r="AG48" s="1">
        <f t="shared" si="6"/>
        <v>288.55840885143232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 x14ac:dyDescent="0.45">
      <c r="A49" s="8">
        <v>151.08022269670758</v>
      </c>
      <c r="Q49" s="9">
        <v>151.08022269670758</v>
      </c>
      <c r="R49" s="1">
        <f t="shared" si="2"/>
        <v>-125.39797966025608</v>
      </c>
      <c r="S49" s="1">
        <f t="shared" si="4"/>
        <v>184.74179118427588</v>
      </c>
      <c r="T49" s="1">
        <f t="shared" si="3"/>
        <v>484.80314732117779</v>
      </c>
      <c r="U49" s="1">
        <f t="shared" si="6"/>
        <v>130.8094017575973</v>
      </c>
      <c r="V49" s="1">
        <f t="shared" si="6"/>
        <v>184.10637657715995</v>
      </c>
      <c r="W49" s="1">
        <f t="shared" si="6"/>
        <v>385.10511983287188</v>
      </c>
      <c r="X49" s="1">
        <f t="shared" si="6"/>
        <v>83.235214760513699</v>
      </c>
      <c r="Y49" s="1">
        <f t="shared" si="6"/>
        <v>195.65674454690125</v>
      </c>
      <c r="Z49" s="1">
        <f t="shared" si="6"/>
        <v>540.52449203860169</v>
      </c>
      <c r="AA49" s="1">
        <f t="shared" si="6"/>
        <v>343.16788171818587</v>
      </c>
      <c r="AB49" s="1">
        <f t="shared" si="6"/>
        <v>377.46792019065362</v>
      </c>
      <c r="AC49" s="1">
        <f t="shared" si="6"/>
        <v>763.05828906878878</v>
      </c>
      <c r="AD49" s="1">
        <f t="shared" si="6"/>
        <v>114.1957280012459</v>
      </c>
      <c r="AE49" s="1">
        <f t="shared" si="6"/>
        <v>93.828691587588537</v>
      </c>
      <c r="AF49" s="1">
        <f t="shared" si="6"/>
        <v>288.55840885143232</v>
      </c>
      <c r="AG49" s="1">
        <f t="shared" si="6"/>
        <v>527.20635732889855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 x14ac:dyDescent="0.45">
      <c r="A50" s="8">
        <v>184.74179118427588</v>
      </c>
      <c r="Q50" s="9">
        <v>184.74179118427588</v>
      </c>
      <c r="R50" s="1">
        <f t="shared" si="2"/>
        <v>-91.736411172687781</v>
      </c>
      <c r="S50" s="1">
        <f t="shared" si="4"/>
        <v>484.80314732117779</v>
      </c>
      <c r="T50" s="1">
        <f t="shared" si="3"/>
        <v>130.8094017575973</v>
      </c>
      <c r="U50" s="1">
        <f t="shared" si="6"/>
        <v>184.10637657715995</v>
      </c>
      <c r="V50" s="1">
        <f t="shared" si="6"/>
        <v>385.10511983287188</v>
      </c>
      <c r="W50" s="1">
        <f t="shared" si="6"/>
        <v>83.235214760513699</v>
      </c>
      <c r="X50" s="1">
        <f t="shared" si="6"/>
        <v>195.65674454690125</v>
      </c>
      <c r="Y50" s="1">
        <f t="shared" si="6"/>
        <v>540.52449203860169</v>
      </c>
      <c r="Z50" s="1">
        <f t="shared" si="6"/>
        <v>343.16788171818587</v>
      </c>
      <c r="AA50" s="1">
        <f t="shared" si="6"/>
        <v>377.46792019065362</v>
      </c>
      <c r="AB50" s="1">
        <f t="shared" si="6"/>
        <v>763.05828906878878</v>
      </c>
      <c r="AC50" s="1">
        <f t="shared" si="6"/>
        <v>114.1957280012459</v>
      </c>
      <c r="AD50" s="1">
        <f t="shared" si="6"/>
        <v>93.828691587588537</v>
      </c>
      <c r="AE50" s="1">
        <f t="shared" si="6"/>
        <v>288.55840885143232</v>
      </c>
      <c r="AF50" s="1">
        <f t="shared" si="6"/>
        <v>527.20635732889855</v>
      </c>
      <c r="AG50" s="1">
        <f t="shared" si="6"/>
        <v>684.17142200543822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 x14ac:dyDescent="0.45">
      <c r="A51" s="8">
        <v>484.80314732117779</v>
      </c>
      <c r="Q51" s="9">
        <v>484.80314732117779</v>
      </c>
      <c r="R51" s="1">
        <f t="shared" si="2"/>
        <v>208.32494496421413</v>
      </c>
      <c r="S51" s="1">
        <f t="shared" si="4"/>
        <v>130.8094017575973</v>
      </c>
      <c r="T51" s="1">
        <f t="shared" si="3"/>
        <v>184.10637657715995</v>
      </c>
      <c r="U51" s="1">
        <f t="shared" ref="U51:AG66" si="7">T52</f>
        <v>385.10511983287188</v>
      </c>
      <c r="V51" s="1">
        <f t="shared" si="7"/>
        <v>83.235214760513699</v>
      </c>
      <c r="W51" s="1">
        <f t="shared" si="7"/>
        <v>195.65674454690125</v>
      </c>
      <c r="X51" s="1">
        <f t="shared" si="7"/>
        <v>540.52449203860169</v>
      </c>
      <c r="Y51" s="1">
        <f t="shared" si="7"/>
        <v>343.16788171818587</v>
      </c>
      <c r="Z51" s="1">
        <f t="shared" si="7"/>
        <v>377.46792019065362</v>
      </c>
      <c r="AA51" s="1">
        <f t="shared" si="7"/>
        <v>763.05828906878878</v>
      </c>
      <c r="AB51" s="1">
        <f t="shared" si="7"/>
        <v>114.1957280012459</v>
      </c>
      <c r="AC51" s="1">
        <f t="shared" si="7"/>
        <v>93.828691587588537</v>
      </c>
      <c r="AD51" s="1">
        <f t="shared" si="7"/>
        <v>288.55840885143232</v>
      </c>
      <c r="AE51" s="1">
        <f t="shared" si="7"/>
        <v>527.20635732889855</v>
      </c>
      <c r="AF51" s="1">
        <f t="shared" si="7"/>
        <v>684.17142200543822</v>
      </c>
      <c r="AG51" s="1">
        <f t="shared" si="7"/>
        <v>318.45739323918156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 x14ac:dyDescent="0.45">
      <c r="A52" s="8">
        <v>130.8094017575973</v>
      </c>
      <c r="Q52" s="9">
        <v>130.8094017575973</v>
      </c>
      <c r="R52" s="1">
        <f t="shared" si="2"/>
        <v>-145.66880059936636</v>
      </c>
      <c r="S52" s="1">
        <f t="shared" si="4"/>
        <v>184.10637657715995</v>
      </c>
      <c r="T52" s="1">
        <f t="shared" si="3"/>
        <v>385.10511983287188</v>
      </c>
      <c r="U52" s="1">
        <f t="shared" si="7"/>
        <v>83.235214760513699</v>
      </c>
      <c r="V52" s="1">
        <f t="shared" si="7"/>
        <v>195.65674454690125</v>
      </c>
      <c r="W52" s="1">
        <f t="shared" si="7"/>
        <v>540.52449203860169</v>
      </c>
      <c r="X52" s="1">
        <f t="shared" si="7"/>
        <v>343.16788171818587</v>
      </c>
      <c r="Y52" s="1">
        <f t="shared" si="7"/>
        <v>377.46792019065362</v>
      </c>
      <c r="Z52" s="1">
        <f t="shared" si="7"/>
        <v>763.05828906878878</v>
      </c>
      <c r="AA52" s="1">
        <f t="shared" si="7"/>
        <v>114.1957280012459</v>
      </c>
      <c r="AB52" s="1">
        <f t="shared" si="7"/>
        <v>93.828691587588537</v>
      </c>
      <c r="AC52" s="1">
        <f t="shared" si="7"/>
        <v>288.55840885143232</v>
      </c>
      <c r="AD52" s="1">
        <f t="shared" si="7"/>
        <v>527.20635732889855</v>
      </c>
      <c r="AE52" s="1">
        <f t="shared" si="7"/>
        <v>684.17142200543822</v>
      </c>
      <c r="AF52" s="1">
        <f t="shared" si="7"/>
        <v>318.45739323918156</v>
      </c>
      <c r="AG52" s="1">
        <f t="shared" si="7"/>
        <v>208.72149310978941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 x14ac:dyDescent="0.45">
      <c r="A53" s="8">
        <v>184.10637657715995</v>
      </c>
      <c r="Q53" s="9">
        <v>184.10637657715995</v>
      </c>
      <c r="R53" s="1">
        <f t="shared" si="2"/>
        <v>-92.371825779803714</v>
      </c>
      <c r="S53" s="1">
        <f t="shared" si="4"/>
        <v>385.10511983287188</v>
      </c>
      <c r="T53" s="1">
        <f t="shared" si="3"/>
        <v>83.235214760513699</v>
      </c>
      <c r="U53" s="1">
        <f t="shared" si="7"/>
        <v>195.65674454690125</v>
      </c>
      <c r="V53" s="1">
        <f t="shared" si="7"/>
        <v>540.52449203860169</v>
      </c>
      <c r="W53" s="1">
        <f t="shared" si="7"/>
        <v>343.16788171818587</v>
      </c>
      <c r="X53" s="1">
        <f t="shared" si="7"/>
        <v>377.46792019065362</v>
      </c>
      <c r="Y53" s="1">
        <f t="shared" si="7"/>
        <v>763.05828906878878</v>
      </c>
      <c r="Z53" s="1">
        <f t="shared" si="7"/>
        <v>114.1957280012459</v>
      </c>
      <c r="AA53" s="1">
        <f t="shared" si="7"/>
        <v>93.828691587588537</v>
      </c>
      <c r="AB53" s="1">
        <f t="shared" si="7"/>
        <v>288.55840885143232</v>
      </c>
      <c r="AC53" s="1">
        <f t="shared" si="7"/>
        <v>527.20635732889855</v>
      </c>
      <c r="AD53" s="1">
        <f t="shared" si="7"/>
        <v>684.17142200543822</v>
      </c>
      <c r="AE53" s="1">
        <f t="shared" si="7"/>
        <v>318.45739323918156</v>
      </c>
      <c r="AF53" s="1">
        <f t="shared" si="7"/>
        <v>208.72149310978941</v>
      </c>
      <c r="AG53" s="1">
        <f t="shared" si="7"/>
        <v>246.93208789280652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 x14ac:dyDescent="0.45">
      <c r="A54" s="8">
        <v>385.10511983287188</v>
      </c>
      <c r="Q54" s="9">
        <v>385.10511983287188</v>
      </c>
      <c r="R54" s="1">
        <f t="shared" si="2"/>
        <v>108.62691747590821</v>
      </c>
      <c r="S54" s="1">
        <f t="shared" si="4"/>
        <v>83.235214760513699</v>
      </c>
      <c r="T54" s="1">
        <f t="shared" si="3"/>
        <v>195.65674454690125</v>
      </c>
      <c r="U54" s="1">
        <f t="shared" si="7"/>
        <v>540.52449203860169</v>
      </c>
      <c r="V54" s="1">
        <f t="shared" si="7"/>
        <v>343.16788171818587</v>
      </c>
      <c r="W54" s="1">
        <f t="shared" si="7"/>
        <v>377.46792019065362</v>
      </c>
      <c r="X54" s="1">
        <f t="shared" si="7"/>
        <v>763.05828906878878</v>
      </c>
      <c r="Y54" s="1">
        <f t="shared" si="7"/>
        <v>114.1957280012459</v>
      </c>
      <c r="Z54" s="1">
        <f t="shared" si="7"/>
        <v>93.828691587588537</v>
      </c>
      <c r="AA54" s="1">
        <f t="shared" si="7"/>
        <v>288.55840885143232</v>
      </c>
      <c r="AB54" s="1">
        <f t="shared" si="7"/>
        <v>527.20635732889855</v>
      </c>
      <c r="AC54" s="1">
        <f t="shared" si="7"/>
        <v>684.17142200543822</v>
      </c>
      <c r="AD54" s="1">
        <f t="shared" si="7"/>
        <v>318.45739323918156</v>
      </c>
      <c r="AE54" s="1">
        <f t="shared" si="7"/>
        <v>208.72149310978941</v>
      </c>
      <c r="AF54" s="1">
        <f t="shared" si="7"/>
        <v>246.93208789280652</v>
      </c>
      <c r="AG54" s="1">
        <f t="shared" si="7"/>
        <v>135.05870598078235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 x14ac:dyDescent="0.45">
      <c r="A55" s="8">
        <v>83.235214760513699</v>
      </c>
      <c r="Q55" s="9">
        <v>83.235214760513699</v>
      </c>
      <c r="R55" s="1">
        <f t="shared" si="2"/>
        <v>-193.24298759644995</v>
      </c>
      <c r="S55" s="1">
        <f t="shared" si="4"/>
        <v>195.65674454690125</v>
      </c>
      <c r="T55" s="1">
        <f t="shared" si="3"/>
        <v>540.52449203860169</v>
      </c>
      <c r="U55" s="1">
        <f t="shared" si="7"/>
        <v>343.16788171818587</v>
      </c>
      <c r="V55" s="1">
        <f t="shared" si="7"/>
        <v>377.46792019065362</v>
      </c>
      <c r="W55" s="1">
        <f t="shared" si="7"/>
        <v>763.05828906878878</v>
      </c>
      <c r="X55" s="1">
        <f t="shared" si="7"/>
        <v>114.1957280012459</v>
      </c>
      <c r="Y55" s="1">
        <f t="shared" si="7"/>
        <v>93.828691587588537</v>
      </c>
      <c r="Z55" s="1">
        <f t="shared" si="7"/>
        <v>288.55840885143232</v>
      </c>
      <c r="AA55" s="1">
        <f t="shared" si="7"/>
        <v>527.20635732889855</v>
      </c>
      <c r="AB55" s="1">
        <f t="shared" si="7"/>
        <v>684.17142200543822</v>
      </c>
      <c r="AC55" s="1">
        <f t="shared" si="7"/>
        <v>318.45739323918156</v>
      </c>
      <c r="AD55" s="1">
        <f t="shared" si="7"/>
        <v>208.72149310978941</v>
      </c>
      <c r="AE55" s="1">
        <f t="shared" si="7"/>
        <v>246.93208789280652</v>
      </c>
      <c r="AF55" s="1">
        <f t="shared" si="7"/>
        <v>135.05870598078235</v>
      </c>
      <c r="AG55" s="1">
        <f t="shared" si="7"/>
        <v>212.00109132019526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 x14ac:dyDescent="0.45">
      <c r="A56" s="8">
        <v>195.65674454690125</v>
      </c>
      <c r="Q56" s="9">
        <v>195.65674454690125</v>
      </c>
      <c r="R56" s="1">
        <f t="shared" si="2"/>
        <v>-80.821457810062412</v>
      </c>
      <c r="S56" s="1">
        <f t="shared" si="4"/>
        <v>540.52449203860169</v>
      </c>
      <c r="T56" s="1">
        <f t="shared" si="3"/>
        <v>343.16788171818587</v>
      </c>
      <c r="U56" s="1">
        <f t="shared" si="7"/>
        <v>377.46792019065362</v>
      </c>
      <c r="V56" s="1">
        <f t="shared" si="7"/>
        <v>763.05828906878878</v>
      </c>
      <c r="W56" s="1">
        <f t="shared" si="7"/>
        <v>114.1957280012459</v>
      </c>
      <c r="X56" s="1">
        <f t="shared" si="7"/>
        <v>93.828691587588537</v>
      </c>
      <c r="Y56" s="1">
        <f t="shared" si="7"/>
        <v>288.55840885143232</v>
      </c>
      <c r="Z56" s="1">
        <f t="shared" si="7"/>
        <v>527.20635732889855</v>
      </c>
      <c r="AA56" s="1">
        <f t="shared" si="7"/>
        <v>684.17142200543822</v>
      </c>
      <c r="AB56" s="1">
        <f t="shared" si="7"/>
        <v>318.45739323918156</v>
      </c>
      <c r="AC56" s="1">
        <f t="shared" si="7"/>
        <v>208.72149310978941</v>
      </c>
      <c r="AD56" s="1">
        <f t="shared" si="7"/>
        <v>246.93208789280652</v>
      </c>
      <c r="AE56" s="1">
        <f t="shared" si="7"/>
        <v>135.05870598078235</v>
      </c>
      <c r="AF56" s="1">
        <f t="shared" si="7"/>
        <v>212.00109132019526</v>
      </c>
      <c r="AG56" s="1">
        <f t="shared" si="7"/>
        <v>65.071926371309047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 x14ac:dyDescent="0.45">
      <c r="A57" s="8">
        <v>540.52449203860169</v>
      </c>
      <c r="Q57" s="9">
        <v>540.52449203860169</v>
      </c>
      <c r="R57" s="1">
        <f t="shared" si="2"/>
        <v>264.04628968163803</v>
      </c>
      <c r="S57" s="1">
        <f t="shared" si="4"/>
        <v>343.16788171818587</v>
      </c>
      <c r="T57" s="1">
        <f t="shared" si="3"/>
        <v>377.46792019065362</v>
      </c>
      <c r="U57" s="1">
        <f t="shared" si="7"/>
        <v>763.05828906878878</v>
      </c>
      <c r="V57" s="1">
        <f t="shared" si="7"/>
        <v>114.1957280012459</v>
      </c>
      <c r="W57" s="1">
        <f t="shared" si="7"/>
        <v>93.828691587588537</v>
      </c>
      <c r="X57" s="1">
        <f t="shared" si="7"/>
        <v>288.55840885143232</v>
      </c>
      <c r="Y57" s="1">
        <f t="shared" si="7"/>
        <v>527.20635732889855</v>
      </c>
      <c r="Z57" s="1">
        <f t="shared" si="7"/>
        <v>684.17142200543822</v>
      </c>
      <c r="AA57" s="1">
        <f t="shared" si="7"/>
        <v>318.45739323918156</v>
      </c>
      <c r="AB57" s="1">
        <f t="shared" si="7"/>
        <v>208.72149310978941</v>
      </c>
      <c r="AC57" s="1">
        <f t="shared" si="7"/>
        <v>246.93208789280652</v>
      </c>
      <c r="AD57" s="1">
        <f t="shared" si="7"/>
        <v>135.05870598078235</v>
      </c>
      <c r="AE57" s="1">
        <f t="shared" si="7"/>
        <v>212.00109132019526</v>
      </c>
      <c r="AF57" s="1">
        <f t="shared" si="7"/>
        <v>65.071926371309047</v>
      </c>
      <c r="AG57" s="1">
        <f t="shared" si="7"/>
        <v>477.48731714154536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 x14ac:dyDescent="0.45">
      <c r="A58" s="8">
        <v>343.16788171818587</v>
      </c>
      <c r="Q58" s="9">
        <v>343.16788171818587</v>
      </c>
      <c r="R58" s="1">
        <f t="shared" si="2"/>
        <v>66.689679361222204</v>
      </c>
      <c r="S58" s="1">
        <f t="shared" si="4"/>
        <v>377.46792019065362</v>
      </c>
      <c r="T58" s="1">
        <f t="shared" si="3"/>
        <v>763.05828906878878</v>
      </c>
      <c r="U58" s="1">
        <f t="shared" si="7"/>
        <v>114.1957280012459</v>
      </c>
      <c r="V58" s="1">
        <f t="shared" si="7"/>
        <v>93.828691587588537</v>
      </c>
      <c r="W58" s="1">
        <f t="shared" si="7"/>
        <v>288.55840885143232</v>
      </c>
      <c r="X58" s="1">
        <f t="shared" si="7"/>
        <v>527.20635732889855</v>
      </c>
      <c r="Y58" s="1">
        <f t="shared" si="7"/>
        <v>684.17142200543822</v>
      </c>
      <c r="Z58" s="1">
        <f t="shared" si="7"/>
        <v>318.45739323918156</v>
      </c>
      <c r="AA58" s="1">
        <f t="shared" si="7"/>
        <v>208.72149310978941</v>
      </c>
      <c r="AB58" s="1">
        <f t="shared" si="7"/>
        <v>246.93208789280652</v>
      </c>
      <c r="AC58" s="1">
        <f t="shared" si="7"/>
        <v>135.05870598078235</v>
      </c>
      <c r="AD58" s="1">
        <f t="shared" si="7"/>
        <v>212.00109132019526</v>
      </c>
      <c r="AE58" s="1">
        <f t="shared" si="7"/>
        <v>65.071926371309047</v>
      </c>
      <c r="AF58" s="1">
        <f t="shared" si="7"/>
        <v>477.48731714154536</v>
      </c>
      <c r="AG58" s="1">
        <f t="shared" si="7"/>
        <v>379.10072832547741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 x14ac:dyDescent="0.45">
      <c r="A59" s="8">
        <v>377.46792019065362</v>
      </c>
      <c r="Q59" s="9">
        <v>377.46792019065362</v>
      </c>
      <c r="R59" s="1">
        <f t="shared" si="2"/>
        <v>100.98971783368995</v>
      </c>
      <c r="S59" s="1">
        <f t="shared" si="4"/>
        <v>763.05828906878878</v>
      </c>
      <c r="T59" s="1">
        <f t="shared" si="3"/>
        <v>114.1957280012459</v>
      </c>
      <c r="U59" s="1">
        <f t="shared" si="7"/>
        <v>93.828691587588537</v>
      </c>
      <c r="V59" s="1">
        <f t="shared" si="7"/>
        <v>288.55840885143232</v>
      </c>
      <c r="W59" s="1">
        <f t="shared" si="7"/>
        <v>527.20635732889855</v>
      </c>
      <c r="X59" s="1">
        <f t="shared" si="7"/>
        <v>684.17142200543822</v>
      </c>
      <c r="Y59" s="1">
        <f t="shared" si="7"/>
        <v>318.45739323918156</v>
      </c>
      <c r="Z59" s="1">
        <f t="shared" si="7"/>
        <v>208.72149310978941</v>
      </c>
      <c r="AA59" s="1">
        <f t="shared" si="7"/>
        <v>246.93208789280652</v>
      </c>
      <c r="AB59" s="1">
        <f t="shared" si="7"/>
        <v>135.05870598078235</v>
      </c>
      <c r="AC59" s="1">
        <f t="shared" si="7"/>
        <v>212.00109132019526</v>
      </c>
      <c r="AD59" s="1">
        <f t="shared" si="7"/>
        <v>65.071926371309047</v>
      </c>
      <c r="AE59" s="1">
        <f t="shared" si="7"/>
        <v>477.48731714154536</v>
      </c>
      <c r="AF59" s="1">
        <f t="shared" si="7"/>
        <v>379.10072832547741</v>
      </c>
      <c r="AG59" s="1">
        <f t="shared" si="7"/>
        <v>419.18061229105331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 x14ac:dyDescent="0.45">
      <c r="A60" s="8">
        <v>763.05828906878878</v>
      </c>
      <c r="Q60" s="9">
        <v>763.05828906878878</v>
      </c>
      <c r="R60" s="1">
        <f t="shared" si="2"/>
        <v>486.58008671182512</v>
      </c>
      <c r="S60" s="1">
        <f t="shared" si="4"/>
        <v>114.1957280012459</v>
      </c>
      <c r="T60" s="1">
        <f t="shared" si="3"/>
        <v>93.828691587588537</v>
      </c>
      <c r="U60" s="1">
        <f t="shared" si="7"/>
        <v>288.55840885143232</v>
      </c>
      <c r="V60" s="1">
        <f t="shared" si="7"/>
        <v>527.20635732889855</v>
      </c>
      <c r="W60" s="1">
        <f t="shared" si="7"/>
        <v>684.17142200543822</v>
      </c>
      <c r="X60" s="1">
        <f t="shared" si="7"/>
        <v>318.45739323918156</v>
      </c>
      <c r="Y60" s="1">
        <f t="shared" si="7"/>
        <v>208.72149310978941</v>
      </c>
      <c r="Z60" s="1">
        <f t="shared" si="7"/>
        <v>246.93208789280652</v>
      </c>
      <c r="AA60" s="1">
        <f t="shared" si="7"/>
        <v>135.05870598078235</v>
      </c>
      <c r="AB60" s="1">
        <f t="shared" si="7"/>
        <v>212.00109132019526</v>
      </c>
      <c r="AC60" s="1">
        <f t="shared" si="7"/>
        <v>65.071926371309047</v>
      </c>
      <c r="AD60" s="1">
        <f t="shared" si="7"/>
        <v>477.48731714154536</v>
      </c>
      <c r="AE60" s="1">
        <f t="shared" si="7"/>
        <v>379.10072832547741</v>
      </c>
      <c r="AF60" s="1">
        <f t="shared" si="7"/>
        <v>419.18061229105331</v>
      </c>
      <c r="AG60" s="1">
        <f t="shared" si="7"/>
        <v>92.051072390415982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 x14ac:dyDescent="0.45">
      <c r="A61" s="8">
        <v>114.1957280012459</v>
      </c>
      <c r="Q61" s="9">
        <v>114.1957280012459</v>
      </c>
      <c r="R61" s="1">
        <f t="shared" si="2"/>
        <v>-162.28247435571777</v>
      </c>
      <c r="S61" s="1">
        <f t="shared" si="4"/>
        <v>93.828691587588537</v>
      </c>
      <c r="T61" s="1">
        <f t="shared" si="3"/>
        <v>288.55840885143232</v>
      </c>
      <c r="U61" s="1">
        <f t="shared" si="7"/>
        <v>527.20635732889855</v>
      </c>
      <c r="V61" s="1">
        <f t="shared" si="7"/>
        <v>684.17142200543822</v>
      </c>
      <c r="W61" s="1">
        <f t="shared" si="7"/>
        <v>318.45739323918156</v>
      </c>
      <c r="X61" s="1">
        <f t="shared" si="7"/>
        <v>208.72149310978941</v>
      </c>
      <c r="Y61" s="1">
        <f t="shared" si="7"/>
        <v>246.93208789280652</v>
      </c>
      <c r="Z61" s="1">
        <f t="shared" si="7"/>
        <v>135.05870598078235</v>
      </c>
      <c r="AA61" s="1">
        <f t="shared" si="7"/>
        <v>212.00109132019526</v>
      </c>
      <c r="AB61" s="1">
        <f t="shared" si="7"/>
        <v>65.071926371309047</v>
      </c>
      <c r="AC61" s="1">
        <f t="shared" si="7"/>
        <v>477.48731714154536</v>
      </c>
      <c r="AD61" s="1">
        <f t="shared" si="7"/>
        <v>379.10072832547741</v>
      </c>
      <c r="AE61" s="1">
        <f t="shared" si="7"/>
        <v>419.18061229105331</v>
      </c>
      <c r="AF61" s="1">
        <f t="shared" si="7"/>
        <v>92.051072390415982</v>
      </c>
      <c r="AG61" s="1">
        <f t="shared" si="7"/>
        <v>505.15934999217063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 x14ac:dyDescent="0.45">
      <c r="A62" s="8">
        <v>93.828691587588537</v>
      </c>
      <c r="Q62" s="9">
        <v>93.828691587588537</v>
      </c>
      <c r="R62" s="1">
        <f t="shared" si="2"/>
        <v>-182.64951076937513</v>
      </c>
      <c r="S62" s="1">
        <f t="shared" si="4"/>
        <v>288.55840885143232</v>
      </c>
      <c r="T62" s="1">
        <f t="shared" si="3"/>
        <v>527.20635732889855</v>
      </c>
      <c r="U62" s="1">
        <f t="shared" si="7"/>
        <v>684.17142200543822</v>
      </c>
      <c r="V62" s="1">
        <f t="shared" si="7"/>
        <v>318.45739323918156</v>
      </c>
      <c r="W62" s="1">
        <f t="shared" si="7"/>
        <v>208.72149310978941</v>
      </c>
      <c r="X62" s="1">
        <f t="shared" si="7"/>
        <v>246.93208789280652</v>
      </c>
      <c r="Y62" s="1">
        <f t="shared" si="7"/>
        <v>135.05870598078235</v>
      </c>
      <c r="Z62" s="1">
        <f t="shared" si="7"/>
        <v>212.00109132019526</v>
      </c>
      <c r="AA62" s="1">
        <f t="shared" si="7"/>
        <v>65.071926371309047</v>
      </c>
      <c r="AB62" s="1">
        <f t="shared" si="7"/>
        <v>477.48731714154536</v>
      </c>
      <c r="AC62" s="1">
        <f t="shared" si="7"/>
        <v>379.10072832547741</v>
      </c>
      <c r="AD62" s="1">
        <f t="shared" si="7"/>
        <v>419.18061229105331</v>
      </c>
      <c r="AE62" s="1">
        <f t="shared" si="7"/>
        <v>92.051072390415982</v>
      </c>
      <c r="AF62" s="1">
        <f t="shared" si="7"/>
        <v>505.15934999217063</v>
      </c>
      <c r="AG62" s="1">
        <f t="shared" si="7"/>
        <v>204.64797660269062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 x14ac:dyDescent="0.45">
      <c r="A63" s="8">
        <v>288.55840885143232</v>
      </c>
      <c r="Q63" s="9">
        <v>288.55840885143232</v>
      </c>
      <c r="R63" s="1">
        <f t="shared" si="2"/>
        <v>12.080206494468655</v>
      </c>
      <c r="S63" s="1">
        <f t="shared" si="4"/>
        <v>527.20635732889855</v>
      </c>
      <c r="T63" s="1">
        <f t="shared" si="3"/>
        <v>684.17142200543822</v>
      </c>
      <c r="U63" s="1">
        <f t="shared" si="7"/>
        <v>318.45739323918156</v>
      </c>
      <c r="V63" s="1">
        <f t="shared" si="7"/>
        <v>208.72149310978941</v>
      </c>
      <c r="W63" s="1">
        <f t="shared" si="7"/>
        <v>246.93208789280652</v>
      </c>
      <c r="X63" s="1">
        <f t="shared" si="7"/>
        <v>135.05870598078235</v>
      </c>
      <c r="Y63" s="1">
        <f t="shared" si="7"/>
        <v>212.00109132019526</v>
      </c>
      <c r="Z63" s="1">
        <f t="shared" si="7"/>
        <v>65.071926371309047</v>
      </c>
      <c r="AA63" s="1">
        <f t="shared" si="7"/>
        <v>477.48731714154536</v>
      </c>
      <c r="AB63" s="1">
        <f t="shared" si="7"/>
        <v>379.10072832547741</v>
      </c>
      <c r="AC63" s="1">
        <f t="shared" si="7"/>
        <v>419.18061229105331</v>
      </c>
      <c r="AD63" s="1">
        <f t="shared" si="7"/>
        <v>92.051072390415982</v>
      </c>
      <c r="AE63" s="1">
        <f t="shared" si="7"/>
        <v>505.15934999217063</v>
      </c>
      <c r="AF63" s="1">
        <f t="shared" si="7"/>
        <v>204.64797660269062</v>
      </c>
      <c r="AG63" s="1">
        <f t="shared" si="7"/>
        <v>393.69557760716901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 x14ac:dyDescent="0.45">
      <c r="A64" s="8">
        <v>527.20635732889855</v>
      </c>
      <c r="Q64" s="9">
        <v>527.20635732889855</v>
      </c>
      <c r="R64" s="1">
        <f t="shared" si="2"/>
        <v>250.72815497193488</v>
      </c>
      <c r="S64" s="1">
        <f t="shared" si="4"/>
        <v>684.17142200543822</v>
      </c>
      <c r="T64" s="1">
        <f t="shared" si="3"/>
        <v>318.45739323918156</v>
      </c>
      <c r="U64" s="1">
        <f t="shared" si="7"/>
        <v>208.72149310978941</v>
      </c>
      <c r="V64" s="1">
        <f t="shared" si="7"/>
        <v>246.93208789280652</v>
      </c>
      <c r="W64" s="1">
        <f t="shared" si="7"/>
        <v>135.05870598078235</v>
      </c>
      <c r="X64" s="1">
        <f t="shared" si="7"/>
        <v>212.00109132019526</v>
      </c>
      <c r="Y64" s="1">
        <f t="shared" si="7"/>
        <v>65.071926371309047</v>
      </c>
      <c r="Z64" s="1">
        <f t="shared" si="7"/>
        <v>477.48731714154536</v>
      </c>
      <c r="AA64" s="1">
        <f t="shared" si="7"/>
        <v>379.10072832547741</v>
      </c>
      <c r="AB64" s="1">
        <f t="shared" si="7"/>
        <v>419.18061229105331</v>
      </c>
      <c r="AC64" s="1">
        <f t="shared" si="7"/>
        <v>92.051072390415982</v>
      </c>
      <c r="AD64" s="1">
        <f t="shared" si="7"/>
        <v>505.15934999217063</v>
      </c>
      <c r="AE64" s="1">
        <f t="shared" si="7"/>
        <v>204.64797660269062</v>
      </c>
      <c r="AF64" s="1">
        <f t="shared" si="7"/>
        <v>393.69557760716901</v>
      </c>
      <c r="AG64" s="1">
        <f t="shared" si="7"/>
        <v>208.3377473171555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 x14ac:dyDescent="0.45">
      <c r="A65" s="8">
        <v>684.17142200543822</v>
      </c>
      <c r="Q65" s="9">
        <v>684.17142200543822</v>
      </c>
      <c r="R65" s="1">
        <f t="shared" si="2"/>
        <v>407.69321964847455</v>
      </c>
      <c r="S65" s="1">
        <f t="shared" si="4"/>
        <v>318.45739323918156</v>
      </c>
      <c r="T65" s="1">
        <f t="shared" si="3"/>
        <v>208.72149310978941</v>
      </c>
      <c r="U65" s="1">
        <f t="shared" si="7"/>
        <v>246.93208789280652</v>
      </c>
      <c r="V65" s="1">
        <f t="shared" si="7"/>
        <v>135.05870598078235</v>
      </c>
      <c r="W65" s="1">
        <f t="shared" si="7"/>
        <v>212.00109132019526</v>
      </c>
      <c r="X65" s="1">
        <f t="shared" si="7"/>
        <v>65.071926371309047</v>
      </c>
      <c r="Y65" s="1">
        <f t="shared" si="7"/>
        <v>477.48731714154536</v>
      </c>
      <c r="Z65" s="1">
        <f t="shared" si="7"/>
        <v>379.10072832547741</v>
      </c>
      <c r="AA65" s="1">
        <f t="shared" si="7"/>
        <v>419.18061229105331</v>
      </c>
      <c r="AB65" s="1">
        <f t="shared" si="7"/>
        <v>92.051072390415982</v>
      </c>
      <c r="AC65" s="1">
        <f t="shared" si="7"/>
        <v>505.15934999217063</v>
      </c>
      <c r="AD65" s="1">
        <f t="shared" si="7"/>
        <v>204.64797660269062</v>
      </c>
      <c r="AE65" s="1">
        <f t="shared" si="7"/>
        <v>393.69557760716901</v>
      </c>
      <c r="AF65" s="1">
        <f t="shared" si="7"/>
        <v>208.3377473171555</v>
      </c>
      <c r="AG65" s="1">
        <f t="shared" si="7"/>
        <v>131.10075713382952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 x14ac:dyDescent="0.45">
      <c r="A66" s="8">
        <v>318.45739323918156</v>
      </c>
      <c r="Q66" s="9">
        <v>318.45739323918156</v>
      </c>
      <c r="R66" s="1">
        <f t="shared" si="2"/>
        <v>41.979190882217893</v>
      </c>
      <c r="S66" s="1">
        <f t="shared" si="4"/>
        <v>208.72149310978941</v>
      </c>
      <c r="T66" s="1">
        <f t="shared" si="3"/>
        <v>246.93208789280652</v>
      </c>
      <c r="U66" s="1">
        <f t="shared" si="7"/>
        <v>135.05870598078235</v>
      </c>
      <c r="V66" s="1">
        <f t="shared" si="7"/>
        <v>212.00109132019526</v>
      </c>
      <c r="W66" s="1">
        <f t="shared" si="7"/>
        <v>65.071926371309047</v>
      </c>
      <c r="X66" s="1">
        <f t="shared" si="7"/>
        <v>477.48731714154536</v>
      </c>
      <c r="Y66" s="1">
        <f t="shared" si="7"/>
        <v>379.10072832547741</v>
      </c>
      <c r="Z66" s="1">
        <f t="shared" si="7"/>
        <v>419.18061229105331</v>
      </c>
      <c r="AA66" s="1">
        <f t="shared" si="7"/>
        <v>92.051072390415982</v>
      </c>
      <c r="AB66" s="1">
        <f t="shared" si="7"/>
        <v>505.15934999217063</v>
      </c>
      <c r="AC66" s="1">
        <f t="shared" si="7"/>
        <v>204.64797660269062</v>
      </c>
      <c r="AD66" s="1">
        <f t="shared" si="7"/>
        <v>393.69557760716901</v>
      </c>
      <c r="AE66" s="1">
        <f t="shared" si="7"/>
        <v>208.3377473171555</v>
      </c>
      <c r="AF66" s="1">
        <f t="shared" si="7"/>
        <v>131.10075713382952</v>
      </c>
      <c r="AG66" s="1">
        <f t="shared" si="7"/>
        <v>200.34605210648334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 x14ac:dyDescent="0.45">
      <c r="A67" s="8">
        <v>208.72149310978941</v>
      </c>
      <c r="Q67" s="9">
        <v>208.72149310978941</v>
      </c>
      <c r="R67" s="1">
        <f t="shared" si="2"/>
        <v>-67.756709247174257</v>
      </c>
      <c r="S67" s="1">
        <f t="shared" si="4"/>
        <v>246.93208789280652</v>
      </c>
      <c r="T67" s="1">
        <f t="shared" si="3"/>
        <v>135.05870598078235</v>
      </c>
      <c r="U67" s="1">
        <f t="shared" ref="U67:AG68" si="8">T68</f>
        <v>212.00109132019526</v>
      </c>
      <c r="V67" s="1">
        <f t="shared" si="8"/>
        <v>65.071926371309047</v>
      </c>
      <c r="W67" s="1">
        <f t="shared" si="8"/>
        <v>477.48731714154536</v>
      </c>
      <c r="X67" s="1">
        <f t="shared" si="8"/>
        <v>379.10072832547741</v>
      </c>
      <c r="Y67" s="1">
        <f t="shared" si="8"/>
        <v>419.18061229105331</v>
      </c>
      <c r="Z67" s="1">
        <f t="shared" si="8"/>
        <v>92.051072390415982</v>
      </c>
      <c r="AA67" s="1">
        <f t="shared" si="8"/>
        <v>505.15934999217063</v>
      </c>
      <c r="AB67" s="1">
        <f t="shared" si="8"/>
        <v>204.64797660269062</v>
      </c>
      <c r="AC67" s="1">
        <f t="shared" si="8"/>
        <v>393.69557760716901</v>
      </c>
      <c r="AD67" s="1">
        <f t="shared" si="8"/>
        <v>208.3377473171555</v>
      </c>
      <c r="AE67" s="1">
        <f t="shared" si="8"/>
        <v>131.10075713382952</v>
      </c>
      <c r="AF67" s="1">
        <f t="shared" si="8"/>
        <v>200.34605210648334</v>
      </c>
      <c r="AG67" s="1">
        <f t="shared" si="8"/>
        <v>220.18785541026077</v>
      </c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 x14ac:dyDescent="0.45">
      <c r="A68" s="8">
        <v>246.93208789280652</v>
      </c>
      <c r="Q68" s="9">
        <v>246.93208789280652</v>
      </c>
      <c r="R68" s="1">
        <f t="shared" si="2"/>
        <v>-29.546114464157142</v>
      </c>
      <c r="S68" s="1">
        <f t="shared" si="4"/>
        <v>135.05870598078235</v>
      </c>
      <c r="T68" s="1">
        <f t="shared" si="3"/>
        <v>212.00109132019526</v>
      </c>
      <c r="U68" s="1">
        <f t="shared" si="8"/>
        <v>65.071926371309047</v>
      </c>
      <c r="V68" s="1">
        <f t="shared" si="8"/>
        <v>477.48731714154536</v>
      </c>
      <c r="W68" s="1">
        <f t="shared" si="8"/>
        <v>379.10072832547741</v>
      </c>
      <c r="X68" s="1">
        <f t="shared" si="8"/>
        <v>419.18061229105331</v>
      </c>
      <c r="Y68" s="1">
        <f t="shared" si="8"/>
        <v>92.051072390415982</v>
      </c>
      <c r="Z68" s="1">
        <f t="shared" si="8"/>
        <v>505.15934999217063</v>
      </c>
      <c r="AA68" s="1">
        <f t="shared" si="8"/>
        <v>204.64797660269062</v>
      </c>
      <c r="AB68" s="1">
        <f t="shared" si="8"/>
        <v>393.69557760716901</v>
      </c>
      <c r="AC68" s="1">
        <f t="shared" si="8"/>
        <v>208.3377473171555</v>
      </c>
      <c r="AD68" s="1">
        <f t="shared" si="8"/>
        <v>131.10075713382952</v>
      </c>
      <c r="AE68" s="1">
        <f t="shared" si="8"/>
        <v>200.34605210648334</v>
      </c>
      <c r="AF68" s="1">
        <f t="shared" si="8"/>
        <v>220.18785541026077</v>
      </c>
      <c r="AG68" s="1">
        <f t="shared" si="8"/>
        <v>545.34426792191391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 x14ac:dyDescent="0.45">
      <c r="A69" s="8">
        <v>135.05870598078235</v>
      </c>
      <c r="Q69" s="9">
        <v>135.05870598078235</v>
      </c>
      <c r="R69" s="1">
        <f t="shared" ref="R69:R132" si="9">Q69-$F$30</f>
        <v>-141.41949637618131</v>
      </c>
      <c r="S69" s="1">
        <f t="shared" si="4"/>
        <v>212.00109132019526</v>
      </c>
      <c r="T69" s="1">
        <f t="shared" ref="T69:AG132" si="10">S70</f>
        <v>65.071926371309047</v>
      </c>
      <c r="U69" s="1">
        <f t="shared" si="10"/>
        <v>477.48731714154536</v>
      </c>
      <c r="V69" s="1">
        <f t="shared" si="10"/>
        <v>379.10072832547741</v>
      </c>
      <c r="W69" s="1">
        <f t="shared" si="10"/>
        <v>419.18061229105331</v>
      </c>
      <c r="X69" s="1">
        <f t="shared" si="10"/>
        <v>92.051072390415982</v>
      </c>
      <c r="Y69" s="1">
        <f t="shared" si="10"/>
        <v>505.15934999217063</v>
      </c>
      <c r="Z69" s="1">
        <f t="shared" si="10"/>
        <v>204.64797660269062</v>
      </c>
      <c r="AA69" s="1">
        <f t="shared" si="10"/>
        <v>393.69557760716901</v>
      </c>
      <c r="AB69" s="1">
        <f t="shared" si="10"/>
        <v>208.3377473171555</v>
      </c>
      <c r="AC69" s="1">
        <f t="shared" si="10"/>
        <v>131.10075713382952</v>
      </c>
      <c r="AD69" s="1">
        <f t="shared" si="10"/>
        <v>200.34605210648334</v>
      </c>
      <c r="AE69" s="1">
        <f t="shared" si="10"/>
        <v>220.18785541026077</v>
      </c>
      <c r="AF69" s="1">
        <f t="shared" si="10"/>
        <v>545.34426792191391</v>
      </c>
      <c r="AG69" s="1">
        <f t="shared" si="10"/>
        <v>298.21504684333127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 x14ac:dyDescent="0.45">
      <c r="A70" s="8">
        <v>212.00109132019526</v>
      </c>
      <c r="Q70" s="9">
        <v>212.00109132019526</v>
      </c>
      <c r="R70" s="1">
        <f t="shared" si="9"/>
        <v>-64.477111036768406</v>
      </c>
      <c r="S70" s="1">
        <f t="shared" ref="S70:S133" si="11">Q71</f>
        <v>65.071926371309047</v>
      </c>
      <c r="T70" s="1">
        <f t="shared" si="10"/>
        <v>477.48731714154536</v>
      </c>
      <c r="U70" s="1">
        <f t="shared" si="10"/>
        <v>379.10072832547741</v>
      </c>
      <c r="V70" s="1">
        <f t="shared" si="10"/>
        <v>419.18061229105331</v>
      </c>
      <c r="W70" s="1">
        <f t="shared" si="10"/>
        <v>92.051072390415982</v>
      </c>
      <c r="X70" s="1">
        <f t="shared" si="10"/>
        <v>505.15934999217063</v>
      </c>
      <c r="Y70" s="1">
        <f t="shared" si="10"/>
        <v>204.64797660269062</v>
      </c>
      <c r="Z70" s="1">
        <f t="shared" si="10"/>
        <v>393.69557760716901</v>
      </c>
      <c r="AA70" s="1">
        <f t="shared" si="10"/>
        <v>208.3377473171555</v>
      </c>
      <c r="AB70" s="1">
        <f t="shared" si="10"/>
        <v>131.10075713382952</v>
      </c>
      <c r="AC70" s="1">
        <f t="shared" si="10"/>
        <v>200.34605210648334</v>
      </c>
      <c r="AD70" s="1">
        <f t="shared" si="10"/>
        <v>220.18785541026077</v>
      </c>
      <c r="AE70" s="1">
        <f t="shared" si="10"/>
        <v>545.34426792191391</v>
      </c>
      <c r="AF70" s="1">
        <f t="shared" si="10"/>
        <v>298.21504684333127</v>
      </c>
      <c r="AG70" s="1">
        <f t="shared" si="10"/>
        <v>35.333966596066375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 x14ac:dyDescent="0.45">
      <c r="A71" s="8">
        <v>65.071926371309047</v>
      </c>
      <c r="Q71" s="9">
        <v>65.071926371309047</v>
      </c>
      <c r="R71" s="1">
        <f t="shared" si="9"/>
        <v>-211.40627598565462</v>
      </c>
      <c r="S71" s="1">
        <f t="shared" si="11"/>
        <v>477.48731714154536</v>
      </c>
      <c r="T71" s="1">
        <f t="shared" si="10"/>
        <v>379.10072832547741</v>
      </c>
      <c r="U71" s="1">
        <f t="shared" si="10"/>
        <v>419.18061229105331</v>
      </c>
      <c r="V71" s="1">
        <f t="shared" si="10"/>
        <v>92.051072390415982</v>
      </c>
      <c r="W71" s="1">
        <f t="shared" si="10"/>
        <v>505.15934999217063</v>
      </c>
      <c r="X71" s="1">
        <f t="shared" si="10"/>
        <v>204.64797660269062</v>
      </c>
      <c r="Y71" s="1">
        <f t="shared" si="10"/>
        <v>393.69557760716901</v>
      </c>
      <c r="Z71" s="1">
        <f t="shared" si="10"/>
        <v>208.3377473171555</v>
      </c>
      <c r="AA71" s="1">
        <f t="shared" si="10"/>
        <v>131.10075713382952</v>
      </c>
      <c r="AB71" s="1">
        <f t="shared" si="10"/>
        <v>200.34605210648334</v>
      </c>
      <c r="AC71" s="1">
        <f t="shared" si="10"/>
        <v>220.18785541026077</v>
      </c>
      <c r="AD71" s="1">
        <f t="shared" si="10"/>
        <v>545.34426792191391</v>
      </c>
      <c r="AE71" s="1">
        <f t="shared" si="10"/>
        <v>298.21504684333127</v>
      </c>
      <c r="AF71" s="1">
        <f t="shared" si="10"/>
        <v>35.333966596066375</v>
      </c>
      <c r="AG71" s="1">
        <f t="shared" si="10"/>
        <v>185.44794327967338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 x14ac:dyDescent="0.45">
      <c r="A72" s="8">
        <v>477.48731714154536</v>
      </c>
      <c r="Q72" s="9">
        <v>477.48731714154536</v>
      </c>
      <c r="R72" s="1">
        <f t="shared" si="9"/>
        <v>201.0091147845817</v>
      </c>
      <c r="S72" s="1">
        <f t="shared" si="11"/>
        <v>379.10072832547741</v>
      </c>
      <c r="T72" s="1">
        <f t="shared" si="10"/>
        <v>419.18061229105331</v>
      </c>
      <c r="U72" s="1">
        <f t="shared" si="10"/>
        <v>92.051072390415982</v>
      </c>
      <c r="V72" s="1">
        <f t="shared" si="10"/>
        <v>505.15934999217063</v>
      </c>
      <c r="W72" s="1">
        <f t="shared" si="10"/>
        <v>204.64797660269062</v>
      </c>
      <c r="X72" s="1">
        <f t="shared" si="10"/>
        <v>393.69557760716901</v>
      </c>
      <c r="Y72" s="1">
        <f t="shared" si="10"/>
        <v>208.3377473171555</v>
      </c>
      <c r="Z72" s="1">
        <f t="shared" si="10"/>
        <v>131.10075713382952</v>
      </c>
      <c r="AA72" s="1">
        <f t="shared" si="10"/>
        <v>200.34605210648334</v>
      </c>
      <c r="AB72" s="1">
        <f t="shared" si="10"/>
        <v>220.18785541026077</v>
      </c>
      <c r="AC72" s="1">
        <f t="shared" si="10"/>
        <v>545.34426792191391</v>
      </c>
      <c r="AD72" s="1">
        <f t="shared" si="10"/>
        <v>298.21504684333127</v>
      </c>
      <c r="AE72" s="1">
        <f t="shared" si="10"/>
        <v>35.333966596066375</v>
      </c>
      <c r="AF72" s="1">
        <f t="shared" si="10"/>
        <v>185.44794327967338</v>
      </c>
      <c r="AG72" s="1">
        <f t="shared" si="10"/>
        <v>436.56347628770209</v>
      </c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 x14ac:dyDescent="0.45">
      <c r="A73" s="8">
        <v>379.10072832547741</v>
      </c>
      <c r="Q73" s="9">
        <v>379.10072832547741</v>
      </c>
      <c r="R73" s="1">
        <f t="shared" si="9"/>
        <v>102.62252596851374</v>
      </c>
      <c r="S73" s="1">
        <f t="shared" si="11"/>
        <v>419.18061229105331</v>
      </c>
      <c r="T73" s="1">
        <f t="shared" si="10"/>
        <v>92.051072390415982</v>
      </c>
      <c r="U73" s="1">
        <f t="shared" si="10"/>
        <v>505.15934999217063</v>
      </c>
      <c r="V73" s="1">
        <f t="shared" si="10"/>
        <v>204.64797660269062</v>
      </c>
      <c r="W73" s="1">
        <f t="shared" si="10"/>
        <v>393.69557760716901</v>
      </c>
      <c r="X73" s="1">
        <f t="shared" si="10"/>
        <v>208.3377473171555</v>
      </c>
      <c r="Y73" s="1">
        <f t="shared" si="10"/>
        <v>131.10075713382952</v>
      </c>
      <c r="Z73" s="1">
        <f t="shared" si="10"/>
        <v>200.34605210648334</v>
      </c>
      <c r="AA73" s="1">
        <f t="shared" si="10"/>
        <v>220.18785541026077</v>
      </c>
      <c r="AB73" s="1">
        <f t="shared" si="10"/>
        <v>545.34426792191391</v>
      </c>
      <c r="AC73" s="1">
        <f t="shared" si="10"/>
        <v>298.21504684333127</v>
      </c>
      <c r="AD73" s="1">
        <f t="shared" si="10"/>
        <v>35.333966596066375</v>
      </c>
      <c r="AE73" s="1">
        <f t="shared" si="10"/>
        <v>185.44794327967338</v>
      </c>
      <c r="AF73" s="1">
        <f t="shared" si="10"/>
        <v>436.56347628770209</v>
      </c>
      <c r="AG73" s="1">
        <f t="shared" si="10"/>
        <v>162.67977861718344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 x14ac:dyDescent="0.45">
      <c r="A74" s="8">
        <v>419.18061229105331</v>
      </c>
      <c r="Q74" s="9">
        <v>419.18061229105331</v>
      </c>
      <c r="R74" s="1">
        <f t="shared" si="9"/>
        <v>142.70240993408964</v>
      </c>
      <c r="S74" s="1">
        <f t="shared" si="11"/>
        <v>92.051072390415982</v>
      </c>
      <c r="T74" s="1">
        <f t="shared" si="10"/>
        <v>505.15934999217063</v>
      </c>
      <c r="U74" s="1">
        <f t="shared" si="10"/>
        <v>204.64797660269062</v>
      </c>
      <c r="V74" s="1">
        <f t="shared" si="10"/>
        <v>393.69557760716901</v>
      </c>
      <c r="W74" s="1">
        <f t="shared" si="10"/>
        <v>208.3377473171555</v>
      </c>
      <c r="X74" s="1">
        <f t="shared" si="10"/>
        <v>131.10075713382952</v>
      </c>
      <c r="Y74" s="1">
        <f t="shared" si="10"/>
        <v>200.34605210648334</v>
      </c>
      <c r="Z74" s="1">
        <f t="shared" si="10"/>
        <v>220.18785541026077</v>
      </c>
      <c r="AA74" s="1">
        <f t="shared" si="10"/>
        <v>545.34426792191391</v>
      </c>
      <c r="AB74" s="1">
        <f t="shared" si="10"/>
        <v>298.21504684333127</v>
      </c>
      <c r="AC74" s="1">
        <f t="shared" si="10"/>
        <v>35.333966596066375</v>
      </c>
      <c r="AD74" s="1">
        <f t="shared" si="10"/>
        <v>185.44794327967338</v>
      </c>
      <c r="AE74" s="1">
        <f t="shared" si="10"/>
        <v>436.56347628770209</v>
      </c>
      <c r="AF74" s="1">
        <f t="shared" si="10"/>
        <v>162.67977861718344</v>
      </c>
      <c r="AG74" s="1">
        <f t="shared" si="10"/>
        <v>216.15215722346178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 x14ac:dyDescent="0.45">
      <c r="A75" s="8">
        <v>92.051072390415982</v>
      </c>
      <c r="Q75" s="9">
        <v>92.051072390415982</v>
      </c>
      <c r="R75" s="1">
        <f t="shared" si="9"/>
        <v>-184.42712996654768</v>
      </c>
      <c r="S75" s="1">
        <f t="shared" si="11"/>
        <v>505.15934999217063</v>
      </c>
      <c r="T75" s="1">
        <f t="shared" si="10"/>
        <v>204.64797660269062</v>
      </c>
      <c r="U75" s="1">
        <f t="shared" si="10"/>
        <v>393.69557760716901</v>
      </c>
      <c r="V75" s="1">
        <f t="shared" si="10"/>
        <v>208.3377473171555</v>
      </c>
      <c r="W75" s="1">
        <f t="shared" si="10"/>
        <v>131.10075713382952</v>
      </c>
      <c r="X75" s="1">
        <f t="shared" si="10"/>
        <v>200.34605210648334</v>
      </c>
      <c r="Y75" s="1">
        <f t="shared" si="10"/>
        <v>220.18785541026077</v>
      </c>
      <c r="Z75" s="1">
        <f t="shared" si="10"/>
        <v>545.34426792191391</v>
      </c>
      <c r="AA75" s="1">
        <f t="shared" si="10"/>
        <v>298.21504684333127</v>
      </c>
      <c r="AB75" s="1">
        <f t="shared" si="10"/>
        <v>35.333966596066375</v>
      </c>
      <c r="AC75" s="1">
        <f t="shared" si="10"/>
        <v>185.44794327967338</v>
      </c>
      <c r="AD75" s="1">
        <f t="shared" si="10"/>
        <v>436.56347628770209</v>
      </c>
      <c r="AE75" s="1">
        <f t="shared" si="10"/>
        <v>162.67977861718344</v>
      </c>
      <c r="AF75" s="1">
        <f t="shared" si="10"/>
        <v>216.15215722346178</v>
      </c>
      <c r="AG75" s="1">
        <f t="shared" si="10"/>
        <v>249.61201762606564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 x14ac:dyDescent="0.45">
      <c r="A76" s="8">
        <v>505.15934999217063</v>
      </c>
      <c r="Q76" s="9">
        <v>505.15934999217063</v>
      </c>
      <c r="R76" s="1">
        <f t="shared" si="9"/>
        <v>228.68114763520697</v>
      </c>
      <c r="S76" s="1">
        <f t="shared" si="11"/>
        <v>204.64797660269062</v>
      </c>
      <c r="T76" s="1">
        <f t="shared" si="10"/>
        <v>393.69557760716901</v>
      </c>
      <c r="U76" s="1">
        <f t="shared" si="10"/>
        <v>208.3377473171555</v>
      </c>
      <c r="V76" s="1">
        <f t="shared" si="10"/>
        <v>131.10075713382952</v>
      </c>
      <c r="W76" s="1">
        <f t="shared" si="10"/>
        <v>200.34605210648334</v>
      </c>
      <c r="X76" s="1">
        <f t="shared" si="10"/>
        <v>220.18785541026077</v>
      </c>
      <c r="Y76" s="1">
        <f t="shared" si="10"/>
        <v>545.34426792191391</v>
      </c>
      <c r="Z76" s="1">
        <f t="shared" si="10"/>
        <v>298.21504684333127</v>
      </c>
      <c r="AA76" s="1">
        <f t="shared" si="10"/>
        <v>35.333966596066375</v>
      </c>
      <c r="AB76" s="1">
        <f t="shared" si="10"/>
        <v>185.44794327967338</v>
      </c>
      <c r="AC76" s="1">
        <f t="shared" si="10"/>
        <v>436.56347628770209</v>
      </c>
      <c r="AD76" s="1">
        <f t="shared" si="10"/>
        <v>162.67977861718344</v>
      </c>
      <c r="AE76" s="1">
        <f t="shared" si="10"/>
        <v>216.15215722346178</v>
      </c>
      <c r="AF76" s="1">
        <f t="shared" si="10"/>
        <v>249.61201762606564</v>
      </c>
      <c r="AG76" s="1">
        <f t="shared" si="10"/>
        <v>341.69175316393586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 x14ac:dyDescent="0.45">
      <c r="A77" s="8">
        <v>204.64797660269062</v>
      </c>
      <c r="Q77" s="9">
        <v>204.64797660269062</v>
      </c>
      <c r="R77" s="1">
        <f t="shared" si="9"/>
        <v>-71.830225754273044</v>
      </c>
      <c r="S77" s="1">
        <f t="shared" si="11"/>
        <v>393.69557760716901</v>
      </c>
      <c r="T77" s="1">
        <f t="shared" si="10"/>
        <v>208.3377473171555</v>
      </c>
      <c r="U77" s="1">
        <f t="shared" si="10"/>
        <v>131.10075713382952</v>
      </c>
      <c r="V77" s="1">
        <f t="shared" si="10"/>
        <v>200.34605210648334</v>
      </c>
      <c r="W77" s="1">
        <f t="shared" si="10"/>
        <v>220.18785541026077</v>
      </c>
      <c r="X77" s="1">
        <f t="shared" si="10"/>
        <v>545.34426792191391</v>
      </c>
      <c r="Y77" s="1">
        <f t="shared" si="10"/>
        <v>298.21504684333127</v>
      </c>
      <c r="Z77" s="1">
        <f t="shared" si="10"/>
        <v>35.333966596066375</v>
      </c>
      <c r="AA77" s="1">
        <f t="shared" si="10"/>
        <v>185.44794327967338</v>
      </c>
      <c r="AB77" s="1">
        <f t="shared" si="10"/>
        <v>436.56347628770209</v>
      </c>
      <c r="AC77" s="1">
        <f t="shared" si="10"/>
        <v>162.67977861718344</v>
      </c>
      <c r="AD77" s="1">
        <f t="shared" si="10"/>
        <v>216.15215722346178</v>
      </c>
      <c r="AE77" s="1">
        <f t="shared" si="10"/>
        <v>249.61201762606564</v>
      </c>
      <c r="AF77" s="1">
        <f t="shared" si="10"/>
        <v>341.69175316393586</v>
      </c>
      <c r="AG77" s="1">
        <f t="shared" si="10"/>
        <v>203.30563183272307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 x14ac:dyDescent="0.45">
      <c r="A78" s="8">
        <v>393.69557760716901</v>
      </c>
      <c r="Q78" s="9">
        <v>393.69557760716901</v>
      </c>
      <c r="R78" s="1">
        <f t="shared" si="9"/>
        <v>117.21737525020535</v>
      </c>
      <c r="S78" s="1">
        <f t="shared" si="11"/>
        <v>208.3377473171555</v>
      </c>
      <c r="T78" s="1">
        <f t="shared" si="10"/>
        <v>131.10075713382952</v>
      </c>
      <c r="U78" s="1">
        <f t="shared" si="10"/>
        <v>200.34605210648334</v>
      </c>
      <c r="V78" s="1">
        <f t="shared" si="10"/>
        <v>220.18785541026077</v>
      </c>
      <c r="W78" s="1">
        <f t="shared" si="10"/>
        <v>545.34426792191391</v>
      </c>
      <c r="X78" s="1">
        <f t="shared" si="10"/>
        <v>298.21504684333127</v>
      </c>
      <c r="Y78" s="1">
        <f t="shared" si="10"/>
        <v>35.333966596066375</v>
      </c>
      <c r="Z78" s="1">
        <f t="shared" si="10"/>
        <v>185.44794327967338</v>
      </c>
      <c r="AA78" s="1">
        <f t="shared" si="10"/>
        <v>436.56347628770209</v>
      </c>
      <c r="AB78" s="1">
        <f t="shared" si="10"/>
        <v>162.67977861718344</v>
      </c>
      <c r="AC78" s="1">
        <f t="shared" si="10"/>
        <v>216.15215722346178</v>
      </c>
      <c r="AD78" s="1">
        <f t="shared" si="10"/>
        <v>249.61201762606564</v>
      </c>
      <c r="AE78" s="1">
        <f t="shared" si="10"/>
        <v>341.69175316393586</v>
      </c>
      <c r="AF78" s="1">
        <f t="shared" si="10"/>
        <v>203.30563183272307</v>
      </c>
      <c r="AG78" s="1">
        <f t="shared" si="10"/>
        <v>388.73073722723774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 x14ac:dyDescent="0.45">
      <c r="A79" s="8">
        <v>208.3377473171555</v>
      </c>
      <c r="Q79" s="9">
        <v>208.3377473171555</v>
      </c>
      <c r="R79" s="1">
        <f t="shared" si="9"/>
        <v>-68.14045503980816</v>
      </c>
      <c r="S79" s="1">
        <f t="shared" si="11"/>
        <v>131.10075713382952</v>
      </c>
      <c r="T79" s="1">
        <f t="shared" si="10"/>
        <v>200.34605210648334</v>
      </c>
      <c r="U79" s="1">
        <f t="shared" si="10"/>
        <v>220.18785541026077</v>
      </c>
      <c r="V79" s="1">
        <f t="shared" si="10"/>
        <v>545.34426792191391</v>
      </c>
      <c r="W79" s="1">
        <f t="shared" si="10"/>
        <v>298.21504684333127</v>
      </c>
      <c r="X79" s="1">
        <f t="shared" si="10"/>
        <v>35.333966596066375</v>
      </c>
      <c r="Y79" s="1">
        <f t="shared" si="10"/>
        <v>185.44794327967338</v>
      </c>
      <c r="Z79" s="1">
        <f t="shared" si="10"/>
        <v>436.56347628770209</v>
      </c>
      <c r="AA79" s="1">
        <f t="shared" si="10"/>
        <v>162.67977861718344</v>
      </c>
      <c r="AB79" s="1">
        <f t="shared" si="10"/>
        <v>216.15215722346178</v>
      </c>
      <c r="AC79" s="1">
        <f t="shared" si="10"/>
        <v>249.61201762606564</v>
      </c>
      <c r="AD79" s="1">
        <f t="shared" si="10"/>
        <v>341.69175316393586</v>
      </c>
      <c r="AE79" s="1">
        <f t="shared" si="10"/>
        <v>203.30563183272307</v>
      </c>
      <c r="AF79" s="1">
        <f t="shared" si="10"/>
        <v>388.73073722723774</v>
      </c>
      <c r="AG79" s="1">
        <f t="shared" si="10"/>
        <v>158.91079043238744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 x14ac:dyDescent="0.45">
      <c r="A80" s="8">
        <v>131.10075713382952</v>
      </c>
      <c r="Q80" s="9">
        <v>131.10075713382952</v>
      </c>
      <c r="R80" s="1">
        <f t="shared" si="9"/>
        <v>-145.37744522313415</v>
      </c>
      <c r="S80" s="1">
        <f t="shared" si="11"/>
        <v>200.34605210648334</v>
      </c>
      <c r="T80" s="1">
        <f t="shared" si="10"/>
        <v>220.18785541026077</v>
      </c>
      <c r="U80" s="1">
        <f t="shared" si="10"/>
        <v>545.34426792191391</v>
      </c>
      <c r="V80" s="1">
        <f t="shared" si="10"/>
        <v>298.21504684333127</v>
      </c>
      <c r="W80" s="1">
        <f t="shared" si="10"/>
        <v>35.333966596066375</v>
      </c>
      <c r="X80" s="1">
        <f t="shared" si="10"/>
        <v>185.44794327967338</v>
      </c>
      <c r="Y80" s="1">
        <f t="shared" si="10"/>
        <v>436.56347628770209</v>
      </c>
      <c r="Z80" s="1">
        <f t="shared" si="10"/>
        <v>162.67977861718344</v>
      </c>
      <c r="AA80" s="1">
        <f t="shared" si="10"/>
        <v>216.15215722346178</v>
      </c>
      <c r="AB80" s="1">
        <f t="shared" si="10"/>
        <v>249.61201762606564</v>
      </c>
      <c r="AC80" s="1">
        <f t="shared" si="10"/>
        <v>341.69175316393586</v>
      </c>
      <c r="AD80" s="1">
        <f t="shared" si="10"/>
        <v>203.30563183272307</v>
      </c>
      <c r="AE80" s="1">
        <f t="shared" si="10"/>
        <v>388.73073722723774</v>
      </c>
      <c r="AF80" s="1">
        <f t="shared" si="10"/>
        <v>158.91079043238744</v>
      </c>
      <c r="AG80" s="1">
        <f t="shared" si="10"/>
        <v>79.627903538835881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 x14ac:dyDescent="0.45">
      <c r="A81" s="8">
        <v>200.34605210648334</v>
      </c>
      <c r="Q81" s="9">
        <v>200.34605210648334</v>
      </c>
      <c r="R81" s="1">
        <f t="shared" si="9"/>
        <v>-76.132150250480322</v>
      </c>
      <c r="S81" s="1">
        <f t="shared" si="11"/>
        <v>220.18785541026077</v>
      </c>
      <c r="T81" s="1">
        <f t="shared" si="10"/>
        <v>545.34426792191391</v>
      </c>
      <c r="U81" s="1">
        <f t="shared" si="10"/>
        <v>298.21504684333127</v>
      </c>
      <c r="V81" s="1">
        <f t="shared" si="10"/>
        <v>35.333966596066375</v>
      </c>
      <c r="W81" s="1">
        <f t="shared" si="10"/>
        <v>185.44794327967338</v>
      </c>
      <c r="X81" s="1">
        <f t="shared" si="10"/>
        <v>436.56347628770209</v>
      </c>
      <c r="Y81" s="1">
        <f t="shared" si="10"/>
        <v>162.67977861718344</v>
      </c>
      <c r="Z81" s="1">
        <f t="shared" si="10"/>
        <v>216.15215722346178</v>
      </c>
      <c r="AA81" s="1">
        <f t="shared" si="10"/>
        <v>249.61201762606564</v>
      </c>
      <c r="AB81" s="1">
        <f t="shared" si="10"/>
        <v>341.69175316393586</v>
      </c>
      <c r="AC81" s="1">
        <f t="shared" si="10"/>
        <v>203.30563183272307</v>
      </c>
      <c r="AD81" s="1">
        <f t="shared" si="10"/>
        <v>388.73073722723774</v>
      </c>
      <c r="AE81" s="1">
        <f t="shared" si="10"/>
        <v>158.91079043238744</v>
      </c>
      <c r="AF81" s="1">
        <f t="shared" si="10"/>
        <v>79.627903538835881</v>
      </c>
      <c r="AG81" s="1">
        <f t="shared" si="10"/>
        <v>127.99124370748665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 x14ac:dyDescent="0.45">
      <c r="A82" s="8">
        <v>220.18785541026077</v>
      </c>
      <c r="Q82" s="9">
        <v>220.18785541026077</v>
      </c>
      <c r="R82" s="1">
        <f t="shared" si="9"/>
        <v>-56.290346946702897</v>
      </c>
      <c r="S82" s="1">
        <f t="shared" si="11"/>
        <v>545.34426792191391</v>
      </c>
      <c r="T82" s="1">
        <f t="shared" si="10"/>
        <v>298.21504684333127</v>
      </c>
      <c r="U82" s="1">
        <f t="shared" si="10"/>
        <v>35.333966596066375</v>
      </c>
      <c r="V82" s="1">
        <f t="shared" si="10"/>
        <v>185.44794327967338</v>
      </c>
      <c r="W82" s="1">
        <f t="shared" si="10"/>
        <v>436.56347628770209</v>
      </c>
      <c r="X82" s="1">
        <f t="shared" si="10"/>
        <v>162.67977861718344</v>
      </c>
      <c r="Y82" s="1">
        <f t="shared" si="10"/>
        <v>216.15215722346178</v>
      </c>
      <c r="Z82" s="1">
        <f t="shared" si="10"/>
        <v>249.61201762606564</v>
      </c>
      <c r="AA82" s="1">
        <f t="shared" si="10"/>
        <v>341.69175316393586</v>
      </c>
      <c r="AB82" s="1">
        <f t="shared" si="10"/>
        <v>203.30563183272307</v>
      </c>
      <c r="AC82" s="1">
        <f t="shared" si="10"/>
        <v>388.73073722723774</v>
      </c>
      <c r="AD82" s="1">
        <f t="shared" si="10"/>
        <v>158.91079043238744</v>
      </c>
      <c r="AE82" s="1">
        <f t="shared" si="10"/>
        <v>79.627903538835881</v>
      </c>
      <c r="AF82" s="1">
        <f t="shared" si="10"/>
        <v>127.99124370748665</v>
      </c>
      <c r="AG82" s="1">
        <f t="shared" si="10"/>
        <v>395.60937797206873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 x14ac:dyDescent="0.45">
      <c r="A83" s="8">
        <v>545.34426792191391</v>
      </c>
      <c r="Q83" s="9">
        <v>545.34426792191391</v>
      </c>
      <c r="R83" s="1">
        <f t="shared" si="9"/>
        <v>268.86606556495025</v>
      </c>
      <c r="S83" s="1">
        <f t="shared" si="11"/>
        <v>298.21504684333127</v>
      </c>
      <c r="T83" s="1">
        <f t="shared" si="10"/>
        <v>35.333966596066375</v>
      </c>
      <c r="U83" s="1">
        <f t="shared" si="10"/>
        <v>185.44794327967338</v>
      </c>
      <c r="V83" s="1">
        <f t="shared" si="10"/>
        <v>436.56347628770209</v>
      </c>
      <c r="W83" s="1">
        <f t="shared" si="10"/>
        <v>162.67977861718344</v>
      </c>
      <c r="X83" s="1">
        <f t="shared" si="10"/>
        <v>216.15215722346178</v>
      </c>
      <c r="Y83" s="1">
        <f t="shared" si="10"/>
        <v>249.61201762606564</v>
      </c>
      <c r="Z83" s="1">
        <f t="shared" si="10"/>
        <v>341.69175316393586</v>
      </c>
      <c r="AA83" s="1">
        <f t="shared" si="10"/>
        <v>203.30563183272307</v>
      </c>
      <c r="AB83" s="1">
        <f t="shared" si="10"/>
        <v>388.73073722723774</v>
      </c>
      <c r="AC83" s="1">
        <f t="shared" si="10"/>
        <v>158.91079043238744</v>
      </c>
      <c r="AD83" s="1">
        <f t="shared" ref="U83:AG98" si="12">AC84</f>
        <v>79.627903538835881</v>
      </c>
      <c r="AE83" s="1">
        <f t="shared" si="12"/>
        <v>127.99124370748665</v>
      </c>
      <c r="AF83" s="1">
        <f t="shared" si="12"/>
        <v>395.60937797206873</v>
      </c>
      <c r="AG83" s="1">
        <f t="shared" si="12"/>
        <v>211.19042812250598</v>
      </c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 x14ac:dyDescent="0.45">
      <c r="A84" s="8">
        <v>298.21504684333127</v>
      </c>
      <c r="Q84" s="9">
        <v>298.21504684333127</v>
      </c>
      <c r="R84" s="1">
        <f t="shared" si="9"/>
        <v>21.736844486367602</v>
      </c>
      <c r="S84" s="1">
        <f t="shared" si="11"/>
        <v>35.333966596066375</v>
      </c>
      <c r="T84" s="1">
        <f t="shared" si="10"/>
        <v>185.44794327967338</v>
      </c>
      <c r="U84" s="1">
        <f t="shared" si="12"/>
        <v>436.56347628770209</v>
      </c>
      <c r="V84" s="1">
        <f t="shared" si="12"/>
        <v>162.67977861718344</v>
      </c>
      <c r="W84" s="1">
        <f t="shared" si="12"/>
        <v>216.15215722346178</v>
      </c>
      <c r="X84" s="1">
        <f t="shared" si="12"/>
        <v>249.61201762606564</v>
      </c>
      <c r="Y84" s="1">
        <f t="shared" si="12"/>
        <v>341.69175316393586</v>
      </c>
      <c r="Z84" s="1">
        <f t="shared" si="12"/>
        <v>203.30563183272307</v>
      </c>
      <c r="AA84" s="1">
        <f t="shared" si="12"/>
        <v>388.73073722723774</v>
      </c>
      <c r="AB84" s="1">
        <f t="shared" si="12"/>
        <v>158.91079043238744</v>
      </c>
      <c r="AC84" s="1">
        <f t="shared" si="12"/>
        <v>79.627903538835881</v>
      </c>
      <c r="AD84" s="1">
        <f t="shared" si="12"/>
        <v>127.99124370748665</v>
      </c>
      <c r="AE84" s="1">
        <f t="shared" si="12"/>
        <v>395.60937797206873</v>
      </c>
      <c r="AF84" s="1">
        <f t="shared" si="12"/>
        <v>211.19042812250598</v>
      </c>
      <c r="AG84" s="1">
        <f t="shared" si="12"/>
        <v>336.1261218728319</v>
      </c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 x14ac:dyDescent="0.45">
      <c r="A85" s="8">
        <v>35.333966596066375</v>
      </c>
      <c r="Q85" s="9">
        <v>35.333966596066375</v>
      </c>
      <c r="R85" s="1">
        <f t="shared" si="9"/>
        <v>-241.14423576089729</v>
      </c>
      <c r="S85" s="1">
        <f t="shared" si="11"/>
        <v>185.44794327967338</v>
      </c>
      <c r="T85" s="1">
        <f t="shared" si="10"/>
        <v>436.56347628770209</v>
      </c>
      <c r="U85" s="1">
        <f t="shared" si="12"/>
        <v>162.67977861718344</v>
      </c>
      <c r="V85" s="1">
        <f t="shared" si="12"/>
        <v>216.15215722346178</v>
      </c>
      <c r="W85" s="1">
        <f t="shared" si="12"/>
        <v>249.61201762606564</v>
      </c>
      <c r="X85" s="1">
        <f t="shared" si="12"/>
        <v>341.69175316393586</v>
      </c>
      <c r="Y85" s="1">
        <f t="shared" si="12"/>
        <v>203.30563183272307</v>
      </c>
      <c r="Z85" s="1">
        <f t="shared" si="12"/>
        <v>388.73073722723774</v>
      </c>
      <c r="AA85" s="1">
        <f t="shared" si="12"/>
        <v>158.91079043238744</v>
      </c>
      <c r="AB85" s="1">
        <f t="shared" si="12"/>
        <v>79.627903538835881</v>
      </c>
      <c r="AC85" s="1">
        <f t="shared" si="12"/>
        <v>127.99124370748665</v>
      </c>
      <c r="AD85" s="1">
        <f t="shared" si="12"/>
        <v>395.60937797206873</v>
      </c>
      <c r="AE85" s="1">
        <f t="shared" si="12"/>
        <v>211.19042812250598</v>
      </c>
      <c r="AF85" s="1">
        <f t="shared" si="12"/>
        <v>336.1261218728319</v>
      </c>
      <c r="AG85" s="1">
        <f t="shared" si="12"/>
        <v>283.75273249906081</v>
      </c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 x14ac:dyDescent="0.45">
      <c r="A86" s="8">
        <v>185.44794327967338</v>
      </c>
      <c r="Q86" s="9">
        <v>185.44794327967338</v>
      </c>
      <c r="R86" s="1">
        <f t="shared" si="9"/>
        <v>-91.030259077290282</v>
      </c>
      <c r="S86" s="1">
        <f t="shared" si="11"/>
        <v>436.56347628770209</v>
      </c>
      <c r="T86" s="1">
        <f t="shared" si="10"/>
        <v>162.67977861718344</v>
      </c>
      <c r="U86" s="1">
        <f t="shared" si="12"/>
        <v>216.15215722346178</v>
      </c>
      <c r="V86" s="1">
        <f t="shared" si="12"/>
        <v>249.61201762606564</v>
      </c>
      <c r="W86" s="1">
        <f t="shared" si="12"/>
        <v>341.69175316393586</v>
      </c>
      <c r="X86" s="1">
        <f t="shared" si="12"/>
        <v>203.30563183272307</v>
      </c>
      <c r="Y86" s="1">
        <f t="shared" si="12"/>
        <v>388.73073722723774</v>
      </c>
      <c r="Z86" s="1">
        <f t="shared" si="12"/>
        <v>158.91079043238744</v>
      </c>
      <c r="AA86" s="1">
        <f t="shared" si="12"/>
        <v>79.627903538835881</v>
      </c>
      <c r="AB86" s="1">
        <f t="shared" si="12"/>
        <v>127.99124370748665</v>
      </c>
      <c r="AC86" s="1">
        <f t="shared" si="12"/>
        <v>395.60937797206873</v>
      </c>
      <c r="AD86" s="1">
        <f t="shared" si="12"/>
        <v>211.19042812250598</v>
      </c>
      <c r="AE86" s="1">
        <f t="shared" si="12"/>
        <v>336.1261218728319</v>
      </c>
      <c r="AF86" s="1">
        <f t="shared" si="12"/>
        <v>283.75273249906081</v>
      </c>
      <c r="AG86" s="1">
        <f t="shared" si="12"/>
        <v>105.02116918454753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 x14ac:dyDescent="0.45">
      <c r="A87" s="8">
        <v>436.56347628770209</v>
      </c>
      <c r="Q87" s="9">
        <v>436.56347628770209</v>
      </c>
      <c r="R87" s="1">
        <f t="shared" si="9"/>
        <v>160.08527393073842</v>
      </c>
      <c r="S87" s="1">
        <f t="shared" si="11"/>
        <v>162.67977861718344</v>
      </c>
      <c r="T87" s="1">
        <f t="shared" si="10"/>
        <v>216.15215722346178</v>
      </c>
      <c r="U87" s="1">
        <f t="shared" si="12"/>
        <v>249.61201762606564</v>
      </c>
      <c r="V87" s="1">
        <f t="shared" si="12"/>
        <v>341.69175316393586</v>
      </c>
      <c r="W87" s="1">
        <f t="shared" si="12"/>
        <v>203.30563183272307</v>
      </c>
      <c r="X87" s="1">
        <f t="shared" si="12"/>
        <v>388.73073722723774</v>
      </c>
      <c r="Y87" s="1">
        <f t="shared" si="12"/>
        <v>158.91079043238744</v>
      </c>
      <c r="Z87" s="1">
        <f t="shared" si="12"/>
        <v>79.627903538835881</v>
      </c>
      <c r="AA87" s="1">
        <f t="shared" si="12"/>
        <v>127.99124370748665</v>
      </c>
      <c r="AB87" s="1">
        <f t="shared" si="12"/>
        <v>395.60937797206873</v>
      </c>
      <c r="AC87" s="1">
        <f t="shared" si="12"/>
        <v>211.19042812250598</v>
      </c>
      <c r="AD87" s="1">
        <f t="shared" si="12"/>
        <v>336.1261218728319</v>
      </c>
      <c r="AE87" s="1">
        <f t="shared" si="12"/>
        <v>283.75273249906081</v>
      </c>
      <c r="AF87" s="1">
        <f t="shared" si="12"/>
        <v>105.02116918454753</v>
      </c>
      <c r="AG87" s="1">
        <f t="shared" si="12"/>
        <v>425.36850075864334</v>
      </c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 x14ac:dyDescent="0.45">
      <c r="A88" s="8">
        <v>162.67977861718344</v>
      </c>
      <c r="Q88" s="9">
        <v>162.67977861718344</v>
      </c>
      <c r="R88" s="1">
        <f t="shared" si="9"/>
        <v>-113.79842373978022</v>
      </c>
      <c r="S88" s="1">
        <f t="shared" si="11"/>
        <v>216.15215722346178</v>
      </c>
      <c r="T88" s="1">
        <f t="shared" si="10"/>
        <v>249.61201762606564</v>
      </c>
      <c r="U88" s="1">
        <f t="shared" si="12"/>
        <v>341.69175316393586</v>
      </c>
      <c r="V88" s="1">
        <f t="shared" si="12"/>
        <v>203.30563183272307</v>
      </c>
      <c r="W88" s="1">
        <f t="shared" si="12"/>
        <v>388.73073722723774</v>
      </c>
      <c r="X88" s="1">
        <f t="shared" si="12"/>
        <v>158.91079043238744</v>
      </c>
      <c r="Y88" s="1">
        <f t="shared" si="12"/>
        <v>79.627903538835881</v>
      </c>
      <c r="Z88" s="1">
        <f t="shared" si="12"/>
        <v>127.99124370748665</v>
      </c>
      <c r="AA88" s="1">
        <f t="shared" si="12"/>
        <v>395.60937797206873</v>
      </c>
      <c r="AB88" s="1">
        <f t="shared" si="12"/>
        <v>211.19042812250598</v>
      </c>
      <c r="AC88" s="1">
        <f t="shared" si="12"/>
        <v>336.1261218728319</v>
      </c>
      <c r="AD88" s="1">
        <f t="shared" si="12"/>
        <v>283.75273249906081</v>
      </c>
      <c r="AE88" s="1">
        <f t="shared" si="12"/>
        <v>105.02116918454753</v>
      </c>
      <c r="AF88" s="1">
        <f t="shared" si="12"/>
        <v>425.36850075864334</v>
      </c>
      <c r="AG88" s="1">
        <f t="shared" si="12"/>
        <v>102.97001833383734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 x14ac:dyDescent="0.45">
      <c r="A89" s="8">
        <v>216.15215722346178</v>
      </c>
      <c r="Q89" s="9">
        <v>216.15215722346178</v>
      </c>
      <c r="R89" s="1">
        <f t="shared" si="9"/>
        <v>-60.326045133501879</v>
      </c>
      <c r="S89" s="1">
        <f t="shared" si="11"/>
        <v>249.61201762606564</v>
      </c>
      <c r="T89" s="1">
        <f t="shared" si="10"/>
        <v>341.69175316393586</v>
      </c>
      <c r="U89" s="1">
        <f t="shared" si="12"/>
        <v>203.30563183272307</v>
      </c>
      <c r="V89" s="1">
        <f t="shared" si="12"/>
        <v>388.73073722723774</v>
      </c>
      <c r="W89" s="1">
        <f t="shared" si="12"/>
        <v>158.91079043238744</v>
      </c>
      <c r="X89" s="1">
        <f t="shared" si="12"/>
        <v>79.627903538835881</v>
      </c>
      <c r="Y89" s="1">
        <f t="shared" si="12"/>
        <v>127.99124370748665</v>
      </c>
      <c r="Z89" s="1">
        <f t="shared" si="12"/>
        <v>395.60937797206873</v>
      </c>
      <c r="AA89" s="1">
        <f t="shared" si="12"/>
        <v>211.19042812250598</v>
      </c>
      <c r="AB89" s="1">
        <f t="shared" si="12"/>
        <v>336.1261218728319</v>
      </c>
      <c r="AC89" s="1">
        <f t="shared" si="12"/>
        <v>283.75273249906081</v>
      </c>
      <c r="AD89" s="1">
        <f t="shared" si="12"/>
        <v>105.02116918454753</v>
      </c>
      <c r="AE89" s="1">
        <f t="shared" si="12"/>
        <v>425.36850075864334</v>
      </c>
      <c r="AF89" s="1">
        <f t="shared" si="12"/>
        <v>102.97001833383734</v>
      </c>
      <c r="AG89" s="1">
        <f t="shared" si="12"/>
        <v>366.03119660905475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 x14ac:dyDescent="0.45">
      <c r="A90" s="8">
        <v>249.61201762606564</v>
      </c>
      <c r="Q90" s="9">
        <v>249.61201762606564</v>
      </c>
      <c r="R90" s="1">
        <f t="shared" si="9"/>
        <v>-26.866184730898027</v>
      </c>
      <c r="S90" s="1">
        <f t="shared" si="11"/>
        <v>341.69175316393586</v>
      </c>
      <c r="T90" s="1">
        <f t="shared" si="10"/>
        <v>203.30563183272307</v>
      </c>
      <c r="U90" s="1">
        <f t="shared" si="12"/>
        <v>388.73073722723774</v>
      </c>
      <c r="V90" s="1">
        <f t="shared" si="12"/>
        <v>158.91079043238744</v>
      </c>
      <c r="W90" s="1">
        <f t="shared" si="12"/>
        <v>79.627903538835881</v>
      </c>
      <c r="X90" s="1">
        <f t="shared" si="12"/>
        <v>127.99124370748665</v>
      </c>
      <c r="Y90" s="1">
        <f t="shared" si="12"/>
        <v>395.60937797206873</v>
      </c>
      <c r="Z90" s="1">
        <f t="shared" si="12"/>
        <v>211.19042812250598</v>
      </c>
      <c r="AA90" s="1">
        <f t="shared" si="12"/>
        <v>336.1261218728319</v>
      </c>
      <c r="AB90" s="1">
        <f t="shared" si="12"/>
        <v>283.75273249906081</v>
      </c>
      <c r="AC90" s="1">
        <f t="shared" si="12"/>
        <v>105.02116918454753</v>
      </c>
      <c r="AD90" s="1">
        <f t="shared" si="12"/>
        <v>425.36850075864334</v>
      </c>
      <c r="AE90" s="1">
        <f t="shared" si="12"/>
        <v>102.97001833383734</v>
      </c>
      <c r="AF90" s="1">
        <f t="shared" si="12"/>
        <v>366.03119660905475</v>
      </c>
      <c r="AG90" s="1">
        <f t="shared" si="12"/>
        <v>340.31592031699176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 x14ac:dyDescent="0.45">
      <c r="A91" s="8">
        <v>341.69175316393586</v>
      </c>
      <c r="Q91" s="9">
        <v>341.69175316393586</v>
      </c>
      <c r="R91" s="1">
        <f t="shared" si="9"/>
        <v>65.213550806972194</v>
      </c>
      <c r="S91" s="1">
        <f t="shared" si="11"/>
        <v>203.30563183272307</v>
      </c>
      <c r="T91" s="1">
        <f t="shared" si="10"/>
        <v>388.73073722723774</v>
      </c>
      <c r="U91" s="1">
        <f t="shared" si="12"/>
        <v>158.91079043238744</v>
      </c>
      <c r="V91" s="1">
        <f t="shared" si="12"/>
        <v>79.627903538835881</v>
      </c>
      <c r="W91" s="1">
        <f t="shared" si="12"/>
        <v>127.99124370748665</v>
      </c>
      <c r="X91" s="1">
        <f t="shared" si="12"/>
        <v>395.60937797206873</v>
      </c>
      <c r="Y91" s="1">
        <f t="shared" si="12"/>
        <v>211.19042812250598</v>
      </c>
      <c r="Z91" s="1">
        <f t="shared" si="12"/>
        <v>336.1261218728319</v>
      </c>
      <c r="AA91" s="1">
        <f t="shared" si="12"/>
        <v>283.75273249906081</v>
      </c>
      <c r="AB91" s="1">
        <f t="shared" si="12"/>
        <v>105.02116918454753</v>
      </c>
      <c r="AC91" s="1">
        <f t="shared" si="12"/>
        <v>425.36850075864334</v>
      </c>
      <c r="AD91" s="1">
        <f t="shared" si="12"/>
        <v>102.97001833383734</v>
      </c>
      <c r="AE91" s="1">
        <f t="shared" si="12"/>
        <v>366.03119660905475</v>
      </c>
      <c r="AF91" s="1">
        <f t="shared" si="12"/>
        <v>340.31592031699176</v>
      </c>
      <c r="AG91" s="1">
        <f t="shared" si="12"/>
        <v>89.406776230258188</v>
      </c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 x14ac:dyDescent="0.45">
      <c r="A92" s="8">
        <v>203.30563183272307</v>
      </c>
      <c r="Q92" s="9">
        <v>203.30563183272307</v>
      </c>
      <c r="R92" s="1">
        <f t="shared" si="9"/>
        <v>-73.172570524240598</v>
      </c>
      <c r="S92" s="1">
        <f t="shared" si="11"/>
        <v>388.73073722723774</v>
      </c>
      <c r="T92" s="1">
        <f t="shared" si="10"/>
        <v>158.91079043238744</v>
      </c>
      <c r="U92" s="1">
        <f t="shared" si="12"/>
        <v>79.627903538835881</v>
      </c>
      <c r="V92" s="1">
        <f t="shared" si="12"/>
        <v>127.99124370748665</v>
      </c>
      <c r="W92" s="1">
        <f t="shared" si="12"/>
        <v>395.60937797206873</v>
      </c>
      <c r="X92" s="1">
        <f t="shared" si="12"/>
        <v>211.19042812250598</v>
      </c>
      <c r="Y92" s="1">
        <f t="shared" si="12"/>
        <v>336.1261218728319</v>
      </c>
      <c r="Z92" s="1">
        <f t="shared" si="12"/>
        <v>283.75273249906081</v>
      </c>
      <c r="AA92" s="1">
        <f t="shared" si="12"/>
        <v>105.02116918454753</v>
      </c>
      <c r="AB92" s="1">
        <f t="shared" si="12"/>
        <v>425.36850075864334</v>
      </c>
      <c r="AC92" s="1">
        <f t="shared" si="12"/>
        <v>102.97001833383734</v>
      </c>
      <c r="AD92" s="1">
        <f t="shared" si="12"/>
        <v>366.03119660905475</v>
      </c>
      <c r="AE92" s="1">
        <f t="shared" si="12"/>
        <v>340.31592031699176</v>
      </c>
      <c r="AF92" s="1">
        <f t="shared" si="12"/>
        <v>89.406776230258188</v>
      </c>
      <c r="AG92" s="1">
        <f t="shared" si="12"/>
        <v>86.036017111450917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 x14ac:dyDescent="0.45">
      <c r="A93" s="8">
        <v>388.73073722723774</v>
      </c>
      <c r="Q93" s="9">
        <v>388.73073722723774</v>
      </c>
      <c r="R93" s="1">
        <f t="shared" si="9"/>
        <v>112.25253487027408</v>
      </c>
      <c r="S93" s="1">
        <f t="shared" si="11"/>
        <v>158.91079043238744</v>
      </c>
      <c r="T93" s="1">
        <f t="shared" si="10"/>
        <v>79.627903538835881</v>
      </c>
      <c r="U93" s="1">
        <f t="shared" si="12"/>
        <v>127.99124370748665</v>
      </c>
      <c r="V93" s="1">
        <f t="shared" si="12"/>
        <v>395.60937797206873</v>
      </c>
      <c r="W93" s="1">
        <f t="shared" si="12"/>
        <v>211.19042812250598</v>
      </c>
      <c r="X93" s="1">
        <f t="shared" si="12"/>
        <v>336.1261218728319</v>
      </c>
      <c r="Y93" s="1">
        <f t="shared" si="12"/>
        <v>283.75273249906081</v>
      </c>
      <c r="Z93" s="1">
        <f t="shared" si="12"/>
        <v>105.02116918454753</v>
      </c>
      <c r="AA93" s="1">
        <f t="shared" si="12"/>
        <v>425.36850075864334</v>
      </c>
      <c r="AB93" s="1">
        <f t="shared" si="12"/>
        <v>102.97001833383734</v>
      </c>
      <c r="AC93" s="1">
        <f t="shared" si="12"/>
        <v>366.03119660905475</v>
      </c>
      <c r="AD93" s="1">
        <f t="shared" si="12"/>
        <v>340.31592031699176</v>
      </c>
      <c r="AE93" s="1">
        <f t="shared" si="12"/>
        <v>89.406776230258188</v>
      </c>
      <c r="AF93" s="1">
        <f t="shared" si="12"/>
        <v>86.036017111450917</v>
      </c>
      <c r="AG93" s="1">
        <f t="shared" si="12"/>
        <v>180.52809446994971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 x14ac:dyDescent="0.45">
      <c r="A94" s="8">
        <v>158.91079043238744</v>
      </c>
      <c r="Q94" s="9">
        <v>158.91079043238744</v>
      </c>
      <c r="R94" s="1">
        <f t="shared" si="9"/>
        <v>-117.56741192457622</v>
      </c>
      <c r="S94" s="1">
        <f t="shared" si="11"/>
        <v>79.627903538835881</v>
      </c>
      <c r="T94" s="1">
        <f t="shared" si="10"/>
        <v>127.99124370748665</v>
      </c>
      <c r="U94" s="1">
        <f t="shared" si="12"/>
        <v>395.60937797206873</v>
      </c>
      <c r="V94" s="1">
        <f t="shared" si="12"/>
        <v>211.19042812250598</v>
      </c>
      <c r="W94" s="1">
        <f t="shared" si="12"/>
        <v>336.1261218728319</v>
      </c>
      <c r="X94" s="1">
        <f t="shared" si="12"/>
        <v>283.75273249906081</v>
      </c>
      <c r="Y94" s="1">
        <f t="shared" si="12"/>
        <v>105.02116918454753</v>
      </c>
      <c r="Z94" s="1">
        <f t="shared" si="12"/>
        <v>425.36850075864334</v>
      </c>
      <c r="AA94" s="1">
        <f t="shared" si="12"/>
        <v>102.97001833383734</v>
      </c>
      <c r="AB94" s="1">
        <f t="shared" si="12"/>
        <v>366.03119660905475</v>
      </c>
      <c r="AC94" s="1">
        <f t="shared" si="12"/>
        <v>340.31592031699176</v>
      </c>
      <c r="AD94" s="1">
        <f t="shared" si="12"/>
        <v>89.406776230258188</v>
      </c>
      <c r="AE94" s="1">
        <f t="shared" si="12"/>
        <v>86.036017111450917</v>
      </c>
      <c r="AF94" s="1">
        <f t="shared" si="12"/>
        <v>180.52809446994971</v>
      </c>
      <c r="AG94" s="1">
        <f t="shared" si="12"/>
        <v>156.25047183375975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 x14ac:dyDescent="0.45">
      <c r="A95" s="8">
        <v>79.627903538835881</v>
      </c>
      <c r="Q95" s="9">
        <v>79.627903538835881</v>
      </c>
      <c r="R95" s="1">
        <f t="shared" si="9"/>
        <v>-196.85029881812778</v>
      </c>
      <c r="S95" s="1">
        <f t="shared" si="11"/>
        <v>127.99124370748665</v>
      </c>
      <c r="T95" s="1">
        <f t="shared" si="10"/>
        <v>395.60937797206873</v>
      </c>
      <c r="U95" s="1">
        <f t="shared" si="12"/>
        <v>211.19042812250598</v>
      </c>
      <c r="V95" s="1">
        <f t="shared" si="12"/>
        <v>336.1261218728319</v>
      </c>
      <c r="W95" s="1">
        <f t="shared" si="12"/>
        <v>283.75273249906081</v>
      </c>
      <c r="X95" s="1">
        <f t="shared" si="12"/>
        <v>105.02116918454753</v>
      </c>
      <c r="Y95" s="1">
        <f t="shared" si="12"/>
        <v>425.36850075864334</v>
      </c>
      <c r="Z95" s="1">
        <f t="shared" si="12"/>
        <v>102.97001833383734</v>
      </c>
      <c r="AA95" s="1">
        <f t="shared" si="12"/>
        <v>366.03119660905475</v>
      </c>
      <c r="AB95" s="1">
        <f t="shared" si="12"/>
        <v>340.31592031699176</v>
      </c>
      <c r="AC95" s="1">
        <f t="shared" si="12"/>
        <v>89.406776230258188</v>
      </c>
      <c r="AD95" s="1">
        <f t="shared" si="12"/>
        <v>86.036017111450917</v>
      </c>
      <c r="AE95" s="1">
        <f t="shared" si="12"/>
        <v>180.52809446994971</v>
      </c>
      <c r="AF95" s="1">
        <f t="shared" si="12"/>
        <v>156.25047183375975</v>
      </c>
      <c r="AG95" s="1">
        <f t="shared" si="12"/>
        <v>348.9796212775168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 x14ac:dyDescent="0.45">
      <c r="A96" s="8">
        <v>127.99124370748665</v>
      </c>
      <c r="Q96" s="9">
        <v>127.99124370748665</v>
      </c>
      <c r="R96" s="1">
        <f t="shared" si="9"/>
        <v>-148.486958649477</v>
      </c>
      <c r="S96" s="1">
        <f t="shared" si="11"/>
        <v>395.60937797206873</v>
      </c>
      <c r="T96" s="1">
        <f t="shared" si="10"/>
        <v>211.19042812250598</v>
      </c>
      <c r="U96" s="1">
        <f t="shared" si="12"/>
        <v>336.1261218728319</v>
      </c>
      <c r="V96" s="1">
        <f t="shared" si="12"/>
        <v>283.75273249906081</v>
      </c>
      <c r="W96" s="1">
        <f t="shared" si="12"/>
        <v>105.02116918454753</v>
      </c>
      <c r="X96" s="1">
        <f t="shared" si="12"/>
        <v>425.36850075864334</v>
      </c>
      <c r="Y96" s="1">
        <f t="shared" si="12"/>
        <v>102.97001833383734</v>
      </c>
      <c r="Z96" s="1">
        <f t="shared" si="12"/>
        <v>366.03119660905475</v>
      </c>
      <c r="AA96" s="1">
        <f t="shared" si="12"/>
        <v>340.31592031699176</v>
      </c>
      <c r="AB96" s="1">
        <f t="shared" si="12"/>
        <v>89.406776230258188</v>
      </c>
      <c r="AC96" s="1">
        <f t="shared" si="12"/>
        <v>86.036017111450917</v>
      </c>
      <c r="AD96" s="1">
        <f t="shared" si="12"/>
        <v>180.52809446994971</v>
      </c>
      <c r="AE96" s="1">
        <f t="shared" si="12"/>
        <v>156.25047183375975</v>
      </c>
      <c r="AF96" s="1">
        <f t="shared" si="12"/>
        <v>348.9796212775168</v>
      </c>
      <c r="AG96" s="1">
        <f t="shared" si="12"/>
        <v>26.25929918955304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 x14ac:dyDescent="0.45">
      <c r="A97" s="8">
        <v>395.60937797206873</v>
      </c>
      <c r="Q97" s="9">
        <v>395.60937797206873</v>
      </c>
      <c r="R97" s="1">
        <f t="shared" si="9"/>
        <v>119.13117561510506</v>
      </c>
      <c r="S97" s="1">
        <f t="shared" si="11"/>
        <v>211.19042812250598</v>
      </c>
      <c r="T97" s="1">
        <f t="shared" si="10"/>
        <v>336.1261218728319</v>
      </c>
      <c r="U97" s="1">
        <f t="shared" si="12"/>
        <v>283.75273249906081</v>
      </c>
      <c r="V97" s="1">
        <f t="shared" si="12"/>
        <v>105.02116918454753</v>
      </c>
      <c r="W97" s="1">
        <f t="shared" si="12"/>
        <v>425.36850075864334</v>
      </c>
      <c r="X97" s="1">
        <f t="shared" si="12"/>
        <v>102.97001833383734</v>
      </c>
      <c r="Y97" s="1">
        <f t="shared" si="12"/>
        <v>366.03119660905475</v>
      </c>
      <c r="Z97" s="1">
        <f t="shared" si="12"/>
        <v>340.31592031699176</v>
      </c>
      <c r="AA97" s="1">
        <f t="shared" si="12"/>
        <v>89.406776230258188</v>
      </c>
      <c r="AB97" s="1">
        <f t="shared" si="12"/>
        <v>86.036017111450917</v>
      </c>
      <c r="AC97" s="1">
        <f t="shared" si="12"/>
        <v>180.52809446994971</v>
      </c>
      <c r="AD97" s="1">
        <f t="shared" si="12"/>
        <v>156.25047183375975</v>
      </c>
      <c r="AE97" s="1">
        <f t="shared" si="12"/>
        <v>348.9796212775168</v>
      </c>
      <c r="AF97" s="1">
        <f t="shared" si="12"/>
        <v>26.25929918955304</v>
      </c>
      <c r="AG97" s="1">
        <f t="shared" si="12"/>
        <v>203.68345331447091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 x14ac:dyDescent="0.45">
      <c r="A98" s="8">
        <v>211.19042812250598</v>
      </c>
      <c r="Q98" s="9">
        <v>211.19042812250598</v>
      </c>
      <c r="R98" s="1">
        <f t="shared" si="9"/>
        <v>-65.287774234457686</v>
      </c>
      <c r="S98" s="1">
        <f t="shared" si="11"/>
        <v>336.1261218728319</v>
      </c>
      <c r="T98" s="1">
        <f t="shared" si="10"/>
        <v>283.75273249906081</v>
      </c>
      <c r="U98" s="1">
        <f t="shared" si="12"/>
        <v>105.02116918454753</v>
      </c>
      <c r="V98" s="1">
        <f t="shared" si="12"/>
        <v>425.36850075864334</v>
      </c>
      <c r="W98" s="1">
        <f t="shared" si="12"/>
        <v>102.97001833383734</v>
      </c>
      <c r="X98" s="1">
        <f t="shared" si="12"/>
        <v>366.03119660905475</v>
      </c>
      <c r="Y98" s="1">
        <f t="shared" si="12"/>
        <v>340.31592031699176</v>
      </c>
      <c r="Z98" s="1">
        <f t="shared" si="12"/>
        <v>89.406776230258188</v>
      </c>
      <c r="AA98" s="1">
        <f t="shared" si="12"/>
        <v>86.036017111450917</v>
      </c>
      <c r="AB98" s="1">
        <f t="shared" si="12"/>
        <v>180.52809446994971</v>
      </c>
      <c r="AC98" s="1">
        <f t="shared" si="12"/>
        <v>156.25047183375975</v>
      </c>
      <c r="AD98" s="1">
        <f t="shared" si="12"/>
        <v>348.9796212775168</v>
      </c>
      <c r="AE98" s="1">
        <f t="shared" si="12"/>
        <v>26.25929918955304</v>
      </c>
      <c r="AF98" s="1">
        <f t="shared" si="12"/>
        <v>203.68345331447091</v>
      </c>
      <c r="AG98" s="1">
        <f t="shared" si="12"/>
        <v>102.17919882822795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 x14ac:dyDescent="0.45">
      <c r="A99" s="8">
        <v>336.1261218728319</v>
      </c>
      <c r="Q99" s="9">
        <v>336.1261218728319</v>
      </c>
      <c r="R99" s="1">
        <f t="shared" si="9"/>
        <v>59.647919515868239</v>
      </c>
      <c r="S99" s="1">
        <f t="shared" si="11"/>
        <v>283.75273249906081</v>
      </c>
      <c r="T99" s="1">
        <f t="shared" si="10"/>
        <v>105.02116918454753</v>
      </c>
      <c r="U99" s="1">
        <f t="shared" ref="U99:AG114" si="13">T100</f>
        <v>425.36850075864334</v>
      </c>
      <c r="V99" s="1">
        <f t="shared" si="13"/>
        <v>102.97001833383734</v>
      </c>
      <c r="W99" s="1">
        <f t="shared" si="13"/>
        <v>366.03119660905475</v>
      </c>
      <c r="X99" s="1">
        <f t="shared" si="13"/>
        <v>340.31592031699176</v>
      </c>
      <c r="Y99" s="1">
        <f t="shared" si="13"/>
        <v>89.406776230258188</v>
      </c>
      <c r="Z99" s="1">
        <f t="shared" si="13"/>
        <v>86.036017111450917</v>
      </c>
      <c r="AA99" s="1">
        <f t="shared" si="13"/>
        <v>180.52809446994971</v>
      </c>
      <c r="AB99" s="1">
        <f t="shared" si="13"/>
        <v>156.25047183375975</v>
      </c>
      <c r="AC99" s="1">
        <f t="shared" si="13"/>
        <v>348.9796212775168</v>
      </c>
      <c r="AD99" s="1">
        <f t="shared" si="13"/>
        <v>26.25929918955304</v>
      </c>
      <c r="AE99" s="1">
        <f t="shared" si="13"/>
        <v>203.68345331447091</v>
      </c>
      <c r="AF99" s="1">
        <f t="shared" si="13"/>
        <v>102.17919882822795</v>
      </c>
      <c r="AG99" s="1">
        <f t="shared" si="13"/>
        <v>190.51609288178926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 x14ac:dyDescent="0.45">
      <c r="A100" s="8">
        <v>283.75273249906081</v>
      </c>
      <c r="Q100" s="9">
        <v>283.75273249906081</v>
      </c>
      <c r="R100" s="1">
        <f t="shared" si="9"/>
        <v>7.2745301420971487</v>
      </c>
      <c r="S100" s="1">
        <f t="shared" si="11"/>
        <v>105.02116918454753</v>
      </c>
      <c r="T100" s="1">
        <f t="shared" si="10"/>
        <v>425.36850075864334</v>
      </c>
      <c r="U100" s="1">
        <f t="shared" si="13"/>
        <v>102.97001833383734</v>
      </c>
      <c r="V100" s="1">
        <f t="shared" si="13"/>
        <v>366.03119660905475</v>
      </c>
      <c r="W100" s="1">
        <f t="shared" si="13"/>
        <v>340.31592031699176</v>
      </c>
      <c r="X100" s="1">
        <f t="shared" si="13"/>
        <v>89.406776230258188</v>
      </c>
      <c r="Y100" s="1">
        <f t="shared" si="13"/>
        <v>86.036017111450917</v>
      </c>
      <c r="Z100" s="1">
        <f t="shared" si="13"/>
        <v>180.52809446994971</v>
      </c>
      <c r="AA100" s="1">
        <f t="shared" si="13"/>
        <v>156.25047183375975</v>
      </c>
      <c r="AB100" s="1">
        <f t="shared" si="13"/>
        <v>348.9796212775168</v>
      </c>
      <c r="AC100" s="1">
        <f t="shared" si="13"/>
        <v>26.25929918955304</v>
      </c>
      <c r="AD100" s="1">
        <f t="shared" si="13"/>
        <v>203.68345331447091</v>
      </c>
      <c r="AE100" s="1">
        <f t="shared" si="13"/>
        <v>102.17919882822795</v>
      </c>
      <c r="AF100" s="1">
        <f t="shared" si="13"/>
        <v>190.51609288178926</v>
      </c>
      <c r="AG100" s="1">
        <f t="shared" si="13"/>
        <v>235.64677760754643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 x14ac:dyDescent="0.45">
      <c r="A101" s="8">
        <v>105.02116918454753</v>
      </c>
      <c r="Q101" s="9">
        <v>105.02116918454753</v>
      </c>
      <c r="R101" s="1">
        <f t="shared" si="9"/>
        <v>-171.45703317241612</v>
      </c>
      <c r="S101" s="1">
        <f t="shared" si="11"/>
        <v>425.36850075864334</v>
      </c>
      <c r="T101" s="1">
        <f t="shared" si="10"/>
        <v>102.97001833383734</v>
      </c>
      <c r="U101" s="1">
        <f t="shared" si="13"/>
        <v>366.03119660905475</v>
      </c>
      <c r="V101" s="1">
        <f t="shared" si="13"/>
        <v>340.31592031699176</v>
      </c>
      <c r="W101" s="1">
        <f t="shared" si="13"/>
        <v>89.406776230258188</v>
      </c>
      <c r="X101" s="1">
        <f t="shared" si="13"/>
        <v>86.036017111450917</v>
      </c>
      <c r="Y101" s="1">
        <f t="shared" si="13"/>
        <v>180.52809446994971</v>
      </c>
      <c r="Z101" s="1">
        <f t="shared" si="13"/>
        <v>156.25047183375975</v>
      </c>
      <c r="AA101" s="1">
        <f t="shared" si="13"/>
        <v>348.9796212775168</v>
      </c>
      <c r="AB101" s="1">
        <f t="shared" si="13"/>
        <v>26.25929918955304</v>
      </c>
      <c r="AC101" s="1">
        <f t="shared" si="13"/>
        <v>203.68345331447091</v>
      </c>
      <c r="AD101" s="1">
        <f t="shared" si="13"/>
        <v>102.17919882822795</v>
      </c>
      <c r="AE101" s="1">
        <f t="shared" si="13"/>
        <v>190.51609288178926</v>
      </c>
      <c r="AF101" s="1">
        <f t="shared" si="13"/>
        <v>235.64677760754643</v>
      </c>
      <c r="AG101" s="1">
        <f t="shared" si="13"/>
        <v>250.73257522774867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 x14ac:dyDescent="0.45">
      <c r="A102" s="8">
        <v>425.36850075864334</v>
      </c>
      <c r="Q102" s="9">
        <v>425.36850075864334</v>
      </c>
      <c r="R102" s="1">
        <f t="shared" si="9"/>
        <v>148.89029840167967</v>
      </c>
      <c r="S102" s="1">
        <f t="shared" si="11"/>
        <v>102.97001833383734</v>
      </c>
      <c r="T102" s="1">
        <f t="shared" si="10"/>
        <v>366.03119660905475</v>
      </c>
      <c r="U102" s="1">
        <f t="shared" si="13"/>
        <v>340.31592031699176</v>
      </c>
      <c r="V102" s="1">
        <f t="shared" si="13"/>
        <v>89.406776230258188</v>
      </c>
      <c r="W102" s="1">
        <f t="shared" si="13"/>
        <v>86.036017111450917</v>
      </c>
      <c r="X102" s="1">
        <f t="shared" si="13"/>
        <v>180.52809446994971</v>
      </c>
      <c r="Y102" s="1">
        <f t="shared" si="13"/>
        <v>156.25047183375975</v>
      </c>
      <c r="Z102" s="1">
        <f t="shared" si="13"/>
        <v>348.9796212775168</v>
      </c>
      <c r="AA102" s="1">
        <f t="shared" si="13"/>
        <v>26.25929918955304</v>
      </c>
      <c r="AB102" s="1">
        <f t="shared" si="13"/>
        <v>203.68345331447091</v>
      </c>
      <c r="AC102" s="1">
        <f t="shared" si="13"/>
        <v>102.17919882822795</v>
      </c>
      <c r="AD102" s="1">
        <f t="shared" si="13"/>
        <v>190.51609288178926</v>
      </c>
      <c r="AE102" s="1">
        <f t="shared" si="13"/>
        <v>235.64677760754643</v>
      </c>
      <c r="AF102" s="1">
        <f t="shared" si="13"/>
        <v>250.73257522774867</v>
      </c>
      <c r="AG102" s="1">
        <f t="shared" si="13"/>
        <v>124.48179450312151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 x14ac:dyDescent="0.45">
      <c r="A103" s="8">
        <v>102.97001833383734</v>
      </c>
      <c r="Q103" s="9">
        <v>102.97001833383734</v>
      </c>
      <c r="R103" s="1">
        <f t="shared" si="9"/>
        <v>-173.50818402312632</v>
      </c>
      <c r="S103" s="1">
        <f t="shared" si="11"/>
        <v>366.03119660905475</v>
      </c>
      <c r="T103" s="1">
        <f t="shared" si="10"/>
        <v>340.31592031699176</v>
      </c>
      <c r="U103" s="1">
        <f t="shared" si="13"/>
        <v>89.406776230258188</v>
      </c>
      <c r="V103" s="1">
        <f t="shared" si="13"/>
        <v>86.036017111450917</v>
      </c>
      <c r="W103" s="1">
        <f t="shared" si="13"/>
        <v>180.52809446994971</v>
      </c>
      <c r="X103" s="1">
        <f t="shared" si="13"/>
        <v>156.25047183375975</v>
      </c>
      <c r="Y103" s="1">
        <f t="shared" si="13"/>
        <v>348.9796212775168</v>
      </c>
      <c r="Z103" s="1">
        <f t="shared" si="13"/>
        <v>26.25929918955304</v>
      </c>
      <c r="AA103" s="1">
        <f t="shared" si="13"/>
        <v>203.68345331447091</v>
      </c>
      <c r="AB103" s="1">
        <f t="shared" si="13"/>
        <v>102.17919882822795</v>
      </c>
      <c r="AC103" s="1">
        <f t="shared" si="13"/>
        <v>190.51609288178926</v>
      </c>
      <c r="AD103" s="1">
        <f t="shared" si="13"/>
        <v>235.64677760754643</v>
      </c>
      <c r="AE103" s="1">
        <f t="shared" si="13"/>
        <v>250.73257522774867</v>
      </c>
      <c r="AF103" s="1">
        <f t="shared" si="13"/>
        <v>124.48179450312151</v>
      </c>
      <c r="AG103" s="1">
        <f t="shared" si="13"/>
        <v>87.931068082034301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 x14ac:dyDescent="0.45">
      <c r="A104" s="8">
        <v>366.03119660905475</v>
      </c>
      <c r="Q104" s="9">
        <v>366.03119660905475</v>
      </c>
      <c r="R104" s="1">
        <f t="shared" si="9"/>
        <v>89.552994252091082</v>
      </c>
      <c r="S104" s="1">
        <f t="shared" si="11"/>
        <v>340.31592031699176</v>
      </c>
      <c r="T104" s="1">
        <f t="shared" si="10"/>
        <v>89.406776230258188</v>
      </c>
      <c r="U104" s="1">
        <f t="shared" si="13"/>
        <v>86.036017111450917</v>
      </c>
      <c r="V104" s="1">
        <f t="shared" si="13"/>
        <v>180.52809446994971</v>
      </c>
      <c r="W104" s="1">
        <f t="shared" si="13"/>
        <v>156.25047183375975</v>
      </c>
      <c r="X104" s="1">
        <f t="shared" si="13"/>
        <v>348.9796212775168</v>
      </c>
      <c r="Y104" s="1">
        <f t="shared" si="13"/>
        <v>26.25929918955304</v>
      </c>
      <c r="Z104" s="1">
        <f t="shared" si="13"/>
        <v>203.68345331447091</v>
      </c>
      <c r="AA104" s="1">
        <f t="shared" si="13"/>
        <v>102.17919882822795</v>
      </c>
      <c r="AB104" s="1">
        <f t="shared" si="13"/>
        <v>190.51609288178926</v>
      </c>
      <c r="AC104" s="1">
        <f t="shared" si="13"/>
        <v>235.64677760754643</v>
      </c>
      <c r="AD104" s="1">
        <f t="shared" si="13"/>
        <v>250.73257522774867</v>
      </c>
      <c r="AE104" s="1">
        <f t="shared" si="13"/>
        <v>124.48179450312151</v>
      </c>
      <c r="AF104" s="1">
        <f t="shared" si="13"/>
        <v>87.931068082034301</v>
      </c>
      <c r="AG104" s="1">
        <f t="shared" si="13"/>
        <v>321.42360626576317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 x14ac:dyDescent="0.45">
      <c r="A105" s="8">
        <v>340.31592031699176</v>
      </c>
      <c r="Q105" s="9">
        <v>340.31592031699176</v>
      </c>
      <c r="R105" s="1">
        <f t="shared" si="9"/>
        <v>63.837717960028101</v>
      </c>
      <c r="S105" s="1">
        <f t="shared" si="11"/>
        <v>89.406776230258188</v>
      </c>
      <c r="T105" s="1">
        <f t="shared" si="10"/>
        <v>86.036017111450917</v>
      </c>
      <c r="U105" s="1">
        <f t="shared" si="13"/>
        <v>180.52809446994971</v>
      </c>
      <c r="V105" s="1">
        <f t="shared" si="13"/>
        <v>156.25047183375975</v>
      </c>
      <c r="W105" s="1">
        <f t="shared" si="13"/>
        <v>348.9796212775168</v>
      </c>
      <c r="X105" s="1">
        <f t="shared" si="13"/>
        <v>26.25929918955304</v>
      </c>
      <c r="Y105" s="1">
        <f t="shared" si="13"/>
        <v>203.68345331447091</v>
      </c>
      <c r="Z105" s="1">
        <f t="shared" si="13"/>
        <v>102.17919882822795</v>
      </c>
      <c r="AA105" s="1">
        <f t="shared" si="13"/>
        <v>190.51609288178926</v>
      </c>
      <c r="AB105" s="1">
        <f t="shared" si="13"/>
        <v>235.64677760754643</v>
      </c>
      <c r="AC105" s="1">
        <f t="shared" si="13"/>
        <v>250.73257522774867</v>
      </c>
      <c r="AD105" s="1">
        <f t="shared" si="13"/>
        <v>124.48179450312151</v>
      </c>
      <c r="AE105" s="1">
        <f t="shared" si="13"/>
        <v>87.931068082034301</v>
      </c>
      <c r="AF105" s="1">
        <f t="shared" si="13"/>
        <v>321.42360626576317</v>
      </c>
      <c r="AG105" s="1">
        <f t="shared" si="13"/>
        <v>190.79671678950294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 x14ac:dyDescent="0.45">
      <c r="A106" s="8">
        <v>89.406776230258188</v>
      </c>
      <c r="Q106" s="9">
        <v>89.406776230258188</v>
      </c>
      <c r="R106" s="1">
        <f t="shared" si="9"/>
        <v>-187.07142612670549</v>
      </c>
      <c r="S106" s="1">
        <f t="shared" si="11"/>
        <v>86.036017111450917</v>
      </c>
      <c r="T106" s="1">
        <f t="shared" si="10"/>
        <v>180.52809446994971</v>
      </c>
      <c r="U106" s="1">
        <f t="shared" si="13"/>
        <v>156.25047183375975</v>
      </c>
      <c r="V106" s="1">
        <f t="shared" si="13"/>
        <v>348.9796212775168</v>
      </c>
      <c r="W106" s="1">
        <f t="shared" si="13"/>
        <v>26.25929918955304</v>
      </c>
      <c r="X106" s="1">
        <f t="shared" si="13"/>
        <v>203.68345331447091</v>
      </c>
      <c r="Y106" s="1">
        <f t="shared" si="13"/>
        <v>102.17919882822795</v>
      </c>
      <c r="Z106" s="1">
        <f t="shared" si="13"/>
        <v>190.51609288178926</v>
      </c>
      <c r="AA106" s="1">
        <f t="shared" si="13"/>
        <v>235.64677760754643</v>
      </c>
      <c r="AB106" s="1">
        <f t="shared" si="13"/>
        <v>250.73257522774867</v>
      </c>
      <c r="AC106" s="1">
        <f t="shared" si="13"/>
        <v>124.48179450312151</v>
      </c>
      <c r="AD106" s="1">
        <f t="shared" si="13"/>
        <v>87.931068082034301</v>
      </c>
      <c r="AE106" s="1">
        <f t="shared" si="13"/>
        <v>321.42360626576317</v>
      </c>
      <c r="AF106" s="1">
        <f t="shared" si="13"/>
        <v>190.79671678950294</v>
      </c>
      <c r="AG106" s="1">
        <f t="shared" si="13"/>
        <v>86.592257298542492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 x14ac:dyDescent="0.45">
      <c r="A107" s="8">
        <v>86.036017111450917</v>
      </c>
      <c r="Q107" s="9">
        <v>86.036017111450917</v>
      </c>
      <c r="R107" s="1">
        <f t="shared" si="9"/>
        <v>-190.44218524551275</v>
      </c>
      <c r="S107" s="1">
        <f t="shared" si="11"/>
        <v>180.52809446994971</v>
      </c>
      <c r="T107" s="1">
        <f t="shared" si="10"/>
        <v>156.25047183375975</v>
      </c>
      <c r="U107" s="1">
        <f t="shared" si="13"/>
        <v>348.9796212775168</v>
      </c>
      <c r="V107" s="1">
        <f t="shared" si="13"/>
        <v>26.25929918955304</v>
      </c>
      <c r="W107" s="1">
        <f t="shared" si="13"/>
        <v>203.68345331447091</v>
      </c>
      <c r="X107" s="1">
        <f t="shared" si="13"/>
        <v>102.17919882822795</v>
      </c>
      <c r="Y107" s="1">
        <f t="shared" si="13"/>
        <v>190.51609288178926</v>
      </c>
      <c r="Z107" s="1">
        <f t="shared" si="13"/>
        <v>235.64677760754643</v>
      </c>
      <c r="AA107" s="1">
        <f t="shared" si="13"/>
        <v>250.73257522774867</v>
      </c>
      <c r="AB107" s="1">
        <f t="shared" si="13"/>
        <v>124.48179450312151</v>
      </c>
      <c r="AC107" s="1">
        <f t="shared" si="13"/>
        <v>87.931068082034301</v>
      </c>
      <c r="AD107" s="1">
        <f t="shared" si="13"/>
        <v>321.42360626576317</v>
      </c>
      <c r="AE107" s="1">
        <f t="shared" si="13"/>
        <v>190.79671678950294</v>
      </c>
      <c r="AF107" s="1">
        <f t="shared" si="13"/>
        <v>86.592257298542492</v>
      </c>
      <c r="AG107" s="1">
        <f t="shared" si="13"/>
        <v>474.05599626791059</v>
      </c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 x14ac:dyDescent="0.45">
      <c r="A108" s="8">
        <v>180.52809446994971</v>
      </c>
      <c r="Q108" s="9">
        <v>180.52809446994971</v>
      </c>
      <c r="R108" s="1">
        <f t="shared" si="9"/>
        <v>-95.950107887013957</v>
      </c>
      <c r="S108" s="1">
        <f t="shared" si="11"/>
        <v>156.25047183375975</v>
      </c>
      <c r="T108" s="1">
        <f t="shared" si="10"/>
        <v>348.9796212775168</v>
      </c>
      <c r="U108" s="1">
        <f t="shared" si="13"/>
        <v>26.25929918955304</v>
      </c>
      <c r="V108" s="1">
        <f t="shared" si="13"/>
        <v>203.68345331447091</v>
      </c>
      <c r="W108" s="1">
        <f t="shared" si="13"/>
        <v>102.17919882822795</v>
      </c>
      <c r="X108" s="1">
        <f t="shared" si="13"/>
        <v>190.51609288178926</v>
      </c>
      <c r="Y108" s="1">
        <f t="shared" si="13"/>
        <v>235.64677760754643</v>
      </c>
      <c r="Z108" s="1">
        <f t="shared" si="13"/>
        <v>250.73257522774867</v>
      </c>
      <c r="AA108" s="1">
        <f t="shared" si="13"/>
        <v>124.48179450312151</v>
      </c>
      <c r="AB108" s="1">
        <f t="shared" si="13"/>
        <v>87.931068082034301</v>
      </c>
      <c r="AC108" s="1">
        <f t="shared" si="13"/>
        <v>321.42360626576317</v>
      </c>
      <c r="AD108" s="1">
        <f t="shared" si="13"/>
        <v>190.79671678950294</v>
      </c>
      <c r="AE108" s="1">
        <f t="shared" si="13"/>
        <v>86.592257298542492</v>
      </c>
      <c r="AF108" s="1">
        <f t="shared" si="13"/>
        <v>474.05599626791059</v>
      </c>
      <c r="AG108" s="1">
        <f t="shared" si="13"/>
        <v>108.43545068003378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 x14ac:dyDescent="0.45">
      <c r="A109" s="8">
        <v>156.25047183375975</v>
      </c>
      <c r="Q109" s="9">
        <v>156.25047183375975</v>
      </c>
      <c r="R109" s="1">
        <f t="shared" si="9"/>
        <v>-120.22773052320392</v>
      </c>
      <c r="S109" s="1">
        <f t="shared" si="11"/>
        <v>348.9796212775168</v>
      </c>
      <c r="T109" s="1">
        <f t="shared" si="10"/>
        <v>26.25929918955304</v>
      </c>
      <c r="U109" s="1">
        <f t="shared" si="13"/>
        <v>203.68345331447091</v>
      </c>
      <c r="V109" s="1">
        <f t="shared" si="13"/>
        <v>102.17919882822795</v>
      </c>
      <c r="W109" s="1">
        <f t="shared" si="13"/>
        <v>190.51609288178926</v>
      </c>
      <c r="X109" s="1">
        <f t="shared" si="13"/>
        <v>235.64677760754643</v>
      </c>
      <c r="Y109" s="1">
        <f t="shared" si="13"/>
        <v>250.73257522774867</v>
      </c>
      <c r="Z109" s="1">
        <f t="shared" si="13"/>
        <v>124.48179450312151</v>
      </c>
      <c r="AA109" s="1">
        <f t="shared" si="13"/>
        <v>87.931068082034301</v>
      </c>
      <c r="AB109" s="1">
        <f t="shared" si="13"/>
        <v>321.42360626576317</v>
      </c>
      <c r="AC109" s="1">
        <f t="shared" si="13"/>
        <v>190.79671678950294</v>
      </c>
      <c r="AD109" s="1">
        <f t="shared" si="13"/>
        <v>86.592257298542492</v>
      </c>
      <c r="AE109" s="1">
        <f t="shared" si="13"/>
        <v>474.05599626791059</v>
      </c>
      <c r="AF109" s="1">
        <f t="shared" si="13"/>
        <v>108.43545068003378</v>
      </c>
      <c r="AG109" s="1">
        <f t="shared" si="13"/>
        <v>442.97592651122511</v>
      </c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 x14ac:dyDescent="0.45">
      <c r="A110" s="8">
        <v>348.9796212775168</v>
      </c>
      <c r="Q110" s="9">
        <v>348.9796212775168</v>
      </c>
      <c r="R110" s="1">
        <f t="shared" si="9"/>
        <v>72.501418920553135</v>
      </c>
      <c r="S110" s="1">
        <f t="shared" si="11"/>
        <v>26.25929918955304</v>
      </c>
      <c r="T110" s="1">
        <f t="shared" si="10"/>
        <v>203.68345331447091</v>
      </c>
      <c r="U110" s="1">
        <f t="shared" si="13"/>
        <v>102.17919882822795</v>
      </c>
      <c r="V110" s="1">
        <f t="shared" si="13"/>
        <v>190.51609288178926</v>
      </c>
      <c r="W110" s="1">
        <f t="shared" si="13"/>
        <v>235.64677760754643</v>
      </c>
      <c r="X110" s="1">
        <f t="shared" si="13"/>
        <v>250.73257522774867</v>
      </c>
      <c r="Y110" s="1">
        <f t="shared" si="13"/>
        <v>124.48179450312151</v>
      </c>
      <c r="Z110" s="1">
        <f t="shared" si="13"/>
        <v>87.931068082034301</v>
      </c>
      <c r="AA110" s="1">
        <f t="shared" si="13"/>
        <v>321.42360626576317</v>
      </c>
      <c r="AB110" s="1">
        <f t="shared" si="13"/>
        <v>190.79671678950294</v>
      </c>
      <c r="AC110" s="1">
        <f t="shared" si="13"/>
        <v>86.592257298542492</v>
      </c>
      <c r="AD110" s="1">
        <f t="shared" si="13"/>
        <v>474.05599626791059</v>
      </c>
      <c r="AE110" s="1">
        <f t="shared" si="13"/>
        <v>108.43545068003378</v>
      </c>
      <c r="AF110" s="1">
        <f t="shared" si="13"/>
        <v>442.97592651122511</v>
      </c>
      <c r="AG110" s="1">
        <f t="shared" si="13"/>
        <v>314.68068213842207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 x14ac:dyDescent="0.45">
      <c r="A111" s="8">
        <v>26.25929918955304</v>
      </c>
      <c r="Q111" s="9">
        <v>26.25929918955304</v>
      </c>
      <c r="R111" s="1">
        <f t="shared" si="9"/>
        <v>-250.21890316741062</v>
      </c>
      <c r="S111" s="1">
        <f t="shared" si="11"/>
        <v>203.68345331447091</v>
      </c>
      <c r="T111" s="1">
        <f t="shared" si="10"/>
        <v>102.17919882822795</v>
      </c>
      <c r="U111" s="1">
        <f t="shared" si="13"/>
        <v>190.51609288178926</v>
      </c>
      <c r="V111" s="1">
        <f t="shared" si="13"/>
        <v>235.64677760754643</v>
      </c>
      <c r="W111" s="1">
        <f t="shared" si="13"/>
        <v>250.73257522774867</v>
      </c>
      <c r="X111" s="1">
        <f t="shared" si="13"/>
        <v>124.48179450312151</v>
      </c>
      <c r="Y111" s="1">
        <f t="shared" si="13"/>
        <v>87.931068082034301</v>
      </c>
      <c r="Z111" s="1">
        <f t="shared" si="13"/>
        <v>321.42360626576317</v>
      </c>
      <c r="AA111" s="1">
        <f t="shared" si="13"/>
        <v>190.79671678950294</v>
      </c>
      <c r="AB111" s="1">
        <f t="shared" si="13"/>
        <v>86.592257298542492</v>
      </c>
      <c r="AC111" s="1">
        <f t="shared" si="13"/>
        <v>474.05599626791059</v>
      </c>
      <c r="AD111" s="1">
        <f t="shared" si="13"/>
        <v>108.43545068003378</v>
      </c>
      <c r="AE111" s="1">
        <f t="shared" si="13"/>
        <v>442.97592651122511</v>
      </c>
      <c r="AF111" s="1">
        <f t="shared" si="13"/>
        <v>314.68068213842207</v>
      </c>
      <c r="AG111" s="1">
        <f t="shared" si="13"/>
        <v>536.39248842962934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 x14ac:dyDescent="0.45">
      <c r="A112" s="8">
        <v>203.68345331447091</v>
      </c>
      <c r="Q112" s="9">
        <v>203.68345331447091</v>
      </c>
      <c r="R112" s="1">
        <f t="shared" si="9"/>
        <v>-72.794749042492754</v>
      </c>
      <c r="S112" s="1">
        <f t="shared" si="11"/>
        <v>102.17919882822795</v>
      </c>
      <c r="T112" s="1">
        <f t="shared" si="10"/>
        <v>190.51609288178926</v>
      </c>
      <c r="U112" s="1">
        <f t="shared" si="13"/>
        <v>235.64677760754643</v>
      </c>
      <c r="V112" s="1">
        <f t="shared" si="13"/>
        <v>250.73257522774867</v>
      </c>
      <c r="W112" s="1">
        <f t="shared" si="13"/>
        <v>124.48179450312151</v>
      </c>
      <c r="X112" s="1">
        <f t="shared" si="13"/>
        <v>87.931068082034301</v>
      </c>
      <c r="Y112" s="1">
        <f t="shared" si="13"/>
        <v>321.42360626576317</v>
      </c>
      <c r="Z112" s="1">
        <f t="shared" si="13"/>
        <v>190.79671678950294</v>
      </c>
      <c r="AA112" s="1">
        <f t="shared" si="13"/>
        <v>86.592257298542492</v>
      </c>
      <c r="AB112" s="1">
        <f t="shared" si="13"/>
        <v>474.05599626791059</v>
      </c>
      <c r="AC112" s="1">
        <f t="shared" si="13"/>
        <v>108.43545068003378</v>
      </c>
      <c r="AD112" s="1">
        <f t="shared" si="13"/>
        <v>442.97592651122511</v>
      </c>
      <c r="AE112" s="1">
        <f t="shared" si="13"/>
        <v>314.68068213842207</v>
      </c>
      <c r="AF112" s="1">
        <f t="shared" si="13"/>
        <v>536.39248842962934</v>
      </c>
      <c r="AG112" s="1">
        <f t="shared" si="13"/>
        <v>220.93049742013136</v>
      </c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 x14ac:dyDescent="0.45">
      <c r="A113" s="8">
        <v>102.17919882822795</v>
      </c>
      <c r="Q113" s="9">
        <v>102.17919882822795</v>
      </c>
      <c r="R113" s="1">
        <f t="shared" si="9"/>
        <v>-174.29900352873571</v>
      </c>
      <c r="S113" s="1">
        <f t="shared" si="11"/>
        <v>190.51609288178926</v>
      </c>
      <c r="T113" s="1">
        <f t="shared" si="10"/>
        <v>235.64677760754643</v>
      </c>
      <c r="U113" s="1">
        <f t="shared" si="13"/>
        <v>250.73257522774867</v>
      </c>
      <c r="V113" s="1">
        <f t="shared" si="13"/>
        <v>124.48179450312151</v>
      </c>
      <c r="W113" s="1">
        <f t="shared" si="13"/>
        <v>87.931068082034301</v>
      </c>
      <c r="X113" s="1">
        <f t="shared" si="13"/>
        <v>321.42360626576317</v>
      </c>
      <c r="Y113" s="1">
        <f t="shared" si="13"/>
        <v>190.79671678950294</v>
      </c>
      <c r="Z113" s="1">
        <f t="shared" si="13"/>
        <v>86.592257298542492</v>
      </c>
      <c r="AA113" s="1">
        <f t="shared" si="13"/>
        <v>474.05599626791059</v>
      </c>
      <c r="AB113" s="1">
        <f t="shared" si="13"/>
        <v>108.43545068003378</v>
      </c>
      <c r="AC113" s="1">
        <f t="shared" si="13"/>
        <v>442.97592651122511</v>
      </c>
      <c r="AD113" s="1">
        <f t="shared" si="13"/>
        <v>314.68068213842207</v>
      </c>
      <c r="AE113" s="1">
        <f t="shared" si="13"/>
        <v>536.39248842962934</v>
      </c>
      <c r="AF113" s="1">
        <f t="shared" si="13"/>
        <v>220.93049742013136</v>
      </c>
      <c r="AG113" s="1">
        <f t="shared" si="13"/>
        <v>255.22691671136863</v>
      </c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 x14ac:dyDescent="0.45">
      <c r="A114" s="8">
        <v>190.51609288178926</v>
      </c>
      <c r="Q114" s="9">
        <v>190.51609288178926</v>
      </c>
      <c r="R114" s="1">
        <f t="shared" si="9"/>
        <v>-85.962109475174401</v>
      </c>
      <c r="S114" s="1">
        <f t="shared" si="11"/>
        <v>235.64677760754643</v>
      </c>
      <c r="T114" s="1">
        <f t="shared" si="10"/>
        <v>250.73257522774867</v>
      </c>
      <c r="U114" s="1">
        <f t="shared" si="13"/>
        <v>124.48179450312151</v>
      </c>
      <c r="V114" s="1">
        <f t="shared" si="13"/>
        <v>87.931068082034301</v>
      </c>
      <c r="W114" s="1">
        <f t="shared" si="13"/>
        <v>321.42360626576317</v>
      </c>
      <c r="X114" s="1">
        <f t="shared" si="13"/>
        <v>190.79671678950294</v>
      </c>
      <c r="Y114" s="1">
        <f t="shared" si="13"/>
        <v>86.592257298542492</v>
      </c>
      <c r="Z114" s="1">
        <f t="shared" si="13"/>
        <v>474.05599626791059</v>
      </c>
      <c r="AA114" s="1">
        <f t="shared" si="13"/>
        <v>108.43545068003378</v>
      </c>
      <c r="AB114" s="1">
        <f t="shared" si="13"/>
        <v>442.97592651122511</v>
      </c>
      <c r="AC114" s="1">
        <f t="shared" si="13"/>
        <v>314.68068213842207</v>
      </c>
      <c r="AD114" s="1">
        <f t="shared" si="13"/>
        <v>536.39248842962934</v>
      </c>
      <c r="AE114" s="1">
        <f t="shared" si="13"/>
        <v>220.93049742013136</v>
      </c>
      <c r="AF114" s="1">
        <f t="shared" si="13"/>
        <v>255.22691671136863</v>
      </c>
      <c r="AG114" s="1">
        <f t="shared" si="13"/>
        <v>135.59061651296579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 x14ac:dyDescent="0.45">
      <c r="A115" s="8">
        <v>235.64677760754643</v>
      </c>
      <c r="Q115" s="9">
        <v>235.64677760754643</v>
      </c>
      <c r="R115" s="1">
        <f t="shared" si="9"/>
        <v>-40.831424749417238</v>
      </c>
      <c r="S115" s="1">
        <f t="shared" si="11"/>
        <v>250.73257522774867</v>
      </c>
      <c r="T115" s="1">
        <f t="shared" si="10"/>
        <v>124.48179450312151</v>
      </c>
      <c r="U115" s="1">
        <f t="shared" ref="U115:AG130" si="14">T116</f>
        <v>87.931068082034301</v>
      </c>
      <c r="V115" s="1">
        <f t="shared" si="14"/>
        <v>321.42360626576317</v>
      </c>
      <c r="W115" s="1">
        <f t="shared" si="14"/>
        <v>190.79671678950294</v>
      </c>
      <c r="X115" s="1">
        <f t="shared" si="14"/>
        <v>86.592257298542492</v>
      </c>
      <c r="Y115" s="1">
        <f t="shared" si="14"/>
        <v>474.05599626791059</v>
      </c>
      <c r="Z115" s="1">
        <f t="shared" si="14"/>
        <v>108.43545068003378</v>
      </c>
      <c r="AA115" s="1">
        <f t="shared" si="14"/>
        <v>442.97592651122511</v>
      </c>
      <c r="AB115" s="1">
        <f t="shared" si="14"/>
        <v>314.68068213842207</v>
      </c>
      <c r="AC115" s="1">
        <f t="shared" si="14"/>
        <v>536.39248842962934</v>
      </c>
      <c r="AD115" s="1">
        <f t="shared" si="14"/>
        <v>220.93049742013136</v>
      </c>
      <c r="AE115" s="1">
        <f t="shared" si="14"/>
        <v>255.22691671136863</v>
      </c>
      <c r="AF115" s="1">
        <f t="shared" si="14"/>
        <v>135.59061651296579</v>
      </c>
      <c r="AG115" s="1">
        <f t="shared" si="14"/>
        <v>472.47974649011212</v>
      </c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 x14ac:dyDescent="0.45">
      <c r="A116" s="8">
        <v>250.73257522774867</v>
      </c>
      <c r="Q116" s="9">
        <v>250.73257522774867</v>
      </c>
      <c r="R116" s="1">
        <f t="shared" si="9"/>
        <v>-25.745627129214995</v>
      </c>
      <c r="S116" s="1">
        <f t="shared" si="11"/>
        <v>124.48179450312151</v>
      </c>
      <c r="T116" s="1">
        <f t="shared" si="10"/>
        <v>87.931068082034301</v>
      </c>
      <c r="U116" s="1">
        <f t="shared" si="14"/>
        <v>321.42360626576317</v>
      </c>
      <c r="V116" s="1">
        <f t="shared" si="14"/>
        <v>190.79671678950294</v>
      </c>
      <c r="W116" s="1">
        <f t="shared" si="14"/>
        <v>86.592257298542492</v>
      </c>
      <c r="X116" s="1">
        <f t="shared" si="14"/>
        <v>474.05599626791059</v>
      </c>
      <c r="Y116" s="1">
        <f t="shared" si="14"/>
        <v>108.43545068003378</v>
      </c>
      <c r="Z116" s="1">
        <f t="shared" si="14"/>
        <v>442.97592651122511</v>
      </c>
      <c r="AA116" s="1">
        <f t="shared" si="14"/>
        <v>314.68068213842207</v>
      </c>
      <c r="AB116" s="1">
        <f t="shared" si="14"/>
        <v>536.39248842962934</v>
      </c>
      <c r="AC116" s="1">
        <f t="shared" si="14"/>
        <v>220.93049742013136</v>
      </c>
      <c r="AD116" s="1">
        <f t="shared" si="14"/>
        <v>255.22691671136863</v>
      </c>
      <c r="AE116" s="1">
        <f t="shared" si="14"/>
        <v>135.59061651296579</v>
      </c>
      <c r="AF116" s="1">
        <f t="shared" si="14"/>
        <v>472.47974649011212</v>
      </c>
      <c r="AG116" s="1">
        <f t="shared" si="14"/>
        <v>679.95273325503615</v>
      </c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 x14ac:dyDescent="0.45">
      <c r="A117" s="8">
        <v>124.48179450312151</v>
      </c>
      <c r="Q117" s="9">
        <v>124.48179450312151</v>
      </c>
      <c r="R117" s="1">
        <f t="shared" si="9"/>
        <v>-151.99640785384216</v>
      </c>
      <c r="S117" s="1">
        <f t="shared" si="11"/>
        <v>87.931068082034301</v>
      </c>
      <c r="T117" s="1">
        <f t="shared" si="10"/>
        <v>321.42360626576317</v>
      </c>
      <c r="U117" s="1">
        <f t="shared" si="14"/>
        <v>190.79671678950294</v>
      </c>
      <c r="V117" s="1">
        <f t="shared" si="14"/>
        <v>86.592257298542492</v>
      </c>
      <c r="W117" s="1">
        <f t="shared" si="14"/>
        <v>474.05599626791059</v>
      </c>
      <c r="X117" s="1">
        <f t="shared" si="14"/>
        <v>108.43545068003378</v>
      </c>
      <c r="Y117" s="1">
        <f t="shared" si="14"/>
        <v>442.97592651122511</v>
      </c>
      <c r="Z117" s="1">
        <f t="shared" si="14"/>
        <v>314.68068213842207</v>
      </c>
      <c r="AA117" s="1">
        <f t="shared" si="14"/>
        <v>536.39248842962934</v>
      </c>
      <c r="AB117" s="1">
        <f t="shared" si="14"/>
        <v>220.93049742013136</v>
      </c>
      <c r="AC117" s="1">
        <f t="shared" si="14"/>
        <v>255.22691671136863</v>
      </c>
      <c r="AD117" s="1">
        <f t="shared" si="14"/>
        <v>135.59061651296579</v>
      </c>
      <c r="AE117" s="1">
        <f t="shared" si="14"/>
        <v>472.47974649011212</v>
      </c>
      <c r="AF117" s="1">
        <f t="shared" si="14"/>
        <v>679.95273325503615</v>
      </c>
      <c r="AG117" s="1">
        <f t="shared" si="14"/>
        <v>117.46470521298471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 x14ac:dyDescent="0.45">
      <c r="A118" s="8">
        <v>87.931068082034301</v>
      </c>
      <c r="Q118" s="9">
        <v>87.931068082034301</v>
      </c>
      <c r="R118" s="1">
        <f t="shared" si="9"/>
        <v>-188.54713427492936</v>
      </c>
      <c r="S118" s="1">
        <f t="shared" si="11"/>
        <v>321.42360626576317</v>
      </c>
      <c r="T118" s="1">
        <f t="shared" si="10"/>
        <v>190.79671678950294</v>
      </c>
      <c r="U118" s="1">
        <f t="shared" si="14"/>
        <v>86.592257298542492</v>
      </c>
      <c r="V118" s="1">
        <f t="shared" si="14"/>
        <v>474.05599626791059</v>
      </c>
      <c r="W118" s="1">
        <f t="shared" si="14"/>
        <v>108.43545068003378</v>
      </c>
      <c r="X118" s="1">
        <f t="shared" si="14"/>
        <v>442.97592651122511</v>
      </c>
      <c r="Y118" s="1">
        <f t="shared" si="14"/>
        <v>314.68068213842207</v>
      </c>
      <c r="Z118" s="1">
        <f t="shared" si="14"/>
        <v>536.39248842962934</v>
      </c>
      <c r="AA118" s="1">
        <f t="shared" si="14"/>
        <v>220.93049742013136</v>
      </c>
      <c r="AB118" s="1">
        <f t="shared" si="14"/>
        <v>255.22691671136863</v>
      </c>
      <c r="AC118" s="1">
        <f t="shared" si="14"/>
        <v>135.59061651296579</v>
      </c>
      <c r="AD118" s="1">
        <f t="shared" si="14"/>
        <v>472.47974649011212</v>
      </c>
      <c r="AE118" s="1">
        <f t="shared" si="14"/>
        <v>679.95273325503615</v>
      </c>
      <c r="AF118" s="1">
        <f t="shared" si="14"/>
        <v>117.46470521298471</v>
      </c>
      <c r="AG118" s="1">
        <f t="shared" si="14"/>
        <v>59.92031507532073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 x14ac:dyDescent="0.45">
      <c r="A119" s="8">
        <v>321.42360626576317</v>
      </c>
      <c r="Q119" s="9">
        <v>321.42360626576317</v>
      </c>
      <c r="R119" s="1">
        <f t="shared" si="9"/>
        <v>44.945403908799506</v>
      </c>
      <c r="S119" s="1">
        <f t="shared" si="11"/>
        <v>190.79671678950294</v>
      </c>
      <c r="T119" s="1">
        <f t="shared" si="10"/>
        <v>86.592257298542492</v>
      </c>
      <c r="U119" s="1">
        <f t="shared" si="14"/>
        <v>474.05599626791059</v>
      </c>
      <c r="V119" s="1">
        <f t="shared" si="14"/>
        <v>108.43545068003378</v>
      </c>
      <c r="W119" s="1">
        <f t="shared" si="14"/>
        <v>442.97592651122511</v>
      </c>
      <c r="X119" s="1">
        <f t="shared" si="14"/>
        <v>314.68068213842207</v>
      </c>
      <c r="Y119" s="1">
        <f t="shared" si="14"/>
        <v>536.39248842962934</v>
      </c>
      <c r="Z119" s="1">
        <f t="shared" si="14"/>
        <v>220.93049742013136</v>
      </c>
      <c r="AA119" s="1">
        <f t="shared" si="14"/>
        <v>255.22691671136863</v>
      </c>
      <c r="AB119" s="1">
        <f t="shared" si="14"/>
        <v>135.59061651296579</v>
      </c>
      <c r="AC119" s="1">
        <f t="shared" si="14"/>
        <v>472.47974649011212</v>
      </c>
      <c r="AD119" s="1">
        <f t="shared" si="14"/>
        <v>679.95273325503615</v>
      </c>
      <c r="AE119" s="1">
        <f t="shared" si="14"/>
        <v>117.46470521298471</v>
      </c>
      <c r="AF119" s="1">
        <f t="shared" si="14"/>
        <v>59.92031507532073</v>
      </c>
      <c r="AG119" s="1">
        <f t="shared" si="14"/>
        <v>187.10412979569011</v>
      </c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 x14ac:dyDescent="0.45">
      <c r="A120" s="8">
        <v>190.79671678950294</v>
      </c>
      <c r="Q120" s="9">
        <v>190.79671678950294</v>
      </c>
      <c r="R120" s="1">
        <f t="shared" si="9"/>
        <v>-85.681485567460726</v>
      </c>
      <c r="S120" s="1">
        <f t="shared" si="11"/>
        <v>86.592257298542492</v>
      </c>
      <c r="T120" s="1">
        <f t="shared" si="10"/>
        <v>474.05599626791059</v>
      </c>
      <c r="U120" s="1">
        <f t="shared" si="14"/>
        <v>108.43545068003378</v>
      </c>
      <c r="V120" s="1">
        <f t="shared" si="14"/>
        <v>442.97592651122511</v>
      </c>
      <c r="W120" s="1">
        <f t="shared" si="14"/>
        <v>314.68068213842207</v>
      </c>
      <c r="X120" s="1">
        <f t="shared" si="14"/>
        <v>536.39248842962934</v>
      </c>
      <c r="Y120" s="1">
        <f t="shared" si="14"/>
        <v>220.93049742013136</v>
      </c>
      <c r="Z120" s="1">
        <f t="shared" si="14"/>
        <v>255.22691671136863</v>
      </c>
      <c r="AA120" s="1">
        <f t="shared" si="14"/>
        <v>135.59061651296579</v>
      </c>
      <c r="AB120" s="1">
        <f t="shared" si="14"/>
        <v>472.47974649011212</v>
      </c>
      <c r="AC120" s="1">
        <f t="shared" si="14"/>
        <v>679.95273325503615</v>
      </c>
      <c r="AD120" s="1">
        <f t="shared" si="14"/>
        <v>117.46470521298471</v>
      </c>
      <c r="AE120" s="1">
        <f t="shared" si="14"/>
        <v>59.92031507532073</v>
      </c>
      <c r="AF120" s="1">
        <f t="shared" si="14"/>
        <v>187.10412979569011</v>
      </c>
      <c r="AG120" s="1">
        <f t="shared" si="14"/>
        <v>251.00913706758195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 x14ac:dyDescent="0.45">
      <c r="A121" s="8">
        <v>86.592257298542492</v>
      </c>
      <c r="Q121" s="9">
        <v>86.592257298542492</v>
      </c>
      <c r="R121" s="1">
        <f t="shared" si="9"/>
        <v>-189.88594505842116</v>
      </c>
      <c r="S121" s="1">
        <f t="shared" si="11"/>
        <v>474.05599626791059</v>
      </c>
      <c r="T121" s="1">
        <f t="shared" si="10"/>
        <v>108.43545068003378</v>
      </c>
      <c r="U121" s="1">
        <f t="shared" si="14"/>
        <v>442.97592651122511</v>
      </c>
      <c r="V121" s="1">
        <f t="shared" si="14"/>
        <v>314.68068213842207</v>
      </c>
      <c r="W121" s="1">
        <f t="shared" si="14"/>
        <v>536.39248842962934</v>
      </c>
      <c r="X121" s="1">
        <f t="shared" si="14"/>
        <v>220.93049742013136</v>
      </c>
      <c r="Y121" s="1">
        <f t="shared" si="14"/>
        <v>255.22691671136863</v>
      </c>
      <c r="Z121" s="1">
        <f t="shared" si="14"/>
        <v>135.59061651296579</v>
      </c>
      <c r="AA121" s="1">
        <f t="shared" si="14"/>
        <v>472.47974649011212</v>
      </c>
      <c r="AB121" s="1">
        <f t="shared" si="14"/>
        <v>679.95273325503615</v>
      </c>
      <c r="AC121" s="1">
        <f t="shared" si="14"/>
        <v>117.46470521298471</v>
      </c>
      <c r="AD121" s="1">
        <f t="shared" si="14"/>
        <v>59.92031507532073</v>
      </c>
      <c r="AE121" s="1">
        <f t="shared" si="14"/>
        <v>187.10412979569011</v>
      </c>
      <c r="AF121" s="1">
        <f t="shared" si="14"/>
        <v>251.00913706758195</v>
      </c>
      <c r="AG121" s="1">
        <f t="shared" si="14"/>
        <v>218.43906919934599</v>
      </c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 x14ac:dyDescent="0.45">
      <c r="A122" s="8">
        <v>474.05599626791059</v>
      </c>
      <c r="Q122" s="9">
        <v>474.05599626791059</v>
      </c>
      <c r="R122" s="1">
        <f t="shared" si="9"/>
        <v>197.57779391094692</v>
      </c>
      <c r="S122" s="1">
        <f t="shared" si="11"/>
        <v>108.43545068003378</v>
      </c>
      <c r="T122" s="1">
        <f t="shared" si="10"/>
        <v>442.97592651122511</v>
      </c>
      <c r="U122" s="1">
        <f t="shared" si="14"/>
        <v>314.68068213842207</v>
      </c>
      <c r="V122" s="1">
        <f t="shared" si="14"/>
        <v>536.39248842962934</v>
      </c>
      <c r="W122" s="1">
        <f t="shared" si="14"/>
        <v>220.93049742013136</v>
      </c>
      <c r="X122" s="1">
        <f t="shared" si="14"/>
        <v>255.22691671136863</v>
      </c>
      <c r="Y122" s="1">
        <f t="shared" si="14"/>
        <v>135.59061651296579</v>
      </c>
      <c r="Z122" s="1">
        <f t="shared" si="14"/>
        <v>472.47974649011212</v>
      </c>
      <c r="AA122" s="1">
        <f t="shared" si="14"/>
        <v>679.95273325503615</v>
      </c>
      <c r="AB122" s="1">
        <f t="shared" si="14"/>
        <v>117.46470521298471</v>
      </c>
      <c r="AC122" s="1">
        <f t="shared" si="14"/>
        <v>59.92031507532073</v>
      </c>
      <c r="AD122" s="1">
        <f t="shared" si="14"/>
        <v>187.10412979569011</v>
      </c>
      <c r="AE122" s="1">
        <f t="shared" si="14"/>
        <v>251.00913706758195</v>
      </c>
      <c r="AF122" s="1">
        <f t="shared" si="14"/>
        <v>218.43906919934599</v>
      </c>
      <c r="AG122" s="1">
        <f t="shared" si="14"/>
        <v>434.82516443016164</v>
      </c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 x14ac:dyDescent="0.45">
      <c r="A123" s="8">
        <v>108.43545068003378</v>
      </c>
      <c r="Q123" s="9">
        <v>108.43545068003378</v>
      </c>
      <c r="R123" s="1">
        <f t="shared" si="9"/>
        <v>-168.04275167692987</v>
      </c>
      <c r="S123" s="1">
        <f t="shared" si="11"/>
        <v>442.97592651122511</v>
      </c>
      <c r="T123" s="1">
        <f t="shared" si="10"/>
        <v>314.68068213842207</v>
      </c>
      <c r="U123" s="1">
        <f t="shared" si="14"/>
        <v>536.39248842962934</v>
      </c>
      <c r="V123" s="1">
        <f t="shared" si="14"/>
        <v>220.93049742013136</v>
      </c>
      <c r="W123" s="1">
        <f t="shared" si="14"/>
        <v>255.22691671136863</v>
      </c>
      <c r="X123" s="1">
        <f t="shared" si="14"/>
        <v>135.59061651296579</v>
      </c>
      <c r="Y123" s="1">
        <f t="shared" si="14"/>
        <v>472.47974649011212</v>
      </c>
      <c r="Z123" s="1">
        <f t="shared" si="14"/>
        <v>679.95273325503615</v>
      </c>
      <c r="AA123" s="1">
        <f t="shared" si="14"/>
        <v>117.46470521298471</v>
      </c>
      <c r="AB123" s="1">
        <f t="shared" si="14"/>
        <v>59.92031507532073</v>
      </c>
      <c r="AC123" s="1">
        <f t="shared" si="14"/>
        <v>187.10412979569011</v>
      </c>
      <c r="AD123" s="1">
        <f t="shared" si="14"/>
        <v>251.00913706758195</v>
      </c>
      <c r="AE123" s="1">
        <f t="shared" si="14"/>
        <v>218.43906919934599</v>
      </c>
      <c r="AF123" s="1">
        <f t="shared" si="14"/>
        <v>434.82516443016164</v>
      </c>
      <c r="AG123" s="1">
        <f t="shared" si="14"/>
        <v>221.11042209559358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 x14ac:dyDescent="0.45">
      <c r="A124" s="8">
        <v>442.97592651122511</v>
      </c>
      <c r="Q124" s="9">
        <v>442.97592651122511</v>
      </c>
      <c r="R124" s="1">
        <f t="shared" si="9"/>
        <v>166.49772415426145</v>
      </c>
      <c r="S124" s="1">
        <f t="shared" si="11"/>
        <v>314.68068213842207</v>
      </c>
      <c r="T124" s="1">
        <f t="shared" si="10"/>
        <v>536.39248842962934</v>
      </c>
      <c r="U124" s="1">
        <f t="shared" si="14"/>
        <v>220.93049742013136</v>
      </c>
      <c r="V124" s="1">
        <f t="shared" si="14"/>
        <v>255.22691671136863</v>
      </c>
      <c r="W124" s="1">
        <f t="shared" si="14"/>
        <v>135.59061651296579</v>
      </c>
      <c r="X124" s="1">
        <f t="shared" si="14"/>
        <v>472.47974649011212</v>
      </c>
      <c r="Y124" s="1">
        <f t="shared" si="14"/>
        <v>679.95273325503615</v>
      </c>
      <c r="Z124" s="1">
        <f t="shared" si="14"/>
        <v>117.46470521298471</v>
      </c>
      <c r="AA124" s="1">
        <f t="shared" si="14"/>
        <v>59.92031507532073</v>
      </c>
      <c r="AB124" s="1">
        <f t="shared" si="14"/>
        <v>187.10412979569011</v>
      </c>
      <c r="AC124" s="1">
        <f t="shared" si="14"/>
        <v>251.00913706758195</v>
      </c>
      <c r="AD124" s="1">
        <f t="shared" si="14"/>
        <v>218.43906919934599</v>
      </c>
      <c r="AE124" s="1">
        <f t="shared" si="14"/>
        <v>434.82516443016164</v>
      </c>
      <c r="AF124" s="1">
        <f t="shared" si="14"/>
        <v>221.11042209559358</v>
      </c>
      <c r="AG124" s="1">
        <f t="shared" si="14"/>
        <v>172.53484271505926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 x14ac:dyDescent="0.45">
      <c r="A125" s="8">
        <v>314.68068213842207</v>
      </c>
      <c r="Q125" s="9">
        <v>314.68068213842207</v>
      </c>
      <c r="R125" s="1">
        <f t="shared" si="9"/>
        <v>38.202479781458408</v>
      </c>
      <c r="S125" s="1">
        <f t="shared" si="11"/>
        <v>536.39248842962934</v>
      </c>
      <c r="T125" s="1">
        <f t="shared" si="10"/>
        <v>220.93049742013136</v>
      </c>
      <c r="U125" s="1">
        <f t="shared" si="14"/>
        <v>255.22691671136863</v>
      </c>
      <c r="V125" s="1">
        <f t="shared" si="14"/>
        <v>135.59061651296579</v>
      </c>
      <c r="W125" s="1">
        <f t="shared" si="14"/>
        <v>472.47974649011212</v>
      </c>
      <c r="X125" s="1">
        <f t="shared" si="14"/>
        <v>679.95273325503615</v>
      </c>
      <c r="Y125" s="1">
        <f t="shared" si="14"/>
        <v>117.46470521298471</v>
      </c>
      <c r="Z125" s="1">
        <f t="shared" si="14"/>
        <v>59.92031507532073</v>
      </c>
      <c r="AA125" s="1">
        <f t="shared" si="14"/>
        <v>187.10412979569011</v>
      </c>
      <c r="AB125" s="1">
        <f t="shared" si="14"/>
        <v>251.00913706758195</v>
      </c>
      <c r="AC125" s="1">
        <f t="shared" si="14"/>
        <v>218.43906919934599</v>
      </c>
      <c r="AD125" s="1">
        <f t="shared" si="14"/>
        <v>434.82516443016164</v>
      </c>
      <c r="AE125" s="1">
        <f t="shared" si="14"/>
        <v>221.11042209559358</v>
      </c>
      <c r="AF125" s="1">
        <f t="shared" si="14"/>
        <v>172.53484271505926</v>
      </c>
      <c r="AG125" s="1">
        <f t="shared" si="14"/>
        <v>495.71101325955192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 x14ac:dyDescent="0.45">
      <c r="A126" s="8">
        <v>536.39248842962934</v>
      </c>
      <c r="Q126" s="9">
        <v>536.39248842962934</v>
      </c>
      <c r="R126" s="1">
        <f t="shared" si="9"/>
        <v>259.91428607266567</v>
      </c>
      <c r="S126" s="1">
        <f t="shared" si="11"/>
        <v>220.93049742013136</v>
      </c>
      <c r="T126" s="1">
        <f t="shared" si="10"/>
        <v>255.22691671136863</v>
      </c>
      <c r="U126" s="1">
        <f t="shared" si="14"/>
        <v>135.59061651296579</v>
      </c>
      <c r="V126" s="1">
        <f t="shared" si="14"/>
        <v>472.47974649011212</v>
      </c>
      <c r="W126" s="1">
        <f t="shared" si="14"/>
        <v>679.95273325503615</v>
      </c>
      <c r="X126" s="1">
        <f t="shared" si="14"/>
        <v>117.46470521298471</v>
      </c>
      <c r="Y126" s="1">
        <f t="shared" si="14"/>
        <v>59.92031507532073</v>
      </c>
      <c r="Z126" s="1">
        <f t="shared" si="14"/>
        <v>187.10412979569011</v>
      </c>
      <c r="AA126" s="1">
        <f t="shared" si="14"/>
        <v>251.00913706758195</v>
      </c>
      <c r="AB126" s="1">
        <f t="shared" si="14"/>
        <v>218.43906919934599</v>
      </c>
      <c r="AC126" s="1">
        <f t="shared" si="14"/>
        <v>434.82516443016164</v>
      </c>
      <c r="AD126" s="1">
        <f t="shared" si="14"/>
        <v>221.11042209559358</v>
      </c>
      <c r="AE126" s="1">
        <f t="shared" si="14"/>
        <v>172.53484271505926</v>
      </c>
      <c r="AF126" s="1">
        <f t="shared" si="14"/>
        <v>495.71101325955192</v>
      </c>
      <c r="AG126" s="1">
        <f t="shared" si="14"/>
        <v>213.86728633348781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 x14ac:dyDescent="0.45">
      <c r="A127" s="8">
        <v>220.93049742013136</v>
      </c>
      <c r="Q127" s="9">
        <v>220.93049742013136</v>
      </c>
      <c r="R127" s="1">
        <f t="shared" si="9"/>
        <v>-55.547704936832304</v>
      </c>
      <c r="S127" s="1">
        <f t="shared" si="11"/>
        <v>255.22691671136863</v>
      </c>
      <c r="T127" s="1">
        <f t="shared" si="10"/>
        <v>135.59061651296579</v>
      </c>
      <c r="U127" s="1">
        <f t="shared" si="14"/>
        <v>472.47974649011212</v>
      </c>
      <c r="V127" s="1">
        <f t="shared" si="14"/>
        <v>679.95273325503615</v>
      </c>
      <c r="W127" s="1">
        <f t="shared" si="14"/>
        <v>117.46470521298471</v>
      </c>
      <c r="X127" s="1">
        <f t="shared" si="14"/>
        <v>59.92031507532073</v>
      </c>
      <c r="Y127" s="1">
        <f t="shared" si="14"/>
        <v>187.10412979569011</v>
      </c>
      <c r="Z127" s="1">
        <f t="shared" si="14"/>
        <v>251.00913706758195</v>
      </c>
      <c r="AA127" s="1">
        <f t="shared" si="14"/>
        <v>218.43906919934599</v>
      </c>
      <c r="AB127" s="1">
        <f t="shared" si="14"/>
        <v>434.82516443016164</v>
      </c>
      <c r="AC127" s="1">
        <f t="shared" si="14"/>
        <v>221.11042209559358</v>
      </c>
      <c r="AD127" s="1">
        <f t="shared" si="14"/>
        <v>172.53484271505926</v>
      </c>
      <c r="AE127" s="1">
        <f t="shared" si="14"/>
        <v>495.71101325955192</v>
      </c>
      <c r="AF127" s="1">
        <f t="shared" si="14"/>
        <v>213.86728633348781</v>
      </c>
      <c r="AG127" s="1">
        <f t="shared" si="14"/>
        <v>511.496427037648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 x14ac:dyDescent="0.45">
      <c r="A128" s="8">
        <v>255.22691671136863</v>
      </c>
      <c r="Q128" s="9">
        <v>255.22691671136863</v>
      </c>
      <c r="R128" s="1">
        <f t="shared" si="9"/>
        <v>-21.251285645595033</v>
      </c>
      <c r="S128" s="1">
        <f t="shared" si="11"/>
        <v>135.59061651296579</v>
      </c>
      <c r="T128" s="1">
        <f t="shared" si="10"/>
        <v>472.47974649011212</v>
      </c>
      <c r="U128" s="1">
        <f t="shared" si="14"/>
        <v>679.95273325503615</v>
      </c>
      <c r="V128" s="1">
        <f t="shared" si="14"/>
        <v>117.46470521298471</v>
      </c>
      <c r="W128" s="1">
        <f t="shared" si="14"/>
        <v>59.92031507532073</v>
      </c>
      <c r="X128" s="1">
        <f t="shared" si="14"/>
        <v>187.10412979569011</v>
      </c>
      <c r="Y128" s="1">
        <f t="shared" si="14"/>
        <v>251.00913706758195</v>
      </c>
      <c r="Z128" s="1">
        <f t="shared" si="14"/>
        <v>218.43906919934599</v>
      </c>
      <c r="AA128" s="1">
        <f t="shared" si="14"/>
        <v>434.82516443016164</v>
      </c>
      <c r="AB128" s="1">
        <f t="shared" si="14"/>
        <v>221.11042209559358</v>
      </c>
      <c r="AC128" s="1">
        <f t="shared" si="14"/>
        <v>172.53484271505926</v>
      </c>
      <c r="AD128" s="1">
        <f t="shared" si="14"/>
        <v>495.71101325955192</v>
      </c>
      <c r="AE128" s="1">
        <f t="shared" si="14"/>
        <v>213.86728633348781</v>
      </c>
      <c r="AF128" s="1">
        <f t="shared" si="14"/>
        <v>511.496427037648</v>
      </c>
      <c r="AG128" s="1">
        <f t="shared" si="14"/>
        <v>74.011159316182813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 x14ac:dyDescent="0.45">
      <c r="A129" s="8">
        <v>135.59061651296579</v>
      </c>
      <c r="Q129" s="9">
        <v>135.59061651296579</v>
      </c>
      <c r="R129" s="1">
        <f t="shared" si="9"/>
        <v>-140.88758584399787</v>
      </c>
      <c r="S129" s="1">
        <f t="shared" si="11"/>
        <v>472.47974649011212</v>
      </c>
      <c r="T129" s="1">
        <f t="shared" si="10"/>
        <v>679.95273325503615</v>
      </c>
      <c r="U129" s="1">
        <f t="shared" si="14"/>
        <v>117.46470521298471</v>
      </c>
      <c r="V129" s="1">
        <f t="shared" si="14"/>
        <v>59.92031507532073</v>
      </c>
      <c r="W129" s="1">
        <f t="shared" si="14"/>
        <v>187.10412979569011</v>
      </c>
      <c r="X129" s="1">
        <f t="shared" si="14"/>
        <v>251.00913706758195</v>
      </c>
      <c r="Y129" s="1">
        <f t="shared" si="14"/>
        <v>218.43906919934599</v>
      </c>
      <c r="Z129" s="1">
        <f t="shared" si="14"/>
        <v>434.82516443016164</v>
      </c>
      <c r="AA129" s="1">
        <f t="shared" si="14"/>
        <v>221.11042209559358</v>
      </c>
      <c r="AB129" s="1">
        <f t="shared" si="14"/>
        <v>172.53484271505926</v>
      </c>
      <c r="AC129" s="1">
        <f t="shared" si="14"/>
        <v>495.71101325955192</v>
      </c>
      <c r="AD129" s="1">
        <f t="shared" si="14"/>
        <v>213.86728633348781</v>
      </c>
      <c r="AE129" s="1">
        <f t="shared" si="14"/>
        <v>511.496427037648</v>
      </c>
      <c r="AF129" s="1">
        <f t="shared" si="14"/>
        <v>74.011159316182813</v>
      </c>
      <c r="AG129" s="1">
        <f t="shared" si="14"/>
        <v>206.16605378324252</v>
      </c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 x14ac:dyDescent="0.45">
      <c r="A130" s="8">
        <v>472.47974649011212</v>
      </c>
      <c r="Q130" s="9">
        <v>472.47974649011212</v>
      </c>
      <c r="R130" s="1">
        <f t="shared" si="9"/>
        <v>196.00154413314846</v>
      </c>
      <c r="S130" s="1">
        <f t="shared" si="11"/>
        <v>679.95273325503615</v>
      </c>
      <c r="T130" s="1">
        <f t="shared" si="10"/>
        <v>117.46470521298471</v>
      </c>
      <c r="U130" s="1">
        <f t="shared" si="14"/>
        <v>59.92031507532073</v>
      </c>
      <c r="V130" s="1">
        <f t="shared" si="14"/>
        <v>187.10412979569011</v>
      </c>
      <c r="W130" s="1">
        <f t="shared" si="14"/>
        <v>251.00913706758195</v>
      </c>
      <c r="X130" s="1">
        <f t="shared" si="14"/>
        <v>218.43906919934599</v>
      </c>
      <c r="Y130" s="1">
        <f t="shared" si="14"/>
        <v>434.82516443016164</v>
      </c>
      <c r="Z130" s="1">
        <f t="shared" si="14"/>
        <v>221.11042209559358</v>
      </c>
      <c r="AA130" s="1">
        <f t="shared" si="14"/>
        <v>172.53484271505926</v>
      </c>
      <c r="AB130" s="1">
        <f t="shared" si="14"/>
        <v>495.71101325955192</v>
      </c>
      <c r="AC130" s="1">
        <f t="shared" si="14"/>
        <v>213.86728633348781</v>
      </c>
      <c r="AD130" s="1">
        <f t="shared" si="14"/>
        <v>511.496427037648</v>
      </c>
      <c r="AE130" s="1">
        <f t="shared" si="14"/>
        <v>74.011159316182813</v>
      </c>
      <c r="AF130" s="1">
        <f t="shared" si="14"/>
        <v>206.16605378324252</v>
      </c>
      <c r="AG130" s="1">
        <f t="shared" si="14"/>
        <v>76.461815482975467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 x14ac:dyDescent="0.45">
      <c r="A131" s="8">
        <v>679.95273325503615</v>
      </c>
      <c r="Q131" s="9">
        <v>679.95273325503615</v>
      </c>
      <c r="R131" s="1">
        <f t="shared" si="9"/>
        <v>403.47453089807249</v>
      </c>
      <c r="S131" s="1">
        <f t="shared" si="11"/>
        <v>117.46470521298471</v>
      </c>
      <c r="T131" s="1">
        <f t="shared" si="10"/>
        <v>59.92031507532073</v>
      </c>
      <c r="U131" s="1">
        <f t="shared" ref="U131:AG132" si="15">T132</f>
        <v>187.10412979569011</v>
      </c>
      <c r="V131" s="1">
        <f t="shared" si="15"/>
        <v>251.00913706758195</v>
      </c>
      <c r="W131" s="1">
        <f t="shared" si="15"/>
        <v>218.43906919934599</v>
      </c>
      <c r="X131" s="1">
        <f t="shared" si="15"/>
        <v>434.82516443016164</v>
      </c>
      <c r="Y131" s="1">
        <f t="shared" si="15"/>
        <v>221.11042209559358</v>
      </c>
      <c r="Z131" s="1">
        <f t="shared" si="15"/>
        <v>172.53484271505926</v>
      </c>
      <c r="AA131" s="1">
        <f t="shared" si="15"/>
        <v>495.71101325955192</v>
      </c>
      <c r="AB131" s="1">
        <f t="shared" si="15"/>
        <v>213.86728633348781</v>
      </c>
      <c r="AC131" s="1">
        <f t="shared" si="15"/>
        <v>511.496427037648</v>
      </c>
      <c r="AD131" s="1">
        <f t="shared" si="15"/>
        <v>74.011159316182813</v>
      </c>
      <c r="AE131" s="1">
        <f t="shared" si="15"/>
        <v>206.16605378324252</v>
      </c>
      <c r="AF131" s="1">
        <f t="shared" si="15"/>
        <v>76.461815482975467</v>
      </c>
      <c r="AG131" s="1">
        <f t="shared" si="15"/>
        <v>47.67542915595395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 x14ac:dyDescent="0.45">
      <c r="A132" s="8">
        <v>117.46470521298471</v>
      </c>
      <c r="Q132" s="9">
        <v>117.46470521298471</v>
      </c>
      <c r="R132" s="1">
        <f t="shared" si="9"/>
        <v>-159.01349714397895</v>
      </c>
      <c r="S132" s="1">
        <f t="shared" si="11"/>
        <v>59.92031507532073</v>
      </c>
      <c r="T132" s="1">
        <f t="shared" si="10"/>
        <v>187.10412979569011</v>
      </c>
      <c r="U132" s="1">
        <f t="shared" si="15"/>
        <v>251.00913706758195</v>
      </c>
      <c r="V132" s="1">
        <f t="shared" si="15"/>
        <v>218.43906919934599</v>
      </c>
      <c r="W132" s="1">
        <f t="shared" si="15"/>
        <v>434.82516443016164</v>
      </c>
      <c r="X132" s="1">
        <f t="shared" si="15"/>
        <v>221.11042209559358</v>
      </c>
      <c r="Y132" s="1">
        <f t="shared" si="15"/>
        <v>172.53484271505926</v>
      </c>
      <c r="Z132" s="1">
        <f t="shared" si="15"/>
        <v>495.71101325955192</v>
      </c>
      <c r="AA132" s="1">
        <f t="shared" si="15"/>
        <v>213.86728633348781</v>
      </c>
      <c r="AB132" s="1">
        <f t="shared" si="15"/>
        <v>511.496427037648</v>
      </c>
      <c r="AC132" s="1">
        <f t="shared" si="15"/>
        <v>74.011159316182813</v>
      </c>
      <c r="AD132" s="1">
        <f t="shared" si="15"/>
        <v>206.16605378324252</v>
      </c>
      <c r="AE132" s="1">
        <f t="shared" si="15"/>
        <v>76.461815482975467</v>
      </c>
      <c r="AF132" s="1">
        <f t="shared" si="15"/>
        <v>47.67542915595395</v>
      </c>
      <c r="AG132" s="1">
        <f t="shared" si="15"/>
        <v>291.17677702452175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 x14ac:dyDescent="0.45">
      <c r="A133" s="8">
        <v>59.92031507532073</v>
      </c>
      <c r="Q133" s="9">
        <v>59.92031507532073</v>
      </c>
      <c r="R133" s="1">
        <f t="shared" ref="R133:R196" si="16">Q133-$F$30</f>
        <v>-216.55788728164293</v>
      </c>
      <c r="S133" s="1">
        <f t="shared" si="11"/>
        <v>187.10412979569011</v>
      </c>
      <c r="T133" s="1">
        <f t="shared" ref="T133:AG196" si="17">S134</f>
        <v>251.00913706758195</v>
      </c>
      <c r="U133" s="1">
        <f t="shared" si="17"/>
        <v>218.43906919934599</v>
      </c>
      <c r="V133" s="1">
        <f t="shared" si="17"/>
        <v>434.82516443016164</v>
      </c>
      <c r="W133" s="1">
        <f t="shared" si="17"/>
        <v>221.11042209559358</v>
      </c>
      <c r="X133" s="1">
        <f t="shared" si="17"/>
        <v>172.53484271505926</v>
      </c>
      <c r="Y133" s="1">
        <f t="shared" si="17"/>
        <v>495.71101325955192</v>
      </c>
      <c r="Z133" s="1">
        <f t="shared" si="17"/>
        <v>213.86728633348781</v>
      </c>
      <c r="AA133" s="1">
        <f t="shared" si="17"/>
        <v>511.496427037648</v>
      </c>
      <c r="AB133" s="1">
        <f t="shared" si="17"/>
        <v>74.011159316182813</v>
      </c>
      <c r="AC133" s="1">
        <f t="shared" si="17"/>
        <v>206.16605378324252</v>
      </c>
      <c r="AD133" s="1">
        <f t="shared" si="17"/>
        <v>76.461815482975467</v>
      </c>
      <c r="AE133" s="1">
        <f t="shared" si="17"/>
        <v>47.67542915595395</v>
      </c>
      <c r="AF133" s="1">
        <f t="shared" si="17"/>
        <v>291.17677702452175</v>
      </c>
      <c r="AG133" s="1">
        <f t="shared" si="17"/>
        <v>134.87230332402521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 x14ac:dyDescent="0.45">
      <c r="A134" s="8">
        <v>187.10412979569011</v>
      </c>
      <c r="Q134" s="9">
        <v>187.10412979569011</v>
      </c>
      <c r="R134" s="1">
        <f t="shared" si="16"/>
        <v>-89.37407256127355</v>
      </c>
      <c r="S134" s="1">
        <f t="shared" ref="S134:S197" si="18">Q135</f>
        <v>251.00913706758195</v>
      </c>
      <c r="T134" s="1">
        <f t="shared" si="17"/>
        <v>218.43906919934599</v>
      </c>
      <c r="U134" s="1">
        <f t="shared" si="17"/>
        <v>434.82516443016164</v>
      </c>
      <c r="V134" s="1">
        <f t="shared" si="17"/>
        <v>221.11042209559358</v>
      </c>
      <c r="W134" s="1">
        <f t="shared" si="17"/>
        <v>172.53484271505926</v>
      </c>
      <c r="X134" s="1">
        <f t="shared" si="17"/>
        <v>495.71101325955192</v>
      </c>
      <c r="Y134" s="1">
        <f t="shared" si="17"/>
        <v>213.86728633348781</v>
      </c>
      <c r="Z134" s="1">
        <f t="shared" si="17"/>
        <v>511.496427037648</v>
      </c>
      <c r="AA134" s="1">
        <f t="shared" si="17"/>
        <v>74.011159316182813</v>
      </c>
      <c r="AB134" s="1">
        <f t="shared" si="17"/>
        <v>206.16605378324252</v>
      </c>
      <c r="AC134" s="1">
        <f t="shared" si="17"/>
        <v>76.461815482975467</v>
      </c>
      <c r="AD134" s="1">
        <f t="shared" si="17"/>
        <v>47.67542915595395</v>
      </c>
      <c r="AE134" s="1">
        <f t="shared" si="17"/>
        <v>291.17677702452175</v>
      </c>
      <c r="AF134" s="1">
        <f t="shared" si="17"/>
        <v>134.87230332402521</v>
      </c>
      <c r="AG134" s="1">
        <f t="shared" si="17"/>
        <v>199.11543644843971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 x14ac:dyDescent="0.45">
      <c r="A135" s="8">
        <v>251.00913706758195</v>
      </c>
      <c r="Q135" s="9">
        <v>251.00913706758195</v>
      </c>
      <c r="R135" s="1">
        <f t="shared" si="16"/>
        <v>-25.469065289381717</v>
      </c>
      <c r="S135" s="1">
        <f t="shared" si="18"/>
        <v>218.43906919934599</v>
      </c>
      <c r="T135" s="1">
        <f t="shared" si="17"/>
        <v>434.82516443016164</v>
      </c>
      <c r="U135" s="1">
        <f t="shared" si="17"/>
        <v>221.11042209559358</v>
      </c>
      <c r="V135" s="1">
        <f t="shared" si="17"/>
        <v>172.53484271505926</v>
      </c>
      <c r="W135" s="1">
        <f t="shared" si="17"/>
        <v>495.71101325955192</v>
      </c>
      <c r="X135" s="1">
        <f t="shared" si="17"/>
        <v>213.86728633348781</v>
      </c>
      <c r="Y135" s="1">
        <f t="shared" si="17"/>
        <v>511.496427037648</v>
      </c>
      <c r="Z135" s="1">
        <f t="shared" si="17"/>
        <v>74.011159316182813</v>
      </c>
      <c r="AA135" s="1">
        <f t="shared" si="17"/>
        <v>206.16605378324252</v>
      </c>
      <c r="AB135" s="1">
        <f t="shared" si="17"/>
        <v>76.461815482975467</v>
      </c>
      <c r="AC135" s="1">
        <f t="shared" si="17"/>
        <v>47.67542915595395</v>
      </c>
      <c r="AD135" s="1">
        <f t="shared" si="17"/>
        <v>291.17677702452175</v>
      </c>
      <c r="AE135" s="1">
        <f t="shared" si="17"/>
        <v>134.87230332402521</v>
      </c>
      <c r="AF135" s="1">
        <f t="shared" si="17"/>
        <v>199.11543644843971</v>
      </c>
      <c r="AG135" s="1">
        <f t="shared" si="17"/>
        <v>530.99578288292787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 x14ac:dyDescent="0.45">
      <c r="A136" s="8">
        <v>218.43906919934599</v>
      </c>
      <c r="Q136" s="9">
        <v>218.43906919934599</v>
      </c>
      <c r="R136" s="1">
        <f t="shared" si="16"/>
        <v>-58.03913315761767</v>
      </c>
      <c r="S136" s="1">
        <f t="shared" si="18"/>
        <v>434.82516443016164</v>
      </c>
      <c r="T136" s="1">
        <f t="shared" si="17"/>
        <v>221.11042209559358</v>
      </c>
      <c r="U136" s="1">
        <f t="shared" si="17"/>
        <v>172.53484271505926</v>
      </c>
      <c r="V136" s="1">
        <f t="shared" si="17"/>
        <v>495.71101325955192</v>
      </c>
      <c r="W136" s="1">
        <f t="shared" si="17"/>
        <v>213.86728633348781</v>
      </c>
      <c r="X136" s="1">
        <f t="shared" si="17"/>
        <v>511.496427037648</v>
      </c>
      <c r="Y136" s="1">
        <f t="shared" si="17"/>
        <v>74.011159316182813</v>
      </c>
      <c r="Z136" s="1">
        <f t="shared" si="17"/>
        <v>206.16605378324252</v>
      </c>
      <c r="AA136" s="1">
        <f t="shared" si="17"/>
        <v>76.461815482975467</v>
      </c>
      <c r="AB136" s="1">
        <f t="shared" si="17"/>
        <v>47.67542915595395</v>
      </c>
      <c r="AC136" s="1">
        <f t="shared" si="17"/>
        <v>291.17677702452175</v>
      </c>
      <c r="AD136" s="1">
        <f t="shared" si="17"/>
        <v>134.87230332402521</v>
      </c>
      <c r="AE136" s="1">
        <f t="shared" si="17"/>
        <v>199.11543644843971</v>
      </c>
      <c r="AF136" s="1">
        <f t="shared" si="17"/>
        <v>530.99578288292787</v>
      </c>
      <c r="AG136" s="1">
        <f t="shared" si="17"/>
        <v>20.670413649223192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 x14ac:dyDescent="0.45">
      <c r="A137" s="8">
        <v>434.82516443016164</v>
      </c>
      <c r="Q137" s="9">
        <v>434.82516443016164</v>
      </c>
      <c r="R137" s="1">
        <f t="shared" si="16"/>
        <v>158.34696207319797</v>
      </c>
      <c r="S137" s="1">
        <f t="shared" si="18"/>
        <v>221.11042209559358</v>
      </c>
      <c r="T137" s="1">
        <f t="shared" si="17"/>
        <v>172.53484271505926</v>
      </c>
      <c r="U137" s="1">
        <f t="shared" si="17"/>
        <v>495.71101325955192</v>
      </c>
      <c r="V137" s="1">
        <f t="shared" si="17"/>
        <v>213.86728633348781</v>
      </c>
      <c r="W137" s="1">
        <f t="shared" si="17"/>
        <v>511.496427037648</v>
      </c>
      <c r="X137" s="1">
        <f t="shared" si="17"/>
        <v>74.011159316182813</v>
      </c>
      <c r="Y137" s="1">
        <f t="shared" si="17"/>
        <v>206.16605378324252</v>
      </c>
      <c r="Z137" s="1">
        <f t="shared" si="17"/>
        <v>76.461815482975467</v>
      </c>
      <c r="AA137" s="1">
        <f t="shared" si="17"/>
        <v>47.67542915595395</v>
      </c>
      <c r="AB137" s="1">
        <f t="shared" si="17"/>
        <v>291.17677702452175</v>
      </c>
      <c r="AC137" s="1">
        <f t="shared" si="17"/>
        <v>134.87230332402521</v>
      </c>
      <c r="AD137" s="1">
        <f t="shared" si="17"/>
        <v>199.11543644843971</v>
      </c>
      <c r="AE137" s="1">
        <f t="shared" si="17"/>
        <v>530.99578288292787</v>
      </c>
      <c r="AF137" s="1">
        <f t="shared" si="17"/>
        <v>20.670413649223192</v>
      </c>
      <c r="AG137" s="1">
        <f t="shared" si="17"/>
        <v>284.26678006048337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 x14ac:dyDescent="0.45">
      <c r="A138" s="8">
        <v>221.11042209559358</v>
      </c>
      <c r="Q138" s="9">
        <v>221.11042209559358</v>
      </c>
      <c r="R138" s="1">
        <f t="shared" si="16"/>
        <v>-55.367780261370086</v>
      </c>
      <c r="S138" s="1">
        <f t="shared" si="18"/>
        <v>172.53484271505926</v>
      </c>
      <c r="T138" s="1">
        <f t="shared" si="17"/>
        <v>495.71101325955192</v>
      </c>
      <c r="U138" s="1">
        <f t="shared" si="17"/>
        <v>213.86728633348781</v>
      </c>
      <c r="V138" s="1">
        <f t="shared" si="17"/>
        <v>511.496427037648</v>
      </c>
      <c r="W138" s="1">
        <f t="shared" si="17"/>
        <v>74.011159316182813</v>
      </c>
      <c r="X138" s="1">
        <f t="shared" si="17"/>
        <v>206.16605378324252</v>
      </c>
      <c r="Y138" s="1">
        <f t="shared" si="17"/>
        <v>76.461815482975467</v>
      </c>
      <c r="Z138" s="1">
        <f t="shared" si="17"/>
        <v>47.67542915595395</v>
      </c>
      <c r="AA138" s="1">
        <f t="shared" si="17"/>
        <v>291.17677702452175</v>
      </c>
      <c r="AB138" s="1">
        <f t="shared" si="17"/>
        <v>134.87230332402521</v>
      </c>
      <c r="AC138" s="1">
        <f t="shared" si="17"/>
        <v>199.11543644843971</v>
      </c>
      <c r="AD138" s="1">
        <f t="shared" si="17"/>
        <v>530.99578288292787</v>
      </c>
      <c r="AE138" s="1">
        <f t="shared" si="17"/>
        <v>20.670413649223192</v>
      </c>
      <c r="AF138" s="1">
        <f t="shared" si="17"/>
        <v>284.26678006048337</v>
      </c>
      <c r="AG138" s="1">
        <f t="shared" si="17"/>
        <v>82.119068833463558</v>
      </c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 x14ac:dyDescent="0.45">
      <c r="A139" s="8">
        <v>172.53484271505926</v>
      </c>
      <c r="Q139" s="9">
        <v>172.53484271505926</v>
      </c>
      <c r="R139" s="1">
        <f t="shared" si="16"/>
        <v>-103.94335964190441</v>
      </c>
      <c r="S139" s="1">
        <f t="shared" si="18"/>
        <v>495.71101325955192</v>
      </c>
      <c r="T139" s="1">
        <f t="shared" si="17"/>
        <v>213.86728633348781</v>
      </c>
      <c r="U139" s="1">
        <f t="shared" si="17"/>
        <v>511.496427037648</v>
      </c>
      <c r="V139" s="1">
        <f t="shared" si="17"/>
        <v>74.011159316182813</v>
      </c>
      <c r="W139" s="1">
        <f t="shared" si="17"/>
        <v>206.16605378324252</v>
      </c>
      <c r="X139" s="1">
        <f t="shared" si="17"/>
        <v>76.461815482975467</v>
      </c>
      <c r="Y139" s="1">
        <f t="shared" si="17"/>
        <v>47.67542915595395</v>
      </c>
      <c r="Z139" s="1">
        <f t="shared" si="17"/>
        <v>291.17677702452175</v>
      </c>
      <c r="AA139" s="1">
        <f t="shared" si="17"/>
        <v>134.87230332402521</v>
      </c>
      <c r="AB139" s="1">
        <f t="shared" si="17"/>
        <v>199.11543644843971</v>
      </c>
      <c r="AC139" s="1">
        <f t="shared" si="17"/>
        <v>530.99578288292787</v>
      </c>
      <c r="AD139" s="1">
        <f t="shared" si="17"/>
        <v>20.670413649223192</v>
      </c>
      <c r="AE139" s="1">
        <f t="shared" si="17"/>
        <v>284.26678006048337</v>
      </c>
      <c r="AF139" s="1">
        <f t="shared" si="17"/>
        <v>82.119068833463558</v>
      </c>
      <c r="AG139" s="1">
        <f t="shared" si="17"/>
        <v>376.28476153968569</v>
      </c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 x14ac:dyDescent="0.45">
      <c r="A140" s="8">
        <v>495.71101325955192</v>
      </c>
      <c r="Q140" s="9">
        <v>495.71101325955192</v>
      </c>
      <c r="R140" s="1">
        <f t="shared" si="16"/>
        <v>219.23281090258826</v>
      </c>
      <c r="S140" s="1">
        <f t="shared" si="18"/>
        <v>213.86728633348781</v>
      </c>
      <c r="T140" s="1">
        <f t="shared" si="17"/>
        <v>511.496427037648</v>
      </c>
      <c r="U140" s="1">
        <f t="shared" si="17"/>
        <v>74.011159316182813</v>
      </c>
      <c r="V140" s="1">
        <f t="shared" si="17"/>
        <v>206.16605378324252</v>
      </c>
      <c r="W140" s="1">
        <f t="shared" si="17"/>
        <v>76.461815482975467</v>
      </c>
      <c r="X140" s="1">
        <f t="shared" si="17"/>
        <v>47.67542915595395</v>
      </c>
      <c r="Y140" s="1">
        <f t="shared" si="17"/>
        <v>291.17677702452175</v>
      </c>
      <c r="Z140" s="1">
        <f t="shared" si="17"/>
        <v>134.87230332402521</v>
      </c>
      <c r="AA140" s="1">
        <f t="shared" si="17"/>
        <v>199.11543644843971</v>
      </c>
      <c r="AB140" s="1">
        <f t="shared" si="17"/>
        <v>530.99578288292787</v>
      </c>
      <c r="AC140" s="1">
        <f t="shared" si="17"/>
        <v>20.670413649223192</v>
      </c>
      <c r="AD140" s="1">
        <f t="shared" si="17"/>
        <v>284.26678006048337</v>
      </c>
      <c r="AE140" s="1">
        <f t="shared" si="17"/>
        <v>82.119068833463558</v>
      </c>
      <c r="AF140" s="1">
        <f t="shared" si="17"/>
        <v>376.28476153968569</v>
      </c>
      <c r="AG140" s="1">
        <f t="shared" si="17"/>
        <v>89.209363168845584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 x14ac:dyDescent="0.45">
      <c r="A141" s="8">
        <v>213.86728633348781</v>
      </c>
      <c r="Q141" s="9">
        <v>213.86728633348781</v>
      </c>
      <c r="R141" s="1">
        <f t="shared" si="16"/>
        <v>-62.610916023475852</v>
      </c>
      <c r="S141" s="1">
        <f t="shared" si="18"/>
        <v>511.496427037648</v>
      </c>
      <c r="T141" s="1">
        <f t="shared" si="17"/>
        <v>74.011159316182813</v>
      </c>
      <c r="U141" s="1">
        <f t="shared" si="17"/>
        <v>206.16605378324252</v>
      </c>
      <c r="V141" s="1">
        <f t="shared" si="17"/>
        <v>76.461815482975467</v>
      </c>
      <c r="W141" s="1">
        <f t="shared" si="17"/>
        <v>47.67542915595395</v>
      </c>
      <c r="X141" s="1">
        <f t="shared" si="17"/>
        <v>291.17677702452175</v>
      </c>
      <c r="Y141" s="1">
        <f t="shared" si="17"/>
        <v>134.87230332402521</v>
      </c>
      <c r="Z141" s="1">
        <f t="shared" si="17"/>
        <v>199.11543644843971</v>
      </c>
      <c r="AA141" s="1">
        <f t="shared" si="17"/>
        <v>530.99578288292787</v>
      </c>
      <c r="AB141" s="1">
        <f t="shared" si="17"/>
        <v>20.670413649223192</v>
      </c>
      <c r="AC141" s="1">
        <f t="shared" si="17"/>
        <v>284.26678006048337</v>
      </c>
      <c r="AD141" s="1">
        <f t="shared" si="17"/>
        <v>82.119068833463558</v>
      </c>
      <c r="AE141" s="1">
        <f t="shared" si="17"/>
        <v>376.28476153968569</v>
      </c>
      <c r="AF141" s="1">
        <f t="shared" si="17"/>
        <v>89.209363168845584</v>
      </c>
      <c r="AG141" s="1">
        <f t="shared" si="17"/>
        <v>422.97353373003557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 x14ac:dyDescent="0.45">
      <c r="A142" s="8">
        <v>511.496427037648</v>
      </c>
      <c r="Q142" s="9">
        <v>511.496427037648</v>
      </c>
      <c r="R142" s="1">
        <f t="shared" si="16"/>
        <v>235.01822468068434</v>
      </c>
      <c r="S142" s="1">
        <f t="shared" si="18"/>
        <v>74.011159316182813</v>
      </c>
      <c r="T142" s="1">
        <f t="shared" si="17"/>
        <v>206.16605378324252</v>
      </c>
      <c r="U142" s="1">
        <f t="shared" si="17"/>
        <v>76.461815482975467</v>
      </c>
      <c r="V142" s="1">
        <f t="shared" si="17"/>
        <v>47.67542915595395</v>
      </c>
      <c r="W142" s="1">
        <f t="shared" si="17"/>
        <v>291.17677702452175</v>
      </c>
      <c r="X142" s="1">
        <f t="shared" si="17"/>
        <v>134.87230332402521</v>
      </c>
      <c r="Y142" s="1">
        <f t="shared" si="17"/>
        <v>199.11543644843971</v>
      </c>
      <c r="Z142" s="1">
        <f t="shared" si="17"/>
        <v>530.99578288292787</v>
      </c>
      <c r="AA142" s="1">
        <f t="shared" si="17"/>
        <v>20.670413649223192</v>
      </c>
      <c r="AB142" s="1">
        <f t="shared" si="17"/>
        <v>284.26678006048337</v>
      </c>
      <c r="AC142" s="1">
        <f t="shared" si="17"/>
        <v>82.119068833463558</v>
      </c>
      <c r="AD142" s="1">
        <f t="shared" si="17"/>
        <v>376.28476153968569</v>
      </c>
      <c r="AE142" s="1">
        <f t="shared" si="17"/>
        <v>89.209363168845584</v>
      </c>
      <c r="AF142" s="1">
        <f t="shared" si="17"/>
        <v>422.97353373003557</v>
      </c>
      <c r="AG142" s="1">
        <f t="shared" si="17"/>
        <v>186.37499794933927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 x14ac:dyDescent="0.45">
      <c r="A143" s="8">
        <v>74.011159316182813</v>
      </c>
      <c r="Q143" s="9">
        <v>74.011159316182813</v>
      </c>
      <c r="R143" s="1">
        <f t="shared" si="16"/>
        <v>-202.46704304078085</v>
      </c>
      <c r="S143" s="1">
        <f t="shared" si="18"/>
        <v>206.16605378324252</v>
      </c>
      <c r="T143" s="1">
        <f t="shared" si="17"/>
        <v>76.461815482975467</v>
      </c>
      <c r="U143" s="1">
        <f t="shared" si="17"/>
        <v>47.67542915595395</v>
      </c>
      <c r="V143" s="1">
        <f t="shared" si="17"/>
        <v>291.17677702452175</v>
      </c>
      <c r="W143" s="1">
        <f t="shared" si="17"/>
        <v>134.87230332402521</v>
      </c>
      <c r="X143" s="1">
        <f t="shared" si="17"/>
        <v>199.11543644843971</v>
      </c>
      <c r="Y143" s="1">
        <f t="shared" si="17"/>
        <v>530.99578288292787</v>
      </c>
      <c r="Z143" s="1">
        <f t="shared" si="17"/>
        <v>20.670413649223192</v>
      </c>
      <c r="AA143" s="1">
        <f t="shared" si="17"/>
        <v>284.26678006048337</v>
      </c>
      <c r="AB143" s="1">
        <f t="shared" si="17"/>
        <v>82.119068833463558</v>
      </c>
      <c r="AC143" s="1">
        <f t="shared" si="17"/>
        <v>376.28476153968569</v>
      </c>
      <c r="AD143" s="1">
        <f t="shared" si="17"/>
        <v>89.209363168845584</v>
      </c>
      <c r="AE143" s="1">
        <f t="shared" si="17"/>
        <v>422.97353373003557</v>
      </c>
      <c r="AF143" s="1">
        <f t="shared" si="17"/>
        <v>186.37499794933927</v>
      </c>
      <c r="AG143" s="1">
        <f t="shared" si="17"/>
        <v>275.58962231740099</v>
      </c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 x14ac:dyDescent="0.45">
      <c r="A144" s="8">
        <v>206.16605378324252</v>
      </c>
      <c r="Q144" s="9">
        <v>206.16605378324252</v>
      </c>
      <c r="R144" s="1">
        <f t="shared" si="16"/>
        <v>-70.312148573721146</v>
      </c>
      <c r="S144" s="1">
        <f t="shared" si="18"/>
        <v>76.461815482975467</v>
      </c>
      <c r="T144" s="1">
        <f t="shared" si="17"/>
        <v>47.67542915595395</v>
      </c>
      <c r="U144" s="1">
        <f t="shared" si="17"/>
        <v>291.17677702452175</v>
      </c>
      <c r="V144" s="1">
        <f t="shared" si="17"/>
        <v>134.87230332402521</v>
      </c>
      <c r="W144" s="1">
        <f t="shared" si="17"/>
        <v>199.11543644843971</v>
      </c>
      <c r="X144" s="1">
        <f t="shared" si="17"/>
        <v>530.99578288292787</v>
      </c>
      <c r="Y144" s="1">
        <f t="shared" si="17"/>
        <v>20.670413649223192</v>
      </c>
      <c r="Z144" s="1">
        <f t="shared" si="17"/>
        <v>284.26678006048337</v>
      </c>
      <c r="AA144" s="1">
        <f t="shared" si="17"/>
        <v>82.119068833463558</v>
      </c>
      <c r="AB144" s="1">
        <f t="shared" si="17"/>
        <v>376.28476153968569</v>
      </c>
      <c r="AC144" s="1">
        <f t="shared" si="17"/>
        <v>89.209363168845584</v>
      </c>
      <c r="AD144" s="1">
        <f t="shared" si="17"/>
        <v>422.97353373003557</v>
      </c>
      <c r="AE144" s="1">
        <f t="shared" si="17"/>
        <v>186.37499794933927</v>
      </c>
      <c r="AF144" s="1">
        <f t="shared" si="17"/>
        <v>275.58962231740099</v>
      </c>
      <c r="AG144" s="1">
        <f t="shared" si="17"/>
        <v>279.71092227464675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 x14ac:dyDescent="0.45">
      <c r="A145" s="8">
        <v>76.461815482975467</v>
      </c>
      <c r="Q145" s="9">
        <v>76.461815482975467</v>
      </c>
      <c r="R145" s="1">
        <f t="shared" si="16"/>
        <v>-200.01638687398821</v>
      </c>
      <c r="S145" s="1">
        <f t="shared" si="18"/>
        <v>47.67542915595395</v>
      </c>
      <c r="T145" s="1">
        <f t="shared" si="17"/>
        <v>291.17677702452175</v>
      </c>
      <c r="U145" s="1">
        <f t="shared" si="17"/>
        <v>134.87230332402521</v>
      </c>
      <c r="V145" s="1">
        <f t="shared" si="17"/>
        <v>199.11543644843971</v>
      </c>
      <c r="W145" s="1">
        <f t="shared" si="17"/>
        <v>530.99578288292787</v>
      </c>
      <c r="X145" s="1">
        <f t="shared" si="17"/>
        <v>20.670413649223192</v>
      </c>
      <c r="Y145" s="1">
        <f t="shared" si="17"/>
        <v>284.26678006048337</v>
      </c>
      <c r="Z145" s="1">
        <f t="shared" si="17"/>
        <v>82.119068833463558</v>
      </c>
      <c r="AA145" s="1">
        <f t="shared" si="17"/>
        <v>376.28476153968569</v>
      </c>
      <c r="AB145" s="1">
        <f t="shared" si="17"/>
        <v>89.209363168845584</v>
      </c>
      <c r="AC145" s="1">
        <f t="shared" si="17"/>
        <v>422.97353373003557</v>
      </c>
      <c r="AD145" s="1">
        <f t="shared" si="17"/>
        <v>186.37499794933927</v>
      </c>
      <c r="AE145" s="1">
        <f t="shared" si="17"/>
        <v>275.58962231740099</v>
      </c>
      <c r="AF145" s="1">
        <f t="shared" si="17"/>
        <v>279.71092227464675</v>
      </c>
      <c r="AG145" s="1">
        <f t="shared" si="17"/>
        <v>256.5777260229512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 x14ac:dyDescent="0.45">
      <c r="A146" s="8">
        <v>47.67542915595395</v>
      </c>
      <c r="Q146" s="9">
        <v>47.67542915595395</v>
      </c>
      <c r="R146" s="1">
        <f t="shared" si="16"/>
        <v>-228.8027732010097</v>
      </c>
      <c r="S146" s="1">
        <f t="shared" si="18"/>
        <v>291.17677702452175</v>
      </c>
      <c r="T146" s="1">
        <f t="shared" si="17"/>
        <v>134.87230332402521</v>
      </c>
      <c r="U146" s="1">
        <f t="shared" si="17"/>
        <v>199.11543644843971</v>
      </c>
      <c r="V146" s="1">
        <f t="shared" si="17"/>
        <v>530.99578288292787</v>
      </c>
      <c r="W146" s="1">
        <f t="shared" si="17"/>
        <v>20.670413649223192</v>
      </c>
      <c r="X146" s="1">
        <f t="shared" si="17"/>
        <v>284.26678006048337</v>
      </c>
      <c r="Y146" s="1">
        <f t="shared" si="17"/>
        <v>82.119068833463558</v>
      </c>
      <c r="Z146" s="1">
        <f t="shared" si="17"/>
        <v>376.28476153968569</v>
      </c>
      <c r="AA146" s="1">
        <f t="shared" si="17"/>
        <v>89.209363168845584</v>
      </c>
      <c r="AB146" s="1">
        <f t="shared" si="17"/>
        <v>422.97353373003557</v>
      </c>
      <c r="AC146" s="1">
        <f t="shared" si="17"/>
        <v>186.37499794933927</v>
      </c>
      <c r="AD146" s="1">
        <f t="shared" si="17"/>
        <v>275.58962231740099</v>
      </c>
      <c r="AE146" s="1">
        <f t="shared" si="17"/>
        <v>279.71092227464675</v>
      </c>
      <c r="AF146" s="1">
        <f t="shared" si="17"/>
        <v>256.5777260229512</v>
      </c>
      <c r="AG146" s="1">
        <f t="shared" si="17"/>
        <v>339.84848550874926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 x14ac:dyDescent="0.45">
      <c r="A147" s="8">
        <v>291.17677702452175</v>
      </c>
      <c r="Q147" s="9">
        <v>291.17677702452175</v>
      </c>
      <c r="R147" s="1">
        <f t="shared" si="16"/>
        <v>14.698574667558091</v>
      </c>
      <c r="S147" s="1">
        <f t="shared" si="18"/>
        <v>134.87230332402521</v>
      </c>
      <c r="T147" s="1">
        <f t="shared" si="17"/>
        <v>199.11543644843971</v>
      </c>
      <c r="U147" s="1">
        <f t="shared" si="17"/>
        <v>530.99578288292787</v>
      </c>
      <c r="V147" s="1">
        <f t="shared" si="17"/>
        <v>20.670413649223192</v>
      </c>
      <c r="W147" s="1">
        <f t="shared" si="17"/>
        <v>284.26678006048337</v>
      </c>
      <c r="X147" s="1">
        <f t="shared" si="17"/>
        <v>82.119068833463558</v>
      </c>
      <c r="Y147" s="1">
        <f t="shared" si="17"/>
        <v>376.28476153968569</v>
      </c>
      <c r="Z147" s="1">
        <f t="shared" si="17"/>
        <v>89.209363168845584</v>
      </c>
      <c r="AA147" s="1">
        <f t="shared" si="17"/>
        <v>422.97353373003557</v>
      </c>
      <c r="AB147" s="1">
        <f t="shared" si="17"/>
        <v>186.37499794933927</v>
      </c>
      <c r="AC147" s="1">
        <f t="shared" si="17"/>
        <v>275.58962231740099</v>
      </c>
      <c r="AD147" s="1">
        <f t="shared" ref="U147:AG162" si="19">AC148</f>
        <v>279.71092227464675</v>
      </c>
      <c r="AE147" s="1">
        <f t="shared" si="19"/>
        <v>256.5777260229512</v>
      </c>
      <c r="AF147" s="1">
        <f t="shared" si="19"/>
        <v>339.84848550874926</v>
      </c>
      <c r="AG147" s="1">
        <f t="shared" si="19"/>
        <v>91.16298936540359</v>
      </c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 x14ac:dyDescent="0.45">
      <c r="A148" s="8">
        <v>134.87230332402521</v>
      </c>
      <c r="Q148" s="9">
        <v>134.87230332402521</v>
      </c>
      <c r="R148" s="1">
        <f t="shared" si="16"/>
        <v>-141.60589903293845</v>
      </c>
      <c r="S148" s="1">
        <f t="shared" si="18"/>
        <v>199.11543644843971</v>
      </c>
      <c r="T148" s="1">
        <f t="shared" si="17"/>
        <v>530.99578288292787</v>
      </c>
      <c r="U148" s="1">
        <f t="shared" si="19"/>
        <v>20.670413649223192</v>
      </c>
      <c r="V148" s="1">
        <f t="shared" si="19"/>
        <v>284.26678006048337</v>
      </c>
      <c r="W148" s="1">
        <f t="shared" si="19"/>
        <v>82.119068833463558</v>
      </c>
      <c r="X148" s="1">
        <f t="shared" si="19"/>
        <v>376.28476153968569</v>
      </c>
      <c r="Y148" s="1">
        <f t="shared" si="19"/>
        <v>89.209363168845584</v>
      </c>
      <c r="Z148" s="1">
        <f t="shared" si="19"/>
        <v>422.97353373003557</v>
      </c>
      <c r="AA148" s="1">
        <f t="shared" si="19"/>
        <v>186.37499794933927</v>
      </c>
      <c r="AB148" s="1">
        <f t="shared" si="19"/>
        <v>275.58962231740099</v>
      </c>
      <c r="AC148" s="1">
        <f t="shared" si="19"/>
        <v>279.71092227464675</v>
      </c>
      <c r="AD148" s="1">
        <f t="shared" si="19"/>
        <v>256.5777260229512</v>
      </c>
      <c r="AE148" s="1">
        <f t="shared" si="19"/>
        <v>339.84848550874926</v>
      </c>
      <c r="AF148" s="1">
        <f t="shared" si="19"/>
        <v>91.16298936540359</v>
      </c>
      <c r="AG148" s="1">
        <f t="shared" si="19"/>
        <v>371.57228795950266</v>
      </c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 x14ac:dyDescent="0.45">
      <c r="A149" s="8">
        <v>199.11543644843971</v>
      </c>
      <c r="Q149" s="9">
        <v>199.11543644843971</v>
      </c>
      <c r="R149" s="1">
        <f t="shared" si="16"/>
        <v>-77.362765908523954</v>
      </c>
      <c r="S149" s="1">
        <f t="shared" si="18"/>
        <v>530.99578288292787</v>
      </c>
      <c r="T149" s="1">
        <f t="shared" si="17"/>
        <v>20.670413649223192</v>
      </c>
      <c r="U149" s="1">
        <f t="shared" si="19"/>
        <v>284.26678006048337</v>
      </c>
      <c r="V149" s="1">
        <f t="shared" si="19"/>
        <v>82.119068833463558</v>
      </c>
      <c r="W149" s="1">
        <f t="shared" si="19"/>
        <v>376.28476153968569</v>
      </c>
      <c r="X149" s="1">
        <f t="shared" si="19"/>
        <v>89.209363168845584</v>
      </c>
      <c r="Y149" s="1">
        <f t="shared" si="19"/>
        <v>422.97353373003557</v>
      </c>
      <c r="Z149" s="1">
        <f t="shared" si="19"/>
        <v>186.37499794933927</v>
      </c>
      <c r="AA149" s="1">
        <f t="shared" si="19"/>
        <v>275.58962231740099</v>
      </c>
      <c r="AB149" s="1">
        <f t="shared" si="19"/>
        <v>279.71092227464675</v>
      </c>
      <c r="AC149" s="1">
        <f t="shared" si="19"/>
        <v>256.5777260229512</v>
      </c>
      <c r="AD149" s="1">
        <f t="shared" si="19"/>
        <v>339.84848550874926</v>
      </c>
      <c r="AE149" s="1">
        <f t="shared" si="19"/>
        <v>91.16298936540359</v>
      </c>
      <c r="AF149" s="1">
        <f t="shared" si="19"/>
        <v>371.57228795950266</v>
      </c>
      <c r="AG149" s="1">
        <f t="shared" si="19"/>
        <v>165.73533880031849</v>
      </c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 x14ac:dyDescent="0.45">
      <c r="A150" s="8">
        <v>530.99578288292787</v>
      </c>
      <c r="Q150" s="9">
        <v>530.99578288292787</v>
      </c>
      <c r="R150" s="1">
        <f t="shared" si="16"/>
        <v>254.51758052596421</v>
      </c>
      <c r="S150" s="1">
        <f t="shared" si="18"/>
        <v>20.670413649223192</v>
      </c>
      <c r="T150" s="1">
        <f t="shared" si="17"/>
        <v>284.26678006048337</v>
      </c>
      <c r="U150" s="1">
        <f t="shared" si="19"/>
        <v>82.119068833463558</v>
      </c>
      <c r="V150" s="1">
        <f t="shared" si="19"/>
        <v>376.28476153968569</v>
      </c>
      <c r="W150" s="1">
        <f t="shared" si="19"/>
        <v>89.209363168845584</v>
      </c>
      <c r="X150" s="1">
        <f t="shared" si="19"/>
        <v>422.97353373003557</v>
      </c>
      <c r="Y150" s="1">
        <f t="shared" si="19"/>
        <v>186.37499794933927</v>
      </c>
      <c r="Z150" s="1">
        <f t="shared" si="19"/>
        <v>275.58962231740099</v>
      </c>
      <c r="AA150" s="1">
        <f t="shared" si="19"/>
        <v>279.71092227464675</v>
      </c>
      <c r="AB150" s="1">
        <f t="shared" si="19"/>
        <v>256.5777260229512</v>
      </c>
      <c r="AC150" s="1">
        <f t="shared" si="19"/>
        <v>339.84848550874926</v>
      </c>
      <c r="AD150" s="1">
        <f t="shared" si="19"/>
        <v>91.16298936540359</v>
      </c>
      <c r="AE150" s="1">
        <f t="shared" si="19"/>
        <v>371.57228795950266</v>
      </c>
      <c r="AF150" s="1">
        <f t="shared" si="19"/>
        <v>165.73533880031849</v>
      </c>
      <c r="AG150" s="1">
        <f t="shared" si="19"/>
        <v>431.84785533197737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 x14ac:dyDescent="0.45">
      <c r="A151" s="8">
        <v>20.670413649223192</v>
      </c>
      <c r="Q151" s="9">
        <v>20.670413649223192</v>
      </c>
      <c r="R151" s="1">
        <f t="shared" si="16"/>
        <v>-255.80778870774049</v>
      </c>
      <c r="S151" s="1">
        <f t="shared" si="18"/>
        <v>284.26678006048337</v>
      </c>
      <c r="T151" s="1">
        <f t="shared" si="17"/>
        <v>82.119068833463558</v>
      </c>
      <c r="U151" s="1">
        <f t="shared" si="19"/>
        <v>376.28476153968569</v>
      </c>
      <c r="V151" s="1">
        <f t="shared" si="19"/>
        <v>89.209363168845584</v>
      </c>
      <c r="W151" s="1">
        <f t="shared" si="19"/>
        <v>422.97353373003557</v>
      </c>
      <c r="X151" s="1">
        <f t="shared" si="19"/>
        <v>186.37499794933927</v>
      </c>
      <c r="Y151" s="1">
        <f t="shared" si="19"/>
        <v>275.58962231740099</v>
      </c>
      <c r="Z151" s="1">
        <f t="shared" si="19"/>
        <v>279.71092227464675</v>
      </c>
      <c r="AA151" s="1">
        <f t="shared" si="19"/>
        <v>256.5777260229512</v>
      </c>
      <c r="AB151" s="1">
        <f t="shared" si="19"/>
        <v>339.84848550874926</v>
      </c>
      <c r="AC151" s="1">
        <f t="shared" si="19"/>
        <v>91.16298936540359</v>
      </c>
      <c r="AD151" s="1">
        <f t="shared" si="19"/>
        <v>371.57228795950266</v>
      </c>
      <c r="AE151" s="1">
        <f t="shared" si="19"/>
        <v>165.73533880031849</v>
      </c>
      <c r="AF151" s="1">
        <f t="shared" si="19"/>
        <v>431.84785533197737</v>
      </c>
      <c r="AG151" s="1">
        <f t="shared" si="19"/>
        <v>518.50225693162645</v>
      </c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 x14ac:dyDescent="0.45">
      <c r="A152" s="8">
        <v>284.26678006048337</v>
      </c>
      <c r="Q152" s="9">
        <v>284.26678006048337</v>
      </c>
      <c r="R152" s="1">
        <f t="shared" si="16"/>
        <v>7.7885777035197066</v>
      </c>
      <c r="S152" s="1">
        <f t="shared" si="18"/>
        <v>82.119068833463558</v>
      </c>
      <c r="T152" s="1">
        <f t="shared" si="17"/>
        <v>376.28476153968569</v>
      </c>
      <c r="U152" s="1">
        <f t="shared" si="19"/>
        <v>89.209363168845584</v>
      </c>
      <c r="V152" s="1">
        <f t="shared" si="19"/>
        <v>422.97353373003557</v>
      </c>
      <c r="W152" s="1">
        <f t="shared" si="19"/>
        <v>186.37499794933927</v>
      </c>
      <c r="X152" s="1">
        <f t="shared" si="19"/>
        <v>275.58962231740099</v>
      </c>
      <c r="Y152" s="1">
        <f t="shared" si="19"/>
        <v>279.71092227464675</v>
      </c>
      <c r="Z152" s="1">
        <f t="shared" si="19"/>
        <v>256.5777260229512</v>
      </c>
      <c r="AA152" s="1">
        <f t="shared" si="19"/>
        <v>339.84848550874926</v>
      </c>
      <c r="AB152" s="1">
        <f t="shared" si="19"/>
        <v>91.16298936540359</v>
      </c>
      <c r="AC152" s="1">
        <f t="shared" si="19"/>
        <v>371.57228795950266</v>
      </c>
      <c r="AD152" s="1">
        <f t="shared" si="19"/>
        <v>165.73533880031849</v>
      </c>
      <c r="AE152" s="1">
        <f t="shared" si="19"/>
        <v>431.84785533197737</v>
      </c>
      <c r="AF152" s="1">
        <f t="shared" si="19"/>
        <v>518.50225693162645</v>
      </c>
      <c r="AG152" s="1">
        <f t="shared" si="19"/>
        <v>597.67486927964592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 x14ac:dyDescent="0.45">
      <c r="A153" s="8">
        <v>82.119068833463558</v>
      </c>
      <c r="Q153" s="9">
        <v>82.119068833463558</v>
      </c>
      <c r="R153" s="1">
        <f t="shared" si="16"/>
        <v>-194.35913352350011</v>
      </c>
      <c r="S153" s="1">
        <f t="shared" si="18"/>
        <v>376.28476153968569</v>
      </c>
      <c r="T153" s="1">
        <f t="shared" si="17"/>
        <v>89.209363168845584</v>
      </c>
      <c r="U153" s="1">
        <f t="shared" si="19"/>
        <v>422.97353373003557</v>
      </c>
      <c r="V153" s="1">
        <f t="shared" si="19"/>
        <v>186.37499794933927</v>
      </c>
      <c r="W153" s="1">
        <f t="shared" si="19"/>
        <v>275.58962231740099</v>
      </c>
      <c r="X153" s="1">
        <f t="shared" si="19"/>
        <v>279.71092227464675</v>
      </c>
      <c r="Y153" s="1">
        <f t="shared" si="19"/>
        <v>256.5777260229512</v>
      </c>
      <c r="Z153" s="1">
        <f t="shared" si="19"/>
        <v>339.84848550874926</v>
      </c>
      <c r="AA153" s="1">
        <f t="shared" si="19"/>
        <v>91.16298936540359</v>
      </c>
      <c r="AB153" s="1">
        <f t="shared" si="19"/>
        <v>371.57228795950266</v>
      </c>
      <c r="AC153" s="1">
        <f t="shared" si="19"/>
        <v>165.73533880031849</v>
      </c>
      <c r="AD153" s="1">
        <f t="shared" si="19"/>
        <v>431.84785533197737</v>
      </c>
      <c r="AE153" s="1">
        <f t="shared" si="19"/>
        <v>518.50225693162645</v>
      </c>
      <c r="AF153" s="1">
        <f t="shared" si="19"/>
        <v>597.67486927964592</v>
      </c>
      <c r="AG153" s="1">
        <f t="shared" si="19"/>
        <v>70.562148340304248</v>
      </c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 x14ac:dyDescent="0.45">
      <c r="A154" s="8">
        <v>376.28476153968569</v>
      </c>
      <c r="Q154" s="9">
        <v>376.28476153968569</v>
      </c>
      <c r="R154" s="1">
        <f t="shared" si="16"/>
        <v>99.806559182722026</v>
      </c>
      <c r="S154" s="1">
        <f t="shared" si="18"/>
        <v>89.209363168845584</v>
      </c>
      <c r="T154" s="1">
        <f t="shared" si="17"/>
        <v>422.97353373003557</v>
      </c>
      <c r="U154" s="1">
        <f t="shared" si="19"/>
        <v>186.37499794933927</v>
      </c>
      <c r="V154" s="1">
        <f t="shared" si="19"/>
        <v>275.58962231740099</v>
      </c>
      <c r="W154" s="1">
        <f t="shared" si="19"/>
        <v>279.71092227464675</v>
      </c>
      <c r="X154" s="1">
        <f t="shared" si="19"/>
        <v>256.5777260229512</v>
      </c>
      <c r="Y154" s="1">
        <f t="shared" si="19"/>
        <v>339.84848550874926</v>
      </c>
      <c r="Z154" s="1">
        <f t="shared" si="19"/>
        <v>91.16298936540359</v>
      </c>
      <c r="AA154" s="1">
        <f t="shared" si="19"/>
        <v>371.57228795950266</v>
      </c>
      <c r="AB154" s="1">
        <f t="shared" si="19"/>
        <v>165.73533880031849</v>
      </c>
      <c r="AC154" s="1">
        <f t="shared" si="19"/>
        <v>431.84785533197737</v>
      </c>
      <c r="AD154" s="1">
        <f t="shared" si="19"/>
        <v>518.50225693162645</v>
      </c>
      <c r="AE154" s="1">
        <f t="shared" si="19"/>
        <v>597.67486927964592</v>
      </c>
      <c r="AF154" s="1">
        <f t="shared" si="19"/>
        <v>70.562148340304248</v>
      </c>
      <c r="AG154" s="1">
        <f t="shared" si="19"/>
        <v>161.71169634723401</v>
      </c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 x14ac:dyDescent="0.45">
      <c r="A155" s="8">
        <v>89.209363168845584</v>
      </c>
      <c r="Q155" s="9">
        <v>89.209363168845584</v>
      </c>
      <c r="R155" s="1">
        <f t="shared" si="16"/>
        <v>-187.26883918811808</v>
      </c>
      <c r="S155" s="1">
        <f t="shared" si="18"/>
        <v>422.97353373003557</v>
      </c>
      <c r="T155" s="1">
        <f t="shared" si="17"/>
        <v>186.37499794933927</v>
      </c>
      <c r="U155" s="1">
        <f t="shared" si="19"/>
        <v>275.58962231740099</v>
      </c>
      <c r="V155" s="1">
        <f t="shared" si="19"/>
        <v>279.71092227464675</v>
      </c>
      <c r="W155" s="1">
        <f t="shared" si="19"/>
        <v>256.5777260229512</v>
      </c>
      <c r="X155" s="1">
        <f t="shared" si="19"/>
        <v>339.84848550874926</v>
      </c>
      <c r="Y155" s="1">
        <f t="shared" si="19"/>
        <v>91.16298936540359</v>
      </c>
      <c r="Z155" s="1">
        <f t="shared" si="19"/>
        <v>371.57228795950266</v>
      </c>
      <c r="AA155" s="1">
        <f t="shared" si="19"/>
        <v>165.73533880031849</v>
      </c>
      <c r="AB155" s="1">
        <f t="shared" si="19"/>
        <v>431.84785533197737</v>
      </c>
      <c r="AC155" s="1">
        <f t="shared" si="19"/>
        <v>518.50225693162645</v>
      </c>
      <c r="AD155" s="1">
        <f t="shared" si="19"/>
        <v>597.67486927964592</v>
      </c>
      <c r="AE155" s="1">
        <f t="shared" si="19"/>
        <v>70.562148340304248</v>
      </c>
      <c r="AF155" s="1">
        <f t="shared" si="19"/>
        <v>161.71169634723401</v>
      </c>
      <c r="AG155" s="1">
        <f t="shared" si="19"/>
        <v>365.92766702071486</v>
      </c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 x14ac:dyDescent="0.45">
      <c r="A156" s="8">
        <v>422.97353373003557</v>
      </c>
      <c r="Q156" s="9">
        <v>422.97353373003557</v>
      </c>
      <c r="R156" s="1">
        <f t="shared" si="16"/>
        <v>146.49533137307191</v>
      </c>
      <c r="S156" s="1">
        <f t="shared" si="18"/>
        <v>186.37499794933927</v>
      </c>
      <c r="T156" s="1">
        <f t="shared" si="17"/>
        <v>275.58962231740099</v>
      </c>
      <c r="U156" s="1">
        <f t="shared" si="19"/>
        <v>279.71092227464675</v>
      </c>
      <c r="V156" s="1">
        <f t="shared" si="19"/>
        <v>256.5777260229512</v>
      </c>
      <c r="W156" s="1">
        <f t="shared" si="19"/>
        <v>339.84848550874926</v>
      </c>
      <c r="X156" s="1">
        <f t="shared" si="19"/>
        <v>91.16298936540359</v>
      </c>
      <c r="Y156" s="1">
        <f t="shared" si="19"/>
        <v>371.57228795950266</v>
      </c>
      <c r="Z156" s="1">
        <f t="shared" si="19"/>
        <v>165.73533880031849</v>
      </c>
      <c r="AA156" s="1">
        <f t="shared" si="19"/>
        <v>431.84785533197737</v>
      </c>
      <c r="AB156" s="1">
        <f t="shared" si="19"/>
        <v>518.50225693162645</v>
      </c>
      <c r="AC156" s="1">
        <f t="shared" si="19"/>
        <v>597.67486927964592</v>
      </c>
      <c r="AD156" s="1">
        <f t="shared" si="19"/>
        <v>70.562148340304248</v>
      </c>
      <c r="AE156" s="1">
        <f t="shared" si="19"/>
        <v>161.71169634723401</v>
      </c>
      <c r="AF156" s="1">
        <f t="shared" si="19"/>
        <v>365.92766702071486</v>
      </c>
      <c r="AG156" s="1">
        <f t="shared" si="19"/>
        <v>377.45761753511613</v>
      </c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 x14ac:dyDescent="0.45">
      <c r="A157" s="8">
        <v>186.37499794933927</v>
      </c>
      <c r="Q157" s="9">
        <v>186.37499794933927</v>
      </c>
      <c r="R157" s="1">
        <f t="shared" si="16"/>
        <v>-90.103204407624389</v>
      </c>
      <c r="S157" s="1">
        <f t="shared" si="18"/>
        <v>275.58962231740099</v>
      </c>
      <c r="T157" s="1">
        <f t="shared" si="17"/>
        <v>279.71092227464675</v>
      </c>
      <c r="U157" s="1">
        <f t="shared" si="19"/>
        <v>256.5777260229512</v>
      </c>
      <c r="V157" s="1">
        <f t="shared" si="19"/>
        <v>339.84848550874926</v>
      </c>
      <c r="W157" s="1">
        <f t="shared" si="19"/>
        <v>91.16298936540359</v>
      </c>
      <c r="X157" s="1">
        <f t="shared" si="19"/>
        <v>371.57228795950266</v>
      </c>
      <c r="Y157" s="1">
        <f t="shared" si="19"/>
        <v>165.73533880031849</v>
      </c>
      <c r="Z157" s="1">
        <f t="shared" si="19"/>
        <v>431.84785533197737</v>
      </c>
      <c r="AA157" s="1">
        <f t="shared" si="19"/>
        <v>518.50225693162645</v>
      </c>
      <c r="AB157" s="1">
        <f t="shared" si="19"/>
        <v>597.67486927964592</v>
      </c>
      <c r="AC157" s="1">
        <f t="shared" si="19"/>
        <v>70.562148340304248</v>
      </c>
      <c r="AD157" s="1">
        <f t="shared" si="19"/>
        <v>161.71169634723401</v>
      </c>
      <c r="AE157" s="1">
        <f t="shared" si="19"/>
        <v>365.92766702071486</v>
      </c>
      <c r="AF157" s="1">
        <f t="shared" si="19"/>
        <v>377.45761753511613</v>
      </c>
      <c r="AG157" s="1">
        <f t="shared" si="19"/>
        <v>244.57049680440883</v>
      </c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 x14ac:dyDescent="0.45">
      <c r="A158" s="8">
        <v>275.58962231740099</v>
      </c>
      <c r="Q158" s="9">
        <v>275.58962231740099</v>
      </c>
      <c r="R158" s="1">
        <f t="shared" si="16"/>
        <v>-0.88858003956266884</v>
      </c>
      <c r="S158" s="1">
        <f t="shared" si="18"/>
        <v>279.71092227464675</v>
      </c>
      <c r="T158" s="1">
        <f t="shared" si="17"/>
        <v>256.5777260229512</v>
      </c>
      <c r="U158" s="1">
        <f t="shared" si="19"/>
        <v>339.84848550874926</v>
      </c>
      <c r="V158" s="1">
        <f t="shared" si="19"/>
        <v>91.16298936540359</v>
      </c>
      <c r="W158" s="1">
        <f t="shared" si="19"/>
        <v>371.57228795950266</v>
      </c>
      <c r="X158" s="1">
        <f t="shared" si="19"/>
        <v>165.73533880031849</v>
      </c>
      <c r="Y158" s="1">
        <f t="shared" si="19"/>
        <v>431.84785533197737</v>
      </c>
      <c r="Z158" s="1">
        <f t="shared" si="19"/>
        <v>518.50225693162645</v>
      </c>
      <c r="AA158" s="1">
        <f t="shared" si="19"/>
        <v>597.67486927964592</v>
      </c>
      <c r="AB158" s="1">
        <f t="shared" si="19"/>
        <v>70.562148340304248</v>
      </c>
      <c r="AC158" s="1">
        <f t="shared" si="19"/>
        <v>161.71169634723401</v>
      </c>
      <c r="AD158" s="1">
        <f t="shared" si="19"/>
        <v>365.92766702071486</v>
      </c>
      <c r="AE158" s="1">
        <f t="shared" si="19"/>
        <v>377.45761753511613</v>
      </c>
      <c r="AF158" s="1">
        <f t="shared" si="19"/>
        <v>244.57049680440883</v>
      </c>
      <c r="AG158" s="1">
        <f t="shared" si="19"/>
        <v>380.53299535209015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 x14ac:dyDescent="0.45">
      <c r="A159" s="8">
        <v>279.71092227464675</v>
      </c>
      <c r="Q159" s="9">
        <v>279.71092227464675</v>
      </c>
      <c r="R159" s="1">
        <f t="shared" si="16"/>
        <v>3.2327199176830845</v>
      </c>
      <c r="S159" s="1">
        <f t="shared" si="18"/>
        <v>256.5777260229512</v>
      </c>
      <c r="T159" s="1">
        <f t="shared" si="17"/>
        <v>339.84848550874926</v>
      </c>
      <c r="U159" s="1">
        <f t="shared" si="19"/>
        <v>91.16298936540359</v>
      </c>
      <c r="V159" s="1">
        <f t="shared" si="19"/>
        <v>371.57228795950266</v>
      </c>
      <c r="W159" s="1">
        <f t="shared" si="19"/>
        <v>165.73533880031849</v>
      </c>
      <c r="X159" s="1">
        <f t="shared" si="19"/>
        <v>431.84785533197737</v>
      </c>
      <c r="Y159" s="1">
        <f t="shared" si="19"/>
        <v>518.50225693162645</v>
      </c>
      <c r="Z159" s="1">
        <f t="shared" si="19"/>
        <v>597.67486927964592</v>
      </c>
      <c r="AA159" s="1">
        <f t="shared" si="19"/>
        <v>70.562148340304248</v>
      </c>
      <c r="AB159" s="1">
        <f t="shared" si="19"/>
        <v>161.71169634723401</v>
      </c>
      <c r="AC159" s="1">
        <f t="shared" si="19"/>
        <v>365.92766702071486</v>
      </c>
      <c r="AD159" s="1">
        <f t="shared" si="19"/>
        <v>377.45761753511613</v>
      </c>
      <c r="AE159" s="1">
        <f t="shared" si="19"/>
        <v>244.57049680440883</v>
      </c>
      <c r="AF159" s="1">
        <f t="shared" si="19"/>
        <v>380.53299535209015</v>
      </c>
      <c r="AG159" s="1">
        <f t="shared" si="19"/>
        <v>119.77504990150319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 x14ac:dyDescent="0.45">
      <c r="A160" s="8">
        <v>256.5777260229512</v>
      </c>
      <c r="Q160" s="9">
        <v>256.5777260229512</v>
      </c>
      <c r="R160" s="1">
        <f t="shared" si="16"/>
        <v>-19.900476334012467</v>
      </c>
      <c r="S160" s="1">
        <f t="shared" si="18"/>
        <v>339.84848550874926</v>
      </c>
      <c r="T160" s="1">
        <f t="shared" si="17"/>
        <v>91.16298936540359</v>
      </c>
      <c r="U160" s="1">
        <f t="shared" si="19"/>
        <v>371.57228795950266</v>
      </c>
      <c r="V160" s="1">
        <f t="shared" si="19"/>
        <v>165.73533880031849</v>
      </c>
      <c r="W160" s="1">
        <f t="shared" si="19"/>
        <v>431.84785533197737</v>
      </c>
      <c r="X160" s="1">
        <f t="shared" si="19"/>
        <v>518.50225693162645</v>
      </c>
      <c r="Y160" s="1">
        <f t="shared" si="19"/>
        <v>597.67486927964592</v>
      </c>
      <c r="Z160" s="1">
        <f t="shared" si="19"/>
        <v>70.562148340304248</v>
      </c>
      <c r="AA160" s="1">
        <f t="shared" si="19"/>
        <v>161.71169634723401</v>
      </c>
      <c r="AB160" s="1">
        <f t="shared" si="19"/>
        <v>365.92766702071486</v>
      </c>
      <c r="AC160" s="1">
        <f t="shared" si="19"/>
        <v>377.45761753511613</v>
      </c>
      <c r="AD160" s="1">
        <f t="shared" si="19"/>
        <v>244.57049680440883</v>
      </c>
      <c r="AE160" s="1">
        <f t="shared" si="19"/>
        <v>380.53299535209015</v>
      </c>
      <c r="AF160" s="1">
        <f t="shared" si="19"/>
        <v>119.77504990150319</v>
      </c>
      <c r="AG160" s="1">
        <f t="shared" si="19"/>
        <v>218.24048797629771</v>
      </c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 x14ac:dyDescent="0.45">
      <c r="A161" s="8">
        <v>339.84848550874926</v>
      </c>
      <c r="Q161" s="9">
        <v>339.84848550874926</v>
      </c>
      <c r="R161" s="1">
        <f t="shared" si="16"/>
        <v>63.3702831517856</v>
      </c>
      <c r="S161" s="1">
        <f t="shared" si="18"/>
        <v>91.16298936540359</v>
      </c>
      <c r="T161" s="1">
        <f t="shared" si="17"/>
        <v>371.57228795950266</v>
      </c>
      <c r="U161" s="1">
        <f t="shared" si="19"/>
        <v>165.73533880031849</v>
      </c>
      <c r="V161" s="1">
        <f t="shared" si="19"/>
        <v>431.84785533197737</v>
      </c>
      <c r="W161" s="1">
        <f t="shared" si="19"/>
        <v>518.50225693162645</v>
      </c>
      <c r="X161" s="1">
        <f t="shared" si="19"/>
        <v>597.67486927964592</v>
      </c>
      <c r="Y161" s="1">
        <f t="shared" si="19"/>
        <v>70.562148340304248</v>
      </c>
      <c r="Z161" s="1">
        <f t="shared" si="19"/>
        <v>161.71169634723401</v>
      </c>
      <c r="AA161" s="1">
        <f t="shared" si="19"/>
        <v>365.92766702071486</v>
      </c>
      <c r="AB161" s="1">
        <f t="shared" si="19"/>
        <v>377.45761753511613</v>
      </c>
      <c r="AC161" s="1">
        <f t="shared" si="19"/>
        <v>244.57049680440883</v>
      </c>
      <c r="AD161" s="1">
        <f t="shared" si="19"/>
        <v>380.53299535209015</v>
      </c>
      <c r="AE161" s="1">
        <f t="shared" si="19"/>
        <v>119.77504990150319</v>
      </c>
      <c r="AF161" s="1">
        <f t="shared" si="19"/>
        <v>218.24048797629771</v>
      </c>
      <c r="AG161" s="1">
        <f t="shared" si="19"/>
        <v>354.80386610839338</v>
      </c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 x14ac:dyDescent="0.45">
      <c r="A162" s="8">
        <v>91.16298936540359</v>
      </c>
      <c r="Q162" s="9">
        <v>91.16298936540359</v>
      </c>
      <c r="R162" s="1">
        <f t="shared" si="16"/>
        <v>-185.31521299156009</v>
      </c>
      <c r="S162" s="1">
        <f t="shared" si="18"/>
        <v>371.57228795950266</v>
      </c>
      <c r="T162" s="1">
        <f t="shared" si="17"/>
        <v>165.73533880031849</v>
      </c>
      <c r="U162" s="1">
        <f t="shared" si="19"/>
        <v>431.84785533197737</v>
      </c>
      <c r="V162" s="1">
        <f t="shared" si="19"/>
        <v>518.50225693162645</v>
      </c>
      <c r="W162" s="1">
        <f t="shared" si="19"/>
        <v>597.67486927964592</v>
      </c>
      <c r="X162" s="1">
        <f t="shared" si="19"/>
        <v>70.562148340304248</v>
      </c>
      <c r="Y162" s="1">
        <f t="shared" si="19"/>
        <v>161.71169634723401</v>
      </c>
      <c r="Z162" s="1">
        <f t="shared" si="19"/>
        <v>365.92766702071486</v>
      </c>
      <c r="AA162" s="1">
        <f t="shared" si="19"/>
        <v>377.45761753511613</v>
      </c>
      <c r="AB162" s="1">
        <f t="shared" si="19"/>
        <v>244.57049680440883</v>
      </c>
      <c r="AC162" s="1">
        <f t="shared" si="19"/>
        <v>380.53299535209015</v>
      </c>
      <c r="AD162" s="1">
        <f t="shared" si="19"/>
        <v>119.77504990150319</v>
      </c>
      <c r="AE162" s="1">
        <f t="shared" si="19"/>
        <v>218.24048797629771</v>
      </c>
      <c r="AF162" s="1">
        <f t="shared" si="19"/>
        <v>354.80386610839338</v>
      </c>
      <c r="AG162" s="1">
        <f t="shared" si="19"/>
        <v>200.41425382552194</v>
      </c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 x14ac:dyDescent="0.45">
      <c r="A163" s="8">
        <v>371.57228795950266</v>
      </c>
      <c r="Q163" s="9">
        <v>371.57228795950266</v>
      </c>
      <c r="R163" s="1">
        <f t="shared" si="16"/>
        <v>95.094085602538996</v>
      </c>
      <c r="S163" s="1">
        <f t="shared" si="18"/>
        <v>165.73533880031849</v>
      </c>
      <c r="T163" s="1">
        <f t="shared" si="17"/>
        <v>431.84785533197737</v>
      </c>
      <c r="U163" s="1">
        <f t="shared" ref="U163:AG178" si="20">T164</f>
        <v>518.50225693162645</v>
      </c>
      <c r="V163" s="1">
        <f t="shared" si="20"/>
        <v>597.67486927964592</v>
      </c>
      <c r="W163" s="1">
        <f t="shared" si="20"/>
        <v>70.562148340304248</v>
      </c>
      <c r="X163" s="1">
        <f t="shared" si="20"/>
        <v>161.71169634723401</v>
      </c>
      <c r="Y163" s="1">
        <f t="shared" si="20"/>
        <v>365.92766702071486</v>
      </c>
      <c r="Z163" s="1">
        <f t="shared" si="20"/>
        <v>377.45761753511613</v>
      </c>
      <c r="AA163" s="1">
        <f t="shared" si="20"/>
        <v>244.57049680440883</v>
      </c>
      <c r="AB163" s="1">
        <f t="shared" si="20"/>
        <v>380.53299535209015</v>
      </c>
      <c r="AC163" s="1">
        <f t="shared" si="20"/>
        <v>119.77504990150319</v>
      </c>
      <c r="AD163" s="1">
        <f t="shared" si="20"/>
        <v>218.24048797629771</v>
      </c>
      <c r="AE163" s="1">
        <f t="shared" si="20"/>
        <v>354.80386610839338</v>
      </c>
      <c r="AF163" s="1">
        <f t="shared" si="20"/>
        <v>200.41425382552194</v>
      </c>
      <c r="AG163" s="1">
        <f t="shared" si="20"/>
        <v>214.707941943381</v>
      </c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 x14ac:dyDescent="0.45">
      <c r="A164" s="8">
        <v>165.73533880031849</v>
      </c>
      <c r="Q164" s="9">
        <v>165.73533880031849</v>
      </c>
      <c r="R164" s="1">
        <f t="shared" si="16"/>
        <v>-110.74286355664518</v>
      </c>
      <c r="S164" s="1">
        <f t="shared" si="18"/>
        <v>431.84785533197737</v>
      </c>
      <c r="T164" s="1">
        <f t="shared" si="17"/>
        <v>518.50225693162645</v>
      </c>
      <c r="U164" s="1">
        <f t="shared" si="20"/>
        <v>597.67486927964592</v>
      </c>
      <c r="V164" s="1">
        <f t="shared" si="20"/>
        <v>70.562148340304248</v>
      </c>
      <c r="W164" s="1">
        <f t="shared" si="20"/>
        <v>161.71169634723401</v>
      </c>
      <c r="X164" s="1">
        <f t="shared" si="20"/>
        <v>365.92766702071486</v>
      </c>
      <c r="Y164" s="1">
        <f t="shared" si="20"/>
        <v>377.45761753511613</v>
      </c>
      <c r="Z164" s="1">
        <f t="shared" si="20"/>
        <v>244.57049680440883</v>
      </c>
      <c r="AA164" s="1">
        <f t="shared" si="20"/>
        <v>380.53299535209015</v>
      </c>
      <c r="AB164" s="1">
        <f t="shared" si="20"/>
        <v>119.77504990150319</v>
      </c>
      <c r="AC164" s="1">
        <f t="shared" si="20"/>
        <v>218.24048797629771</v>
      </c>
      <c r="AD164" s="1">
        <f t="shared" si="20"/>
        <v>354.80386610839338</v>
      </c>
      <c r="AE164" s="1">
        <f t="shared" si="20"/>
        <v>200.41425382552194</v>
      </c>
      <c r="AF164" s="1">
        <f t="shared" si="20"/>
        <v>214.707941943381</v>
      </c>
      <c r="AG164" s="1">
        <f t="shared" si="20"/>
        <v>128.24713187599914</v>
      </c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 x14ac:dyDescent="0.45">
      <c r="A165" s="8">
        <v>431.84785533197737</v>
      </c>
      <c r="Q165" s="9">
        <v>431.84785533197737</v>
      </c>
      <c r="R165" s="1">
        <f t="shared" si="16"/>
        <v>155.36965297501371</v>
      </c>
      <c r="S165" s="1">
        <f t="shared" si="18"/>
        <v>518.50225693162645</v>
      </c>
      <c r="T165" s="1">
        <f t="shared" si="17"/>
        <v>597.67486927964592</v>
      </c>
      <c r="U165" s="1">
        <f t="shared" si="20"/>
        <v>70.562148340304248</v>
      </c>
      <c r="V165" s="1">
        <f t="shared" si="20"/>
        <v>161.71169634723401</v>
      </c>
      <c r="W165" s="1">
        <f t="shared" si="20"/>
        <v>365.92766702071486</v>
      </c>
      <c r="X165" s="1">
        <f t="shared" si="20"/>
        <v>377.45761753511613</v>
      </c>
      <c r="Y165" s="1">
        <f t="shared" si="20"/>
        <v>244.57049680440883</v>
      </c>
      <c r="Z165" s="1">
        <f t="shared" si="20"/>
        <v>380.53299535209015</v>
      </c>
      <c r="AA165" s="1">
        <f t="shared" si="20"/>
        <v>119.77504990150319</v>
      </c>
      <c r="AB165" s="1">
        <f t="shared" si="20"/>
        <v>218.24048797629771</v>
      </c>
      <c r="AC165" s="1">
        <f t="shared" si="20"/>
        <v>354.80386610839338</v>
      </c>
      <c r="AD165" s="1">
        <f t="shared" si="20"/>
        <v>200.41425382552194</v>
      </c>
      <c r="AE165" s="1">
        <f t="shared" si="20"/>
        <v>214.707941943381</v>
      </c>
      <c r="AF165" s="1">
        <f t="shared" si="20"/>
        <v>128.24713187599914</v>
      </c>
      <c r="AG165" s="1">
        <f t="shared" si="20"/>
        <v>205.95740635096305</v>
      </c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 x14ac:dyDescent="0.45">
      <c r="A166" s="8">
        <v>518.50225693162645</v>
      </c>
      <c r="Q166" s="9">
        <v>518.50225693162645</v>
      </c>
      <c r="R166" s="1">
        <f t="shared" si="16"/>
        <v>242.02405457466278</v>
      </c>
      <c r="S166" s="1">
        <f t="shared" si="18"/>
        <v>597.67486927964592</v>
      </c>
      <c r="T166" s="1">
        <f t="shared" si="17"/>
        <v>70.562148340304248</v>
      </c>
      <c r="U166" s="1">
        <f t="shared" si="20"/>
        <v>161.71169634723401</v>
      </c>
      <c r="V166" s="1">
        <f t="shared" si="20"/>
        <v>365.92766702071486</v>
      </c>
      <c r="W166" s="1">
        <f t="shared" si="20"/>
        <v>377.45761753511613</v>
      </c>
      <c r="X166" s="1">
        <f t="shared" si="20"/>
        <v>244.57049680440883</v>
      </c>
      <c r="Y166" s="1">
        <f t="shared" si="20"/>
        <v>380.53299535209015</v>
      </c>
      <c r="Z166" s="1">
        <f t="shared" si="20"/>
        <v>119.77504990150319</v>
      </c>
      <c r="AA166" s="1">
        <f t="shared" si="20"/>
        <v>218.24048797629771</v>
      </c>
      <c r="AB166" s="1">
        <f t="shared" si="20"/>
        <v>354.80386610839338</v>
      </c>
      <c r="AC166" s="1">
        <f t="shared" si="20"/>
        <v>200.41425382552194</v>
      </c>
      <c r="AD166" s="1">
        <f t="shared" si="20"/>
        <v>214.707941943381</v>
      </c>
      <c r="AE166" s="1">
        <f t="shared" si="20"/>
        <v>128.24713187599914</v>
      </c>
      <c r="AF166" s="1">
        <f t="shared" si="20"/>
        <v>205.95740635096305</v>
      </c>
      <c r="AG166" s="1">
        <f t="shared" si="20"/>
        <v>321.52646634498285</v>
      </c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 x14ac:dyDescent="0.45">
      <c r="A167" s="8">
        <v>597.67486927964592</v>
      </c>
      <c r="Q167" s="9">
        <v>597.67486927964592</v>
      </c>
      <c r="R167" s="1">
        <f t="shared" si="16"/>
        <v>321.19666692268225</v>
      </c>
      <c r="S167" s="1">
        <f t="shared" si="18"/>
        <v>70.562148340304248</v>
      </c>
      <c r="T167" s="1">
        <f t="shared" si="17"/>
        <v>161.71169634723401</v>
      </c>
      <c r="U167" s="1">
        <f t="shared" si="20"/>
        <v>365.92766702071486</v>
      </c>
      <c r="V167" s="1">
        <f t="shared" si="20"/>
        <v>377.45761753511613</v>
      </c>
      <c r="W167" s="1">
        <f t="shared" si="20"/>
        <v>244.57049680440883</v>
      </c>
      <c r="X167" s="1">
        <f t="shared" si="20"/>
        <v>380.53299535209015</v>
      </c>
      <c r="Y167" s="1">
        <f t="shared" si="20"/>
        <v>119.77504990150319</v>
      </c>
      <c r="Z167" s="1">
        <f t="shared" si="20"/>
        <v>218.24048797629771</v>
      </c>
      <c r="AA167" s="1">
        <f t="shared" si="20"/>
        <v>354.80386610839338</v>
      </c>
      <c r="AB167" s="1">
        <f t="shared" si="20"/>
        <v>200.41425382552194</v>
      </c>
      <c r="AC167" s="1">
        <f t="shared" si="20"/>
        <v>214.707941943381</v>
      </c>
      <c r="AD167" s="1">
        <f t="shared" si="20"/>
        <v>128.24713187599914</v>
      </c>
      <c r="AE167" s="1">
        <f t="shared" si="20"/>
        <v>205.95740635096305</v>
      </c>
      <c r="AF167" s="1">
        <f t="shared" si="20"/>
        <v>321.52646634498285</v>
      </c>
      <c r="AG167" s="1">
        <f t="shared" si="20"/>
        <v>288.73933496950207</v>
      </c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 x14ac:dyDescent="0.45">
      <c r="A168" s="8">
        <v>70.562148340304248</v>
      </c>
      <c r="Q168" s="9">
        <v>70.562148340304248</v>
      </c>
      <c r="R168" s="1">
        <f t="shared" si="16"/>
        <v>-205.91605401665942</v>
      </c>
      <c r="S168" s="1">
        <f t="shared" si="18"/>
        <v>161.71169634723401</v>
      </c>
      <c r="T168" s="1">
        <f t="shared" si="17"/>
        <v>365.92766702071486</v>
      </c>
      <c r="U168" s="1">
        <f t="shared" si="20"/>
        <v>377.45761753511613</v>
      </c>
      <c r="V168" s="1">
        <f t="shared" si="20"/>
        <v>244.57049680440883</v>
      </c>
      <c r="W168" s="1">
        <f t="shared" si="20"/>
        <v>380.53299535209015</v>
      </c>
      <c r="X168" s="1">
        <f t="shared" si="20"/>
        <v>119.77504990150319</v>
      </c>
      <c r="Y168" s="1">
        <f t="shared" si="20"/>
        <v>218.24048797629771</v>
      </c>
      <c r="Z168" s="1">
        <f t="shared" si="20"/>
        <v>354.80386610839338</v>
      </c>
      <c r="AA168" s="1">
        <f t="shared" si="20"/>
        <v>200.41425382552194</v>
      </c>
      <c r="AB168" s="1">
        <f t="shared" si="20"/>
        <v>214.707941943381</v>
      </c>
      <c r="AC168" s="1">
        <f t="shared" si="20"/>
        <v>128.24713187599914</v>
      </c>
      <c r="AD168" s="1">
        <f t="shared" si="20"/>
        <v>205.95740635096305</v>
      </c>
      <c r="AE168" s="1">
        <f t="shared" si="20"/>
        <v>321.52646634498285</v>
      </c>
      <c r="AF168" s="1">
        <f t="shared" si="20"/>
        <v>288.73933496950207</v>
      </c>
      <c r="AG168" s="1">
        <f t="shared" si="20"/>
        <v>235.36159506521165</v>
      </c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 x14ac:dyDescent="0.45">
      <c r="A169" s="8">
        <v>161.71169634723401</v>
      </c>
      <c r="Q169" s="9">
        <v>161.71169634723401</v>
      </c>
      <c r="R169" s="1">
        <f t="shared" si="16"/>
        <v>-114.76650600972965</v>
      </c>
      <c r="S169" s="1">
        <f t="shared" si="18"/>
        <v>365.92766702071486</v>
      </c>
      <c r="T169" s="1">
        <f t="shared" si="17"/>
        <v>377.45761753511613</v>
      </c>
      <c r="U169" s="1">
        <f t="shared" si="20"/>
        <v>244.57049680440883</v>
      </c>
      <c r="V169" s="1">
        <f t="shared" si="20"/>
        <v>380.53299535209015</v>
      </c>
      <c r="W169" s="1">
        <f t="shared" si="20"/>
        <v>119.77504990150319</v>
      </c>
      <c r="X169" s="1">
        <f t="shared" si="20"/>
        <v>218.24048797629771</v>
      </c>
      <c r="Y169" s="1">
        <f t="shared" si="20"/>
        <v>354.80386610839338</v>
      </c>
      <c r="Z169" s="1">
        <f t="shared" si="20"/>
        <v>200.41425382552194</v>
      </c>
      <c r="AA169" s="1">
        <f t="shared" si="20"/>
        <v>214.707941943381</v>
      </c>
      <c r="AB169" s="1">
        <f t="shared" si="20"/>
        <v>128.24713187599914</v>
      </c>
      <c r="AC169" s="1">
        <f t="shared" si="20"/>
        <v>205.95740635096305</v>
      </c>
      <c r="AD169" s="1">
        <f t="shared" si="20"/>
        <v>321.52646634498285</v>
      </c>
      <c r="AE169" s="1">
        <f t="shared" si="20"/>
        <v>288.73933496950207</v>
      </c>
      <c r="AF169" s="1">
        <f t="shared" si="20"/>
        <v>235.36159506521165</v>
      </c>
      <c r="AG169" s="1">
        <f t="shared" si="20"/>
        <v>536.03507312259637</v>
      </c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 x14ac:dyDescent="0.45">
      <c r="A170" s="8">
        <v>365.92766702071486</v>
      </c>
      <c r="Q170" s="9">
        <v>365.92766702071486</v>
      </c>
      <c r="R170" s="1">
        <f t="shared" si="16"/>
        <v>89.449464663751201</v>
      </c>
      <c r="S170" s="1">
        <f t="shared" si="18"/>
        <v>377.45761753511613</v>
      </c>
      <c r="T170" s="1">
        <f t="shared" si="17"/>
        <v>244.57049680440883</v>
      </c>
      <c r="U170" s="1">
        <f t="shared" si="20"/>
        <v>380.53299535209015</v>
      </c>
      <c r="V170" s="1">
        <f t="shared" si="20"/>
        <v>119.77504990150319</v>
      </c>
      <c r="W170" s="1">
        <f t="shared" si="20"/>
        <v>218.24048797629771</v>
      </c>
      <c r="X170" s="1">
        <f t="shared" si="20"/>
        <v>354.80386610839338</v>
      </c>
      <c r="Y170" s="1">
        <f t="shared" si="20"/>
        <v>200.41425382552194</v>
      </c>
      <c r="Z170" s="1">
        <f t="shared" si="20"/>
        <v>214.707941943381</v>
      </c>
      <c r="AA170" s="1">
        <f t="shared" si="20"/>
        <v>128.24713187599914</v>
      </c>
      <c r="AB170" s="1">
        <f t="shared" si="20"/>
        <v>205.95740635096305</v>
      </c>
      <c r="AC170" s="1">
        <f t="shared" si="20"/>
        <v>321.52646634498285</v>
      </c>
      <c r="AD170" s="1">
        <f t="shared" si="20"/>
        <v>288.73933496950207</v>
      </c>
      <c r="AE170" s="1">
        <f t="shared" si="20"/>
        <v>235.36159506521165</v>
      </c>
      <c r="AF170" s="1">
        <f t="shared" si="20"/>
        <v>536.03507312259637</v>
      </c>
      <c r="AG170" s="1">
        <f t="shared" si="20"/>
        <v>228.25600047470829</v>
      </c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 x14ac:dyDescent="0.45">
      <c r="A171" s="8">
        <v>377.45761753511613</v>
      </c>
      <c r="Q171" s="9">
        <v>377.45761753511613</v>
      </c>
      <c r="R171" s="1">
        <f t="shared" si="16"/>
        <v>100.97941517815246</v>
      </c>
      <c r="S171" s="1">
        <f t="shared" si="18"/>
        <v>244.57049680440883</v>
      </c>
      <c r="T171" s="1">
        <f t="shared" si="17"/>
        <v>380.53299535209015</v>
      </c>
      <c r="U171" s="1">
        <f t="shared" si="20"/>
        <v>119.77504990150319</v>
      </c>
      <c r="V171" s="1">
        <f t="shared" si="20"/>
        <v>218.24048797629771</v>
      </c>
      <c r="W171" s="1">
        <f t="shared" si="20"/>
        <v>354.80386610839338</v>
      </c>
      <c r="X171" s="1">
        <f t="shared" si="20"/>
        <v>200.41425382552194</v>
      </c>
      <c r="Y171" s="1">
        <f t="shared" si="20"/>
        <v>214.707941943381</v>
      </c>
      <c r="Z171" s="1">
        <f t="shared" si="20"/>
        <v>128.24713187599914</v>
      </c>
      <c r="AA171" s="1">
        <f t="shared" si="20"/>
        <v>205.95740635096305</v>
      </c>
      <c r="AB171" s="1">
        <f t="shared" si="20"/>
        <v>321.52646634498285</v>
      </c>
      <c r="AC171" s="1">
        <f t="shared" si="20"/>
        <v>288.73933496950207</v>
      </c>
      <c r="AD171" s="1">
        <f t="shared" si="20"/>
        <v>235.36159506521165</v>
      </c>
      <c r="AE171" s="1">
        <f t="shared" si="20"/>
        <v>536.03507312259637</v>
      </c>
      <c r="AF171" s="1">
        <f t="shared" si="20"/>
        <v>228.25600047470829</v>
      </c>
      <c r="AG171" s="1">
        <f t="shared" si="20"/>
        <v>215.51690149816432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 x14ac:dyDescent="0.45">
      <c r="A172" s="8">
        <v>244.57049680440883</v>
      </c>
      <c r="Q172" s="9">
        <v>244.57049680440883</v>
      </c>
      <c r="R172" s="1">
        <f t="shared" si="16"/>
        <v>-31.90770555255483</v>
      </c>
      <c r="S172" s="1">
        <f t="shared" si="18"/>
        <v>380.53299535209015</v>
      </c>
      <c r="T172" s="1">
        <f t="shared" si="17"/>
        <v>119.77504990150319</v>
      </c>
      <c r="U172" s="1">
        <f t="shared" si="20"/>
        <v>218.24048797629771</v>
      </c>
      <c r="V172" s="1">
        <f t="shared" si="20"/>
        <v>354.80386610839338</v>
      </c>
      <c r="W172" s="1">
        <f t="shared" si="20"/>
        <v>200.41425382552194</v>
      </c>
      <c r="X172" s="1">
        <f t="shared" si="20"/>
        <v>214.707941943381</v>
      </c>
      <c r="Y172" s="1">
        <f t="shared" si="20"/>
        <v>128.24713187599914</v>
      </c>
      <c r="Z172" s="1">
        <f t="shared" si="20"/>
        <v>205.95740635096305</v>
      </c>
      <c r="AA172" s="1">
        <f t="shared" si="20"/>
        <v>321.52646634498285</v>
      </c>
      <c r="AB172" s="1">
        <f t="shared" si="20"/>
        <v>288.73933496950207</v>
      </c>
      <c r="AC172" s="1">
        <f t="shared" si="20"/>
        <v>235.36159506521165</v>
      </c>
      <c r="AD172" s="1">
        <f t="shared" si="20"/>
        <v>536.03507312259637</v>
      </c>
      <c r="AE172" s="1">
        <f t="shared" si="20"/>
        <v>228.25600047470829</v>
      </c>
      <c r="AF172" s="1">
        <f t="shared" si="20"/>
        <v>215.51690149816432</v>
      </c>
      <c r="AG172" s="1">
        <f t="shared" si="20"/>
        <v>172.97098123856031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 x14ac:dyDescent="0.45">
      <c r="A173" s="8">
        <v>380.53299535209015</v>
      </c>
      <c r="Q173" s="9">
        <v>380.53299535209015</v>
      </c>
      <c r="R173" s="1">
        <f t="shared" si="16"/>
        <v>104.05479299512649</v>
      </c>
      <c r="S173" s="1">
        <f t="shared" si="18"/>
        <v>119.77504990150319</v>
      </c>
      <c r="T173" s="1">
        <f t="shared" si="17"/>
        <v>218.24048797629771</v>
      </c>
      <c r="U173" s="1">
        <f t="shared" si="20"/>
        <v>354.80386610839338</v>
      </c>
      <c r="V173" s="1">
        <f t="shared" si="20"/>
        <v>200.41425382552194</v>
      </c>
      <c r="W173" s="1">
        <f t="shared" si="20"/>
        <v>214.707941943381</v>
      </c>
      <c r="X173" s="1">
        <f t="shared" si="20"/>
        <v>128.24713187599914</v>
      </c>
      <c r="Y173" s="1">
        <f t="shared" si="20"/>
        <v>205.95740635096305</v>
      </c>
      <c r="Z173" s="1">
        <f t="shared" si="20"/>
        <v>321.52646634498285</v>
      </c>
      <c r="AA173" s="1">
        <f t="shared" si="20"/>
        <v>288.73933496950207</v>
      </c>
      <c r="AB173" s="1">
        <f t="shared" si="20"/>
        <v>235.36159506521165</v>
      </c>
      <c r="AC173" s="1">
        <f t="shared" si="20"/>
        <v>536.03507312259637</v>
      </c>
      <c r="AD173" s="1">
        <f t="shared" si="20"/>
        <v>228.25600047470829</v>
      </c>
      <c r="AE173" s="1">
        <f t="shared" si="20"/>
        <v>215.51690149816432</v>
      </c>
      <c r="AF173" s="1">
        <f t="shared" si="20"/>
        <v>172.97098123856031</v>
      </c>
      <c r="AG173" s="1">
        <f t="shared" si="20"/>
        <v>298.65735848541505</v>
      </c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 x14ac:dyDescent="0.45">
      <c r="A174" s="8">
        <v>119.77504990150319</v>
      </c>
      <c r="Q174" s="9">
        <v>119.77504990150319</v>
      </c>
      <c r="R174" s="1">
        <f t="shared" si="16"/>
        <v>-156.70315245546047</v>
      </c>
      <c r="S174" s="1">
        <f t="shared" si="18"/>
        <v>218.24048797629771</v>
      </c>
      <c r="T174" s="1">
        <f t="shared" si="17"/>
        <v>354.80386610839338</v>
      </c>
      <c r="U174" s="1">
        <f t="shared" si="20"/>
        <v>200.41425382552194</v>
      </c>
      <c r="V174" s="1">
        <f t="shared" si="20"/>
        <v>214.707941943381</v>
      </c>
      <c r="W174" s="1">
        <f t="shared" si="20"/>
        <v>128.24713187599914</v>
      </c>
      <c r="X174" s="1">
        <f t="shared" si="20"/>
        <v>205.95740635096305</v>
      </c>
      <c r="Y174" s="1">
        <f t="shared" si="20"/>
        <v>321.52646634498285</v>
      </c>
      <c r="Z174" s="1">
        <f t="shared" si="20"/>
        <v>288.73933496950207</v>
      </c>
      <c r="AA174" s="1">
        <f t="shared" si="20"/>
        <v>235.36159506521165</v>
      </c>
      <c r="AB174" s="1">
        <f t="shared" si="20"/>
        <v>536.03507312259637</v>
      </c>
      <c r="AC174" s="1">
        <f t="shared" si="20"/>
        <v>228.25600047470829</v>
      </c>
      <c r="AD174" s="1">
        <f t="shared" si="20"/>
        <v>215.51690149816432</v>
      </c>
      <c r="AE174" s="1">
        <f t="shared" si="20"/>
        <v>172.97098123856031</v>
      </c>
      <c r="AF174" s="1">
        <f t="shared" si="20"/>
        <v>298.65735848541505</v>
      </c>
      <c r="AG174" s="1">
        <f t="shared" si="20"/>
        <v>157.53435581019252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 x14ac:dyDescent="0.45">
      <c r="A175" s="8">
        <v>218.24048797629771</v>
      </c>
      <c r="Q175" s="9">
        <v>218.24048797629771</v>
      </c>
      <c r="R175" s="1">
        <f t="shared" si="16"/>
        <v>-58.237714380665949</v>
      </c>
      <c r="S175" s="1">
        <f t="shared" si="18"/>
        <v>354.80386610839338</v>
      </c>
      <c r="T175" s="1">
        <f t="shared" si="17"/>
        <v>200.41425382552194</v>
      </c>
      <c r="U175" s="1">
        <f t="shared" si="20"/>
        <v>214.707941943381</v>
      </c>
      <c r="V175" s="1">
        <f t="shared" si="20"/>
        <v>128.24713187599914</v>
      </c>
      <c r="W175" s="1">
        <f t="shared" si="20"/>
        <v>205.95740635096305</v>
      </c>
      <c r="X175" s="1">
        <f t="shared" si="20"/>
        <v>321.52646634498285</v>
      </c>
      <c r="Y175" s="1">
        <f t="shared" si="20"/>
        <v>288.73933496950207</v>
      </c>
      <c r="Z175" s="1">
        <f t="shared" si="20"/>
        <v>235.36159506521165</v>
      </c>
      <c r="AA175" s="1">
        <f t="shared" si="20"/>
        <v>536.03507312259637</v>
      </c>
      <c r="AB175" s="1">
        <f t="shared" si="20"/>
        <v>228.25600047470829</v>
      </c>
      <c r="AC175" s="1">
        <f t="shared" si="20"/>
        <v>215.51690149816432</v>
      </c>
      <c r="AD175" s="1">
        <f t="shared" si="20"/>
        <v>172.97098123856031</v>
      </c>
      <c r="AE175" s="1">
        <f t="shared" si="20"/>
        <v>298.65735848541505</v>
      </c>
      <c r="AF175" s="1">
        <f t="shared" si="20"/>
        <v>157.53435581019252</v>
      </c>
      <c r="AG175" s="1">
        <f t="shared" si="20"/>
        <v>84.03211744007605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 x14ac:dyDescent="0.45">
      <c r="A176" s="8">
        <v>354.80386610839338</v>
      </c>
      <c r="Q176" s="9">
        <v>354.80386610839338</v>
      </c>
      <c r="R176" s="1">
        <f t="shared" si="16"/>
        <v>78.325663751429715</v>
      </c>
      <c r="S176" s="1">
        <f t="shared" si="18"/>
        <v>200.41425382552194</v>
      </c>
      <c r="T176" s="1">
        <f t="shared" si="17"/>
        <v>214.707941943381</v>
      </c>
      <c r="U176" s="1">
        <f t="shared" si="20"/>
        <v>128.24713187599914</v>
      </c>
      <c r="V176" s="1">
        <f t="shared" si="20"/>
        <v>205.95740635096305</v>
      </c>
      <c r="W176" s="1">
        <f t="shared" si="20"/>
        <v>321.52646634498285</v>
      </c>
      <c r="X176" s="1">
        <f t="shared" si="20"/>
        <v>288.73933496950207</v>
      </c>
      <c r="Y176" s="1">
        <f t="shared" si="20"/>
        <v>235.36159506521165</v>
      </c>
      <c r="Z176" s="1">
        <f t="shared" si="20"/>
        <v>536.03507312259637</v>
      </c>
      <c r="AA176" s="1">
        <f t="shared" si="20"/>
        <v>228.25600047470829</v>
      </c>
      <c r="AB176" s="1">
        <f t="shared" si="20"/>
        <v>215.51690149816432</v>
      </c>
      <c r="AC176" s="1">
        <f t="shared" si="20"/>
        <v>172.97098123856031</v>
      </c>
      <c r="AD176" s="1">
        <f t="shared" si="20"/>
        <v>298.65735848541505</v>
      </c>
      <c r="AE176" s="1">
        <f t="shared" si="20"/>
        <v>157.53435581019252</v>
      </c>
      <c r="AF176" s="1">
        <f t="shared" si="20"/>
        <v>84.03211744007605</v>
      </c>
      <c r="AG176" s="1">
        <f t="shared" si="20"/>
        <v>188.71752493582289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 x14ac:dyDescent="0.45">
      <c r="A177" s="8">
        <v>200.41425382552194</v>
      </c>
      <c r="Q177" s="9">
        <v>200.41425382552194</v>
      </c>
      <c r="R177" s="1">
        <f t="shared" si="16"/>
        <v>-76.063948531441724</v>
      </c>
      <c r="S177" s="1">
        <f t="shared" si="18"/>
        <v>214.707941943381</v>
      </c>
      <c r="T177" s="1">
        <f t="shared" si="17"/>
        <v>128.24713187599914</v>
      </c>
      <c r="U177" s="1">
        <f t="shared" si="20"/>
        <v>205.95740635096305</v>
      </c>
      <c r="V177" s="1">
        <f t="shared" si="20"/>
        <v>321.52646634498285</v>
      </c>
      <c r="W177" s="1">
        <f t="shared" si="20"/>
        <v>288.73933496950207</v>
      </c>
      <c r="X177" s="1">
        <f t="shared" si="20"/>
        <v>235.36159506521165</v>
      </c>
      <c r="Y177" s="1">
        <f t="shared" si="20"/>
        <v>536.03507312259637</v>
      </c>
      <c r="Z177" s="1">
        <f t="shared" si="20"/>
        <v>228.25600047470829</v>
      </c>
      <c r="AA177" s="1">
        <f t="shared" si="20"/>
        <v>215.51690149816432</v>
      </c>
      <c r="AB177" s="1">
        <f t="shared" si="20"/>
        <v>172.97098123856031</v>
      </c>
      <c r="AC177" s="1">
        <f t="shared" si="20"/>
        <v>298.65735848541505</v>
      </c>
      <c r="AD177" s="1">
        <f t="shared" si="20"/>
        <v>157.53435581019252</v>
      </c>
      <c r="AE177" s="1">
        <f t="shared" si="20"/>
        <v>84.03211744007605</v>
      </c>
      <c r="AF177" s="1">
        <f t="shared" si="20"/>
        <v>188.71752493582289</v>
      </c>
      <c r="AG177" s="1">
        <f t="shared" si="20"/>
        <v>116.60437593747307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 x14ac:dyDescent="0.45">
      <c r="A178" s="8">
        <v>214.707941943381</v>
      </c>
      <c r="Q178" s="9">
        <v>214.707941943381</v>
      </c>
      <c r="R178" s="1">
        <f t="shared" si="16"/>
        <v>-61.770260413582662</v>
      </c>
      <c r="S178" s="1">
        <f t="shared" si="18"/>
        <v>128.24713187599914</v>
      </c>
      <c r="T178" s="1">
        <f t="shared" si="17"/>
        <v>205.95740635096305</v>
      </c>
      <c r="U178" s="1">
        <f t="shared" si="20"/>
        <v>321.52646634498285</v>
      </c>
      <c r="V178" s="1">
        <f t="shared" si="20"/>
        <v>288.73933496950207</v>
      </c>
      <c r="W178" s="1">
        <f t="shared" si="20"/>
        <v>235.36159506521165</v>
      </c>
      <c r="X178" s="1">
        <f t="shared" si="20"/>
        <v>536.03507312259637</v>
      </c>
      <c r="Y178" s="1">
        <f t="shared" si="20"/>
        <v>228.25600047470829</v>
      </c>
      <c r="Z178" s="1">
        <f t="shared" si="20"/>
        <v>215.51690149816432</v>
      </c>
      <c r="AA178" s="1">
        <f t="shared" si="20"/>
        <v>172.97098123856031</v>
      </c>
      <c r="AB178" s="1">
        <f t="shared" si="20"/>
        <v>298.65735848541505</v>
      </c>
      <c r="AC178" s="1">
        <f t="shared" si="20"/>
        <v>157.53435581019252</v>
      </c>
      <c r="AD178" s="1">
        <f t="shared" si="20"/>
        <v>84.03211744007605</v>
      </c>
      <c r="AE178" s="1">
        <f t="shared" si="20"/>
        <v>188.71752493582289</v>
      </c>
      <c r="AF178" s="1">
        <f t="shared" si="20"/>
        <v>116.60437593747307</v>
      </c>
      <c r="AG178" s="1">
        <f t="shared" si="20"/>
        <v>134.94640883037687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 x14ac:dyDescent="0.45">
      <c r="A179" s="8">
        <v>128.24713187599914</v>
      </c>
      <c r="Q179" s="9">
        <v>128.24713187599914</v>
      </c>
      <c r="R179" s="1">
        <f t="shared" si="16"/>
        <v>-148.23107048096452</v>
      </c>
      <c r="S179" s="1">
        <f t="shared" si="18"/>
        <v>205.95740635096305</v>
      </c>
      <c r="T179" s="1">
        <f t="shared" si="17"/>
        <v>321.52646634498285</v>
      </c>
      <c r="U179" s="1">
        <f t="shared" ref="U179:AG194" si="21">T180</f>
        <v>288.73933496950207</v>
      </c>
      <c r="V179" s="1">
        <f t="shared" si="21"/>
        <v>235.36159506521165</v>
      </c>
      <c r="W179" s="1">
        <f t="shared" si="21"/>
        <v>536.03507312259637</v>
      </c>
      <c r="X179" s="1">
        <f t="shared" si="21"/>
        <v>228.25600047470829</v>
      </c>
      <c r="Y179" s="1">
        <f t="shared" si="21"/>
        <v>215.51690149816432</v>
      </c>
      <c r="Z179" s="1">
        <f t="shared" si="21"/>
        <v>172.97098123856031</v>
      </c>
      <c r="AA179" s="1">
        <f t="shared" si="21"/>
        <v>298.65735848541505</v>
      </c>
      <c r="AB179" s="1">
        <f t="shared" si="21"/>
        <v>157.53435581019252</v>
      </c>
      <c r="AC179" s="1">
        <f t="shared" si="21"/>
        <v>84.03211744007605</v>
      </c>
      <c r="AD179" s="1">
        <f t="shared" si="21"/>
        <v>188.71752493582289</v>
      </c>
      <c r="AE179" s="1">
        <f t="shared" si="21"/>
        <v>116.60437593747307</v>
      </c>
      <c r="AF179" s="1">
        <f t="shared" si="21"/>
        <v>134.94640883037687</v>
      </c>
      <c r="AG179" s="1">
        <f t="shared" si="21"/>
        <v>435.11415526329688</v>
      </c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 x14ac:dyDescent="0.45">
      <c r="A180" s="8">
        <v>205.95740635096305</v>
      </c>
      <c r="Q180" s="9">
        <v>205.95740635096305</v>
      </c>
      <c r="R180" s="1">
        <f t="shared" si="16"/>
        <v>-70.520796006000609</v>
      </c>
      <c r="S180" s="1">
        <f t="shared" si="18"/>
        <v>321.52646634498285</v>
      </c>
      <c r="T180" s="1">
        <f t="shared" si="17"/>
        <v>288.73933496950207</v>
      </c>
      <c r="U180" s="1">
        <f t="shared" si="21"/>
        <v>235.36159506521165</v>
      </c>
      <c r="V180" s="1">
        <f t="shared" si="21"/>
        <v>536.03507312259637</v>
      </c>
      <c r="W180" s="1">
        <f t="shared" si="21"/>
        <v>228.25600047470829</v>
      </c>
      <c r="X180" s="1">
        <f t="shared" si="21"/>
        <v>215.51690149816432</v>
      </c>
      <c r="Y180" s="1">
        <f t="shared" si="21"/>
        <v>172.97098123856031</v>
      </c>
      <c r="Z180" s="1">
        <f t="shared" si="21"/>
        <v>298.65735848541505</v>
      </c>
      <c r="AA180" s="1">
        <f t="shared" si="21"/>
        <v>157.53435581019252</v>
      </c>
      <c r="AB180" s="1">
        <f t="shared" si="21"/>
        <v>84.03211744007605</v>
      </c>
      <c r="AC180" s="1">
        <f t="shared" si="21"/>
        <v>188.71752493582289</v>
      </c>
      <c r="AD180" s="1">
        <f t="shared" si="21"/>
        <v>116.60437593747307</v>
      </c>
      <c r="AE180" s="1">
        <f t="shared" si="21"/>
        <v>134.94640883037687</v>
      </c>
      <c r="AF180" s="1">
        <f t="shared" si="21"/>
        <v>435.11415526329688</v>
      </c>
      <c r="AG180" s="1">
        <f t="shared" si="21"/>
        <v>177.72815000706601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 x14ac:dyDescent="0.45">
      <c r="A181" s="8">
        <v>321.52646634498285</v>
      </c>
      <c r="Q181" s="9">
        <v>321.52646634498285</v>
      </c>
      <c r="R181" s="1">
        <f t="shared" si="16"/>
        <v>45.048263988019187</v>
      </c>
      <c r="S181" s="1">
        <f t="shared" si="18"/>
        <v>288.73933496950207</v>
      </c>
      <c r="T181" s="1">
        <f t="shared" si="17"/>
        <v>235.36159506521165</v>
      </c>
      <c r="U181" s="1">
        <f t="shared" si="21"/>
        <v>536.03507312259637</v>
      </c>
      <c r="V181" s="1">
        <f t="shared" si="21"/>
        <v>228.25600047470829</v>
      </c>
      <c r="W181" s="1">
        <f t="shared" si="21"/>
        <v>215.51690149816432</v>
      </c>
      <c r="X181" s="1">
        <f t="shared" si="21"/>
        <v>172.97098123856031</v>
      </c>
      <c r="Y181" s="1">
        <f t="shared" si="21"/>
        <v>298.65735848541505</v>
      </c>
      <c r="Z181" s="1">
        <f t="shared" si="21"/>
        <v>157.53435581019252</v>
      </c>
      <c r="AA181" s="1">
        <f t="shared" si="21"/>
        <v>84.03211744007605</v>
      </c>
      <c r="AB181" s="1">
        <f t="shared" si="21"/>
        <v>188.71752493582289</v>
      </c>
      <c r="AC181" s="1">
        <f t="shared" si="21"/>
        <v>116.60437593747307</v>
      </c>
      <c r="AD181" s="1">
        <f t="shared" si="21"/>
        <v>134.94640883037687</v>
      </c>
      <c r="AE181" s="1">
        <f t="shared" si="21"/>
        <v>435.11415526329688</v>
      </c>
      <c r="AF181" s="1">
        <f t="shared" si="21"/>
        <v>177.72815000706601</v>
      </c>
      <c r="AG181" s="1">
        <f t="shared" si="21"/>
        <v>134.98922638929375</v>
      </c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 x14ac:dyDescent="0.45">
      <c r="A182" s="8">
        <v>288.73933496950207</v>
      </c>
      <c r="Q182" s="9">
        <v>288.73933496950207</v>
      </c>
      <c r="R182" s="1">
        <f t="shared" si="16"/>
        <v>12.261132612538404</v>
      </c>
      <c r="S182" s="1">
        <f t="shared" si="18"/>
        <v>235.36159506521165</v>
      </c>
      <c r="T182" s="1">
        <f t="shared" si="17"/>
        <v>536.03507312259637</v>
      </c>
      <c r="U182" s="1">
        <f t="shared" si="21"/>
        <v>228.25600047470829</v>
      </c>
      <c r="V182" s="1">
        <f t="shared" si="21"/>
        <v>215.51690149816432</v>
      </c>
      <c r="W182" s="1">
        <f t="shared" si="21"/>
        <v>172.97098123856031</v>
      </c>
      <c r="X182" s="1">
        <f t="shared" si="21"/>
        <v>298.65735848541505</v>
      </c>
      <c r="Y182" s="1">
        <f t="shared" si="21"/>
        <v>157.53435581019252</v>
      </c>
      <c r="Z182" s="1">
        <f t="shared" si="21"/>
        <v>84.03211744007605</v>
      </c>
      <c r="AA182" s="1">
        <f t="shared" si="21"/>
        <v>188.71752493582289</v>
      </c>
      <c r="AB182" s="1">
        <f t="shared" si="21"/>
        <v>116.60437593747307</v>
      </c>
      <c r="AC182" s="1">
        <f t="shared" si="21"/>
        <v>134.94640883037687</v>
      </c>
      <c r="AD182" s="1">
        <f t="shared" si="21"/>
        <v>435.11415526329688</v>
      </c>
      <c r="AE182" s="1">
        <f t="shared" si="21"/>
        <v>177.72815000706601</v>
      </c>
      <c r="AF182" s="1">
        <f t="shared" si="21"/>
        <v>134.98922638929375</v>
      </c>
      <c r="AG182" s="1">
        <f t="shared" si="21"/>
        <v>726.69771335095948</v>
      </c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 x14ac:dyDescent="0.45">
      <c r="A183" s="8">
        <v>235.36159506521165</v>
      </c>
      <c r="Q183" s="9">
        <v>235.36159506521165</v>
      </c>
      <c r="R183" s="1">
        <f t="shared" si="16"/>
        <v>-41.116607291752018</v>
      </c>
      <c r="S183" s="1">
        <f t="shared" si="18"/>
        <v>536.03507312259637</v>
      </c>
      <c r="T183" s="1">
        <f t="shared" si="17"/>
        <v>228.25600047470829</v>
      </c>
      <c r="U183" s="1">
        <f t="shared" si="21"/>
        <v>215.51690149816432</v>
      </c>
      <c r="V183" s="1">
        <f t="shared" si="21"/>
        <v>172.97098123856031</v>
      </c>
      <c r="W183" s="1">
        <f t="shared" si="21"/>
        <v>298.65735848541505</v>
      </c>
      <c r="X183" s="1">
        <f t="shared" si="21"/>
        <v>157.53435581019252</v>
      </c>
      <c r="Y183" s="1">
        <f t="shared" si="21"/>
        <v>84.03211744007605</v>
      </c>
      <c r="Z183" s="1">
        <f t="shared" si="21"/>
        <v>188.71752493582289</v>
      </c>
      <c r="AA183" s="1">
        <f t="shared" si="21"/>
        <v>116.60437593747307</v>
      </c>
      <c r="AB183" s="1">
        <f t="shared" si="21"/>
        <v>134.94640883037687</v>
      </c>
      <c r="AC183" s="1">
        <f t="shared" si="21"/>
        <v>435.11415526329688</v>
      </c>
      <c r="AD183" s="1">
        <f t="shared" si="21"/>
        <v>177.72815000706601</v>
      </c>
      <c r="AE183" s="1">
        <f t="shared" si="21"/>
        <v>134.98922638929375</v>
      </c>
      <c r="AF183" s="1">
        <f t="shared" si="21"/>
        <v>726.69771335095948</v>
      </c>
      <c r="AG183" s="1">
        <f t="shared" si="21"/>
        <v>37.717606599446796</v>
      </c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 x14ac:dyDescent="0.45">
      <c r="A184" s="8">
        <v>536.03507312259637</v>
      </c>
      <c r="Q184" s="9">
        <v>536.03507312259637</v>
      </c>
      <c r="R184" s="1">
        <f t="shared" si="16"/>
        <v>259.55687076563271</v>
      </c>
      <c r="S184" s="1">
        <f t="shared" si="18"/>
        <v>228.25600047470829</v>
      </c>
      <c r="T184" s="1">
        <f t="shared" si="17"/>
        <v>215.51690149816432</v>
      </c>
      <c r="U184" s="1">
        <f t="shared" si="21"/>
        <v>172.97098123856031</v>
      </c>
      <c r="V184" s="1">
        <f t="shared" si="21"/>
        <v>298.65735848541505</v>
      </c>
      <c r="W184" s="1">
        <f t="shared" si="21"/>
        <v>157.53435581019252</v>
      </c>
      <c r="X184" s="1">
        <f t="shared" si="21"/>
        <v>84.03211744007605</v>
      </c>
      <c r="Y184" s="1">
        <f t="shared" si="21"/>
        <v>188.71752493582289</v>
      </c>
      <c r="Z184" s="1">
        <f t="shared" si="21"/>
        <v>116.60437593747307</v>
      </c>
      <c r="AA184" s="1">
        <f t="shared" si="21"/>
        <v>134.94640883037687</v>
      </c>
      <c r="AB184" s="1">
        <f t="shared" si="21"/>
        <v>435.11415526329688</v>
      </c>
      <c r="AC184" s="1">
        <f t="shared" si="21"/>
        <v>177.72815000706601</v>
      </c>
      <c r="AD184" s="1">
        <f t="shared" si="21"/>
        <v>134.98922638929375</v>
      </c>
      <c r="AE184" s="1">
        <f t="shared" si="21"/>
        <v>726.69771335095948</v>
      </c>
      <c r="AF184" s="1">
        <f t="shared" si="21"/>
        <v>37.717606599446796</v>
      </c>
      <c r="AG184" s="1">
        <f t="shared" si="21"/>
        <v>110.9162647661596</v>
      </c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 x14ac:dyDescent="0.45">
      <c r="A185" s="8">
        <v>228.25600047470829</v>
      </c>
      <c r="Q185" s="9">
        <v>228.25600047470829</v>
      </c>
      <c r="R185" s="1">
        <f t="shared" si="16"/>
        <v>-48.222201882255376</v>
      </c>
      <c r="S185" s="1">
        <f t="shared" si="18"/>
        <v>215.51690149816432</v>
      </c>
      <c r="T185" s="1">
        <f t="shared" si="17"/>
        <v>172.97098123856031</v>
      </c>
      <c r="U185" s="1">
        <f t="shared" si="21"/>
        <v>298.65735848541505</v>
      </c>
      <c r="V185" s="1">
        <f t="shared" si="21"/>
        <v>157.53435581019252</v>
      </c>
      <c r="W185" s="1">
        <f t="shared" si="21"/>
        <v>84.03211744007605</v>
      </c>
      <c r="X185" s="1">
        <f t="shared" si="21"/>
        <v>188.71752493582289</v>
      </c>
      <c r="Y185" s="1">
        <f t="shared" si="21"/>
        <v>116.60437593747307</v>
      </c>
      <c r="Z185" s="1">
        <f t="shared" si="21"/>
        <v>134.94640883037687</v>
      </c>
      <c r="AA185" s="1">
        <f t="shared" si="21"/>
        <v>435.11415526329688</v>
      </c>
      <c r="AB185" s="1">
        <f t="shared" si="21"/>
        <v>177.72815000706601</v>
      </c>
      <c r="AC185" s="1">
        <f t="shared" si="21"/>
        <v>134.98922638929375</v>
      </c>
      <c r="AD185" s="1">
        <f t="shared" si="21"/>
        <v>726.69771335095948</v>
      </c>
      <c r="AE185" s="1">
        <f t="shared" si="21"/>
        <v>37.717606599446796</v>
      </c>
      <c r="AF185" s="1">
        <f t="shared" si="21"/>
        <v>110.9162647661596</v>
      </c>
      <c r="AG185" s="1">
        <f t="shared" si="21"/>
        <v>416.9380434712856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 x14ac:dyDescent="0.45">
      <c r="A186" s="8">
        <v>215.51690149816432</v>
      </c>
      <c r="Q186" s="9">
        <v>215.51690149816432</v>
      </c>
      <c r="R186" s="1">
        <f t="shared" si="16"/>
        <v>-60.961300858799348</v>
      </c>
      <c r="S186" s="1">
        <f t="shared" si="18"/>
        <v>172.97098123856031</v>
      </c>
      <c r="T186" s="1">
        <f t="shared" si="17"/>
        <v>298.65735848541505</v>
      </c>
      <c r="U186" s="1">
        <f t="shared" si="21"/>
        <v>157.53435581019252</v>
      </c>
      <c r="V186" s="1">
        <f t="shared" si="21"/>
        <v>84.03211744007605</v>
      </c>
      <c r="W186" s="1">
        <f t="shared" si="21"/>
        <v>188.71752493582289</v>
      </c>
      <c r="X186" s="1">
        <f t="shared" si="21"/>
        <v>116.60437593747307</v>
      </c>
      <c r="Y186" s="1">
        <f t="shared" si="21"/>
        <v>134.94640883037687</v>
      </c>
      <c r="Z186" s="1">
        <f t="shared" si="21"/>
        <v>435.11415526329688</v>
      </c>
      <c r="AA186" s="1">
        <f t="shared" si="21"/>
        <v>177.72815000706601</v>
      </c>
      <c r="AB186" s="1">
        <f t="shared" si="21"/>
        <v>134.98922638929375</v>
      </c>
      <c r="AC186" s="1">
        <f t="shared" si="21"/>
        <v>726.69771335095948</v>
      </c>
      <c r="AD186" s="1">
        <f t="shared" si="21"/>
        <v>37.717606599446796</v>
      </c>
      <c r="AE186" s="1">
        <f t="shared" si="21"/>
        <v>110.9162647661596</v>
      </c>
      <c r="AF186" s="1">
        <f t="shared" si="21"/>
        <v>416.9380434712856</v>
      </c>
      <c r="AG186" s="1">
        <f t="shared" si="21"/>
        <v>463.39474499202589</v>
      </c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 x14ac:dyDescent="0.45">
      <c r="A187" s="8">
        <v>172.97098123856031</v>
      </c>
      <c r="Q187" s="9">
        <v>172.97098123856031</v>
      </c>
      <c r="R187" s="1">
        <f t="shared" si="16"/>
        <v>-103.50722111840335</v>
      </c>
      <c r="S187" s="1">
        <f t="shared" si="18"/>
        <v>298.65735848541505</v>
      </c>
      <c r="T187" s="1">
        <f t="shared" si="17"/>
        <v>157.53435581019252</v>
      </c>
      <c r="U187" s="1">
        <f t="shared" si="21"/>
        <v>84.03211744007605</v>
      </c>
      <c r="V187" s="1">
        <f t="shared" si="21"/>
        <v>188.71752493582289</v>
      </c>
      <c r="W187" s="1">
        <f t="shared" si="21"/>
        <v>116.60437593747307</v>
      </c>
      <c r="X187" s="1">
        <f t="shared" si="21"/>
        <v>134.94640883037687</v>
      </c>
      <c r="Y187" s="1">
        <f t="shared" si="21"/>
        <v>435.11415526329688</v>
      </c>
      <c r="Z187" s="1">
        <f t="shared" si="21"/>
        <v>177.72815000706601</v>
      </c>
      <c r="AA187" s="1">
        <f t="shared" si="21"/>
        <v>134.98922638929375</v>
      </c>
      <c r="AB187" s="1">
        <f t="shared" si="21"/>
        <v>726.69771335095948</v>
      </c>
      <c r="AC187" s="1">
        <f t="shared" si="21"/>
        <v>37.717606599446796</v>
      </c>
      <c r="AD187" s="1">
        <f t="shared" si="21"/>
        <v>110.9162647661596</v>
      </c>
      <c r="AE187" s="1">
        <f t="shared" si="21"/>
        <v>416.9380434712856</v>
      </c>
      <c r="AF187" s="1">
        <f t="shared" si="21"/>
        <v>463.39474499202589</v>
      </c>
      <c r="AG187" s="1">
        <f t="shared" si="21"/>
        <v>445.64779833094963</v>
      </c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 x14ac:dyDescent="0.45">
      <c r="A188" s="8">
        <v>298.65735848541505</v>
      </c>
      <c r="Q188" s="9">
        <v>298.65735848541505</v>
      </c>
      <c r="R188" s="1">
        <f t="shared" si="16"/>
        <v>22.179156128451382</v>
      </c>
      <c r="S188" s="1">
        <f t="shared" si="18"/>
        <v>157.53435581019252</v>
      </c>
      <c r="T188" s="1">
        <f t="shared" si="17"/>
        <v>84.03211744007605</v>
      </c>
      <c r="U188" s="1">
        <f t="shared" si="21"/>
        <v>188.71752493582289</v>
      </c>
      <c r="V188" s="1">
        <f t="shared" si="21"/>
        <v>116.60437593747307</v>
      </c>
      <c r="W188" s="1">
        <f t="shared" si="21"/>
        <v>134.94640883037687</v>
      </c>
      <c r="X188" s="1">
        <f t="shared" si="21"/>
        <v>435.11415526329688</v>
      </c>
      <c r="Y188" s="1">
        <f t="shared" si="21"/>
        <v>177.72815000706601</v>
      </c>
      <c r="Z188" s="1">
        <f t="shared" si="21"/>
        <v>134.98922638929375</v>
      </c>
      <c r="AA188" s="1">
        <f t="shared" si="21"/>
        <v>726.69771335095948</v>
      </c>
      <c r="AB188" s="1">
        <f t="shared" si="21"/>
        <v>37.717606599446796</v>
      </c>
      <c r="AC188" s="1">
        <f t="shared" si="21"/>
        <v>110.9162647661596</v>
      </c>
      <c r="AD188" s="1">
        <f t="shared" si="21"/>
        <v>416.9380434712856</v>
      </c>
      <c r="AE188" s="1">
        <f t="shared" si="21"/>
        <v>463.39474499202589</v>
      </c>
      <c r="AF188" s="1">
        <f t="shared" si="21"/>
        <v>445.64779833094963</v>
      </c>
      <c r="AG188" s="1">
        <f t="shared" si="21"/>
        <v>90.023263673380285</v>
      </c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 x14ac:dyDescent="0.45">
      <c r="A189" s="8">
        <v>157.53435581019252</v>
      </c>
      <c r="Q189" s="9">
        <v>157.53435581019252</v>
      </c>
      <c r="R189" s="1">
        <f t="shared" si="16"/>
        <v>-118.94384654677114</v>
      </c>
      <c r="S189" s="1">
        <f t="shared" si="18"/>
        <v>84.03211744007605</v>
      </c>
      <c r="T189" s="1">
        <f t="shared" si="17"/>
        <v>188.71752493582289</v>
      </c>
      <c r="U189" s="1">
        <f t="shared" si="21"/>
        <v>116.60437593747307</v>
      </c>
      <c r="V189" s="1">
        <f t="shared" si="21"/>
        <v>134.94640883037687</v>
      </c>
      <c r="W189" s="1">
        <f t="shared" si="21"/>
        <v>435.11415526329688</v>
      </c>
      <c r="X189" s="1">
        <f t="shared" si="21"/>
        <v>177.72815000706601</v>
      </c>
      <c r="Y189" s="1">
        <f t="shared" si="21"/>
        <v>134.98922638929375</v>
      </c>
      <c r="Z189" s="1">
        <f t="shared" si="21"/>
        <v>726.69771335095948</v>
      </c>
      <c r="AA189" s="1">
        <f t="shared" si="21"/>
        <v>37.717606599446796</v>
      </c>
      <c r="AB189" s="1">
        <f t="shared" si="21"/>
        <v>110.9162647661596</v>
      </c>
      <c r="AC189" s="1">
        <f t="shared" si="21"/>
        <v>416.9380434712856</v>
      </c>
      <c r="AD189" s="1">
        <f t="shared" si="21"/>
        <v>463.39474499202589</v>
      </c>
      <c r="AE189" s="1">
        <f t="shared" si="21"/>
        <v>445.64779833094963</v>
      </c>
      <c r="AF189" s="1">
        <f t="shared" si="21"/>
        <v>90.023263673380285</v>
      </c>
      <c r="AG189" s="1">
        <f t="shared" si="21"/>
        <v>111.84495600627909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 x14ac:dyDescent="0.45">
      <c r="A190" s="8">
        <v>84.03211744007605</v>
      </c>
      <c r="Q190" s="9">
        <v>84.03211744007605</v>
      </c>
      <c r="R190" s="1">
        <f t="shared" si="16"/>
        <v>-192.44608491688763</v>
      </c>
      <c r="S190" s="1">
        <f t="shared" si="18"/>
        <v>188.71752493582289</v>
      </c>
      <c r="T190" s="1">
        <f t="shared" si="17"/>
        <v>116.60437593747307</v>
      </c>
      <c r="U190" s="1">
        <f t="shared" si="21"/>
        <v>134.94640883037687</v>
      </c>
      <c r="V190" s="1">
        <f t="shared" si="21"/>
        <v>435.11415526329688</v>
      </c>
      <c r="W190" s="1">
        <f t="shared" si="21"/>
        <v>177.72815000706601</v>
      </c>
      <c r="X190" s="1">
        <f t="shared" si="21"/>
        <v>134.98922638929375</v>
      </c>
      <c r="Y190" s="1">
        <f t="shared" si="21"/>
        <v>726.69771335095948</v>
      </c>
      <c r="Z190" s="1">
        <f t="shared" si="21"/>
        <v>37.717606599446796</v>
      </c>
      <c r="AA190" s="1">
        <f t="shared" si="21"/>
        <v>110.9162647661596</v>
      </c>
      <c r="AB190" s="1">
        <f t="shared" si="21"/>
        <v>416.9380434712856</v>
      </c>
      <c r="AC190" s="1">
        <f t="shared" si="21"/>
        <v>463.39474499202589</v>
      </c>
      <c r="AD190" s="1">
        <f t="shared" si="21"/>
        <v>445.64779833094963</v>
      </c>
      <c r="AE190" s="1">
        <f t="shared" si="21"/>
        <v>90.023263673380285</v>
      </c>
      <c r="AF190" s="1">
        <f t="shared" si="21"/>
        <v>111.84495600627909</v>
      </c>
      <c r="AG190" s="1">
        <f t="shared" si="21"/>
        <v>162.30978025416906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 x14ac:dyDescent="0.45">
      <c r="A191" s="8">
        <v>188.71752493582289</v>
      </c>
      <c r="Q191" s="9">
        <v>188.71752493582289</v>
      </c>
      <c r="R191" s="1">
        <f t="shared" si="16"/>
        <v>-87.76067742114077</v>
      </c>
      <c r="S191" s="1">
        <f t="shared" si="18"/>
        <v>116.60437593747307</v>
      </c>
      <c r="T191" s="1">
        <f t="shared" si="17"/>
        <v>134.94640883037687</v>
      </c>
      <c r="U191" s="1">
        <f t="shared" si="21"/>
        <v>435.11415526329688</v>
      </c>
      <c r="V191" s="1">
        <f t="shared" si="21"/>
        <v>177.72815000706601</v>
      </c>
      <c r="W191" s="1">
        <f t="shared" si="21"/>
        <v>134.98922638929375</v>
      </c>
      <c r="X191" s="1">
        <f t="shared" si="21"/>
        <v>726.69771335095948</v>
      </c>
      <c r="Y191" s="1">
        <f t="shared" si="21"/>
        <v>37.717606599446796</v>
      </c>
      <c r="Z191" s="1">
        <f t="shared" si="21"/>
        <v>110.9162647661596</v>
      </c>
      <c r="AA191" s="1">
        <f t="shared" si="21"/>
        <v>416.9380434712856</v>
      </c>
      <c r="AB191" s="1">
        <f t="shared" si="21"/>
        <v>463.39474499202589</v>
      </c>
      <c r="AC191" s="1">
        <f t="shared" si="21"/>
        <v>445.64779833094963</v>
      </c>
      <c r="AD191" s="1">
        <f t="shared" si="21"/>
        <v>90.023263673380285</v>
      </c>
      <c r="AE191" s="1">
        <f t="shared" si="21"/>
        <v>111.84495600627909</v>
      </c>
      <c r="AF191" s="1">
        <f t="shared" si="21"/>
        <v>162.30978025416906</v>
      </c>
      <c r="AG191" s="1">
        <f t="shared" si="21"/>
        <v>234.84640082560213</v>
      </c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 x14ac:dyDescent="0.45">
      <c r="A192" s="8">
        <v>116.60437593747307</v>
      </c>
      <c r="Q192" s="9">
        <v>116.60437593747307</v>
      </c>
      <c r="R192" s="1">
        <f t="shared" si="16"/>
        <v>-159.8738264194906</v>
      </c>
      <c r="S192" s="1">
        <f t="shared" si="18"/>
        <v>134.94640883037687</v>
      </c>
      <c r="T192" s="1">
        <f t="shared" si="17"/>
        <v>435.11415526329688</v>
      </c>
      <c r="U192" s="1">
        <f t="shared" si="21"/>
        <v>177.72815000706601</v>
      </c>
      <c r="V192" s="1">
        <f t="shared" si="21"/>
        <v>134.98922638929375</v>
      </c>
      <c r="W192" s="1">
        <f t="shared" si="21"/>
        <v>726.69771335095948</v>
      </c>
      <c r="X192" s="1">
        <f t="shared" si="21"/>
        <v>37.717606599446796</v>
      </c>
      <c r="Y192" s="1">
        <f t="shared" si="21"/>
        <v>110.9162647661596</v>
      </c>
      <c r="Z192" s="1">
        <f t="shared" si="21"/>
        <v>416.9380434712856</v>
      </c>
      <c r="AA192" s="1">
        <f t="shared" si="21"/>
        <v>463.39474499202589</v>
      </c>
      <c r="AB192" s="1">
        <f t="shared" si="21"/>
        <v>445.64779833094963</v>
      </c>
      <c r="AC192" s="1">
        <f t="shared" si="21"/>
        <v>90.023263673380285</v>
      </c>
      <c r="AD192" s="1">
        <f t="shared" si="21"/>
        <v>111.84495600627909</v>
      </c>
      <c r="AE192" s="1">
        <f t="shared" si="21"/>
        <v>162.30978025416906</v>
      </c>
      <c r="AF192" s="1">
        <f t="shared" si="21"/>
        <v>234.84640082560213</v>
      </c>
      <c r="AG192" s="1">
        <f t="shared" si="21"/>
        <v>66.950234133569865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 x14ac:dyDescent="0.45">
      <c r="A193" s="8">
        <v>134.94640883037687</v>
      </c>
      <c r="Q193" s="9">
        <v>134.94640883037687</v>
      </c>
      <c r="R193" s="1">
        <f t="shared" si="16"/>
        <v>-141.5317935265868</v>
      </c>
      <c r="S193" s="1">
        <f t="shared" si="18"/>
        <v>435.11415526329688</v>
      </c>
      <c r="T193" s="1">
        <f t="shared" si="17"/>
        <v>177.72815000706601</v>
      </c>
      <c r="U193" s="1">
        <f t="shared" si="21"/>
        <v>134.98922638929375</v>
      </c>
      <c r="V193" s="1">
        <f t="shared" si="21"/>
        <v>726.69771335095948</v>
      </c>
      <c r="W193" s="1">
        <f t="shared" si="21"/>
        <v>37.717606599446796</v>
      </c>
      <c r="X193" s="1">
        <f t="shared" si="21"/>
        <v>110.9162647661596</v>
      </c>
      <c r="Y193" s="1">
        <f t="shared" si="21"/>
        <v>416.9380434712856</v>
      </c>
      <c r="Z193" s="1">
        <f t="shared" si="21"/>
        <v>463.39474499202589</v>
      </c>
      <c r="AA193" s="1">
        <f t="shared" si="21"/>
        <v>445.64779833094963</v>
      </c>
      <c r="AB193" s="1">
        <f t="shared" si="21"/>
        <v>90.023263673380285</v>
      </c>
      <c r="AC193" s="1">
        <f t="shared" si="21"/>
        <v>111.84495600627909</v>
      </c>
      <c r="AD193" s="1">
        <f t="shared" si="21"/>
        <v>162.30978025416906</v>
      </c>
      <c r="AE193" s="1">
        <f t="shared" si="21"/>
        <v>234.84640082560213</v>
      </c>
      <c r="AF193" s="1">
        <f t="shared" si="21"/>
        <v>66.950234133569865</v>
      </c>
      <c r="AG193" s="1">
        <f t="shared" si="21"/>
        <v>177.5374219583199</v>
      </c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 x14ac:dyDescent="0.45">
      <c r="A194" s="8">
        <v>435.11415526329688</v>
      </c>
      <c r="Q194" s="9">
        <v>435.11415526329688</v>
      </c>
      <c r="R194" s="1">
        <f t="shared" si="16"/>
        <v>158.63595290633322</v>
      </c>
      <c r="S194" s="1">
        <f t="shared" si="18"/>
        <v>177.72815000706601</v>
      </c>
      <c r="T194" s="1">
        <f t="shared" si="17"/>
        <v>134.98922638929375</v>
      </c>
      <c r="U194" s="1">
        <f t="shared" si="21"/>
        <v>726.69771335095948</v>
      </c>
      <c r="V194" s="1">
        <f t="shared" si="21"/>
        <v>37.717606599446796</v>
      </c>
      <c r="W194" s="1">
        <f t="shared" si="21"/>
        <v>110.9162647661596</v>
      </c>
      <c r="X194" s="1">
        <f t="shared" si="21"/>
        <v>416.9380434712856</v>
      </c>
      <c r="Y194" s="1">
        <f t="shared" si="21"/>
        <v>463.39474499202589</v>
      </c>
      <c r="Z194" s="1">
        <f t="shared" si="21"/>
        <v>445.64779833094963</v>
      </c>
      <c r="AA194" s="1">
        <f t="shared" si="21"/>
        <v>90.023263673380285</v>
      </c>
      <c r="AB194" s="1">
        <f t="shared" si="21"/>
        <v>111.84495600627909</v>
      </c>
      <c r="AC194" s="1">
        <f t="shared" si="21"/>
        <v>162.30978025416906</v>
      </c>
      <c r="AD194" s="1">
        <f t="shared" si="21"/>
        <v>234.84640082560213</v>
      </c>
      <c r="AE194" s="1">
        <f t="shared" si="21"/>
        <v>66.950234133569865</v>
      </c>
      <c r="AF194" s="1">
        <f t="shared" si="21"/>
        <v>177.5374219583199</v>
      </c>
      <c r="AG194" s="1">
        <f t="shared" si="21"/>
        <v>239.54245962962358</v>
      </c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 x14ac:dyDescent="0.45">
      <c r="A195" s="8">
        <v>177.72815000706601</v>
      </c>
      <c r="Q195" s="9">
        <v>177.72815000706601</v>
      </c>
      <c r="R195" s="1">
        <f t="shared" si="16"/>
        <v>-98.750052349897658</v>
      </c>
      <c r="S195" s="1">
        <f t="shared" si="18"/>
        <v>134.98922638929375</v>
      </c>
      <c r="T195" s="1">
        <f t="shared" si="17"/>
        <v>726.69771335095948</v>
      </c>
      <c r="U195" s="1">
        <f t="shared" ref="U195:AG196" si="22">T196</f>
        <v>37.717606599446796</v>
      </c>
      <c r="V195" s="1">
        <f t="shared" si="22"/>
        <v>110.9162647661596</v>
      </c>
      <c r="W195" s="1">
        <f t="shared" si="22"/>
        <v>416.9380434712856</v>
      </c>
      <c r="X195" s="1">
        <f t="shared" si="22"/>
        <v>463.39474499202589</v>
      </c>
      <c r="Y195" s="1">
        <f t="shared" si="22"/>
        <v>445.64779833094963</v>
      </c>
      <c r="Z195" s="1">
        <f t="shared" si="22"/>
        <v>90.023263673380285</v>
      </c>
      <c r="AA195" s="1">
        <f t="shared" si="22"/>
        <v>111.84495600627909</v>
      </c>
      <c r="AB195" s="1">
        <f t="shared" si="22"/>
        <v>162.30978025416906</v>
      </c>
      <c r="AC195" s="1">
        <f t="shared" si="22"/>
        <v>234.84640082560213</v>
      </c>
      <c r="AD195" s="1">
        <f t="shared" si="22"/>
        <v>66.950234133569865</v>
      </c>
      <c r="AE195" s="1">
        <f t="shared" si="22"/>
        <v>177.5374219583199</v>
      </c>
      <c r="AF195" s="1">
        <f t="shared" si="22"/>
        <v>239.54245962962358</v>
      </c>
      <c r="AG195" s="1">
        <f t="shared" si="22"/>
        <v>291.72591184571502</v>
      </c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 x14ac:dyDescent="0.45">
      <c r="A196" s="8">
        <v>134.98922638929375</v>
      </c>
      <c r="Q196" s="9">
        <v>134.98922638929375</v>
      </c>
      <c r="R196" s="1">
        <f t="shared" si="16"/>
        <v>-141.48897596766992</v>
      </c>
      <c r="S196" s="1">
        <f t="shared" si="18"/>
        <v>726.69771335095948</v>
      </c>
      <c r="T196" s="1">
        <f t="shared" si="17"/>
        <v>37.717606599446796</v>
      </c>
      <c r="U196" s="1">
        <f t="shared" si="22"/>
        <v>110.9162647661596</v>
      </c>
      <c r="V196" s="1">
        <f t="shared" si="22"/>
        <v>416.9380434712856</v>
      </c>
      <c r="W196" s="1">
        <f t="shared" si="22"/>
        <v>463.39474499202589</v>
      </c>
      <c r="X196" s="1">
        <f t="shared" si="22"/>
        <v>445.64779833094963</v>
      </c>
      <c r="Y196" s="1">
        <f t="shared" si="22"/>
        <v>90.023263673380285</v>
      </c>
      <c r="Z196" s="1">
        <f t="shared" si="22"/>
        <v>111.84495600627909</v>
      </c>
      <c r="AA196" s="1">
        <f t="shared" si="22"/>
        <v>162.30978025416906</v>
      </c>
      <c r="AB196" s="1">
        <f t="shared" si="22"/>
        <v>234.84640082560213</v>
      </c>
      <c r="AC196" s="1">
        <f t="shared" si="22"/>
        <v>66.950234133569865</v>
      </c>
      <c r="AD196" s="1">
        <f t="shared" si="22"/>
        <v>177.5374219583199</v>
      </c>
      <c r="AE196" s="1">
        <f t="shared" si="22"/>
        <v>239.54245962962358</v>
      </c>
      <c r="AF196" s="1">
        <f t="shared" si="22"/>
        <v>291.72591184571502</v>
      </c>
      <c r="AG196" s="1">
        <f t="shared" si="22"/>
        <v>186.39378572164745</v>
      </c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 x14ac:dyDescent="0.45">
      <c r="A197" s="8">
        <v>726.69771335095948</v>
      </c>
      <c r="Q197" s="9">
        <v>726.69771335095948</v>
      </c>
      <c r="R197" s="1">
        <f t="shared" ref="R197:R260" si="23">Q197-$F$30</f>
        <v>450.21951099399581</v>
      </c>
      <c r="S197" s="1">
        <f t="shared" si="18"/>
        <v>37.717606599446796</v>
      </c>
      <c r="T197" s="1">
        <f t="shared" ref="T197:AG260" si="24">S198</f>
        <v>110.9162647661596</v>
      </c>
      <c r="U197" s="1">
        <f t="shared" si="24"/>
        <v>416.9380434712856</v>
      </c>
      <c r="V197" s="1">
        <f t="shared" si="24"/>
        <v>463.39474499202589</v>
      </c>
      <c r="W197" s="1">
        <f t="shared" si="24"/>
        <v>445.64779833094963</v>
      </c>
      <c r="X197" s="1">
        <f t="shared" si="24"/>
        <v>90.023263673380285</v>
      </c>
      <c r="Y197" s="1">
        <f t="shared" si="24"/>
        <v>111.84495600627909</v>
      </c>
      <c r="Z197" s="1">
        <f t="shared" si="24"/>
        <v>162.30978025416906</v>
      </c>
      <c r="AA197" s="1">
        <f t="shared" si="24"/>
        <v>234.84640082560213</v>
      </c>
      <c r="AB197" s="1">
        <f t="shared" si="24"/>
        <v>66.950234133569865</v>
      </c>
      <c r="AC197" s="1">
        <f t="shared" si="24"/>
        <v>177.5374219583199</v>
      </c>
      <c r="AD197" s="1">
        <f t="shared" si="24"/>
        <v>239.54245962962358</v>
      </c>
      <c r="AE197" s="1">
        <f t="shared" si="24"/>
        <v>291.72591184571502</v>
      </c>
      <c r="AF197" s="1">
        <f t="shared" si="24"/>
        <v>186.39378572164745</v>
      </c>
      <c r="AG197" s="1">
        <f t="shared" si="24"/>
        <v>392.71613683829855</v>
      </c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 x14ac:dyDescent="0.45">
      <c r="A198" s="8">
        <v>37.717606599446796</v>
      </c>
      <c r="Q198" s="9">
        <v>37.717606599446796</v>
      </c>
      <c r="R198" s="1">
        <f t="shared" si="23"/>
        <v>-238.76059575751685</v>
      </c>
      <c r="S198" s="1">
        <f t="shared" ref="S198:S261" si="25">Q199</f>
        <v>110.9162647661596</v>
      </c>
      <c r="T198" s="1">
        <f t="shared" si="24"/>
        <v>416.9380434712856</v>
      </c>
      <c r="U198" s="1">
        <f t="shared" si="24"/>
        <v>463.39474499202589</v>
      </c>
      <c r="V198" s="1">
        <f t="shared" si="24"/>
        <v>445.64779833094963</v>
      </c>
      <c r="W198" s="1">
        <f t="shared" si="24"/>
        <v>90.023263673380285</v>
      </c>
      <c r="X198" s="1">
        <f t="shared" si="24"/>
        <v>111.84495600627909</v>
      </c>
      <c r="Y198" s="1">
        <f t="shared" si="24"/>
        <v>162.30978025416906</v>
      </c>
      <c r="Z198" s="1">
        <f t="shared" si="24"/>
        <v>234.84640082560213</v>
      </c>
      <c r="AA198" s="1">
        <f t="shared" si="24"/>
        <v>66.950234133569865</v>
      </c>
      <c r="AB198" s="1">
        <f t="shared" si="24"/>
        <v>177.5374219583199</v>
      </c>
      <c r="AC198" s="1">
        <f t="shared" si="24"/>
        <v>239.54245962962358</v>
      </c>
      <c r="AD198" s="1">
        <f t="shared" si="24"/>
        <v>291.72591184571502</v>
      </c>
      <c r="AE198" s="1">
        <f t="shared" si="24"/>
        <v>186.39378572164745</v>
      </c>
      <c r="AF198" s="1">
        <f t="shared" si="24"/>
        <v>392.71613683829855</v>
      </c>
      <c r="AG198" s="1">
        <f t="shared" si="24"/>
        <v>310.43986982567407</v>
      </c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 x14ac:dyDescent="0.45">
      <c r="A199" s="8">
        <v>110.9162647661596</v>
      </c>
      <c r="Q199" s="9">
        <v>110.9162647661596</v>
      </c>
      <c r="R199" s="1">
        <f t="shared" si="23"/>
        <v>-165.56193759080406</v>
      </c>
      <c r="S199" s="1">
        <f t="shared" si="25"/>
        <v>416.9380434712856</v>
      </c>
      <c r="T199" s="1">
        <f t="shared" si="24"/>
        <v>463.39474499202589</v>
      </c>
      <c r="U199" s="1">
        <f t="shared" si="24"/>
        <v>445.64779833094963</v>
      </c>
      <c r="V199" s="1">
        <f t="shared" si="24"/>
        <v>90.023263673380285</v>
      </c>
      <c r="W199" s="1">
        <f t="shared" si="24"/>
        <v>111.84495600627909</v>
      </c>
      <c r="X199" s="1">
        <f t="shared" si="24"/>
        <v>162.30978025416906</v>
      </c>
      <c r="Y199" s="1">
        <f t="shared" si="24"/>
        <v>234.84640082560213</v>
      </c>
      <c r="Z199" s="1">
        <f t="shared" si="24"/>
        <v>66.950234133569865</v>
      </c>
      <c r="AA199" s="1">
        <f t="shared" si="24"/>
        <v>177.5374219583199</v>
      </c>
      <c r="AB199" s="1">
        <f t="shared" si="24"/>
        <v>239.54245962962358</v>
      </c>
      <c r="AC199" s="1">
        <f t="shared" si="24"/>
        <v>291.72591184571502</v>
      </c>
      <c r="AD199" s="1">
        <f t="shared" si="24"/>
        <v>186.39378572164745</v>
      </c>
      <c r="AE199" s="1">
        <f t="shared" si="24"/>
        <v>392.71613683829855</v>
      </c>
      <c r="AF199" s="1">
        <f t="shared" si="24"/>
        <v>310.43986982567407</v>
      </c>
      <c r="AG199" s="1">
        <f t="shared" si="24"/>
        <v>79.840544827341972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 x14ac:dyDescent="0.45">
      <c r="A200" s="8">
        <v>416.9380434712856</v>
      </c>
      <c r="Q200" s="9">
        <v>416.9380434712856</v>
      </c>
      <c r="R200" s="1">
        <f t="shared" si="23"/>
        <v>140.45984111432193</v>
      </c>
      <c r="S200" s="1">
        <f t="shared" si="25"/>
        <v>463.39474499202589</v>
      </c>
      <c r="T200" s="1">
        <f t="shared" si="24"/>
        <v>445.64779833094963</v>
      </c>
      <c r="U200" s="1">
        <f t="shared" si="24"/>
        <v>90.023263673380285</v>
      </c>
      <c r="V200" s="1">
        <f t="shared" si="24"/>
        <v>111.84495600627909</v>
      </c>
      <c r="W200" s="1">
        <f t="shared" si="24"/>
        <v>162.30978025416906</v>
      </c>
      <c r="X200" s="1">
        <f t="shared" si="24"/>
        <v>234.84640082560213</v>
      </c>
      <c r="Y200" s="1">
        <f t="shared" si="24"/>
        <v>66.950234133569865</v>
      </c>
      <c r="Z200" s="1">
        <f t="shared" si="24"/>
        <v>177.5374219583199</v>
      </c>
      <c r="AA200" s="1">
        <f t="shared" si="24"/>
        <v>239.54245962962358</v>
      </c>
      <c r="AB200" s="1">
        <f t="shared" si="24"/>
        <v>291.72591184571502</v>
      </c>
      <c r="AC200" s="1">
        <f t="shared" si="24"/>
        <v>186.39378572164745</v>
      </c>
      <c r="AD200" s="1">
        <f t="shared" si="24"/>
        <v>392.71613683829855</v>
      </c>
      <c r="AE200" s="1">
        <f t="shared" si="24"/>
        <v>310.43986982567407</v>
      </c>
      <c r="AF200" s="1">
        <f t="shared" si="24"/>
        <v>79.840544827341972</v>
      </c>
      <c r="AG200" s="1">
        <f t="shared" si="24"/>
        <v>119.33915218619305</v>
      </c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 x14ac:dyDescent="0.45">
      <c r="A201" s="8">
        <v>463.39474499202589</v>
      </c>
      <c r="Q201" s="9">
        <v>463.39474499202589</v>
      </c>
      <c r="R201" s="1">
        <f t="shared" si="23"/>
        <v>186.91654263506223</v>
      </c>
      <c r="S201" s="1">
        <f t="shared" si="25"/>
        <v>445.64779833094963</v>
      </c>
      <c r="T201" s="1">
        <f t="shared" si="24"/>
        <v>90.023263673380285</v>
      </c>
      <c r="U201" s="1">
        <f t="shared" si="24"/>
        <v>111.84495600627909</v>
      </c>
      <c r="V201" s="1">
        <f t="shared" si="24"/>
        <v>162.30978025416906</v>
      </c>
      <c r="W201" s="1">
        <f t="shared" si="24"/>
        <v>234.84640082560213</v>
      </c>
      <c r="X201" s="1">
        <f t="shared" si="24"/>
        <v>66.950234133569865</v>
      </c>
      <c r="Y201" s="1">
        <f t="shared" si="24"/>
        <v>177.5374219583199</v>
      </c>
      <c r="Z201" s="1">
        <f t="shared" si="24"/>
        <v>239.54245962962358</v>
      </c>
      <c r="AA201" s="1">
        <f t="shared" si="24"/>
        <v>291.72591184571502</v>
      </c>
      <c r="AB201" s="1">
        <f t="shared" si="24"/>
        <v>186.39378572164745</v>
      </c>
      <c r="AC201" s="1">
        <f t="shared" si="24"/>
        <v>392.71613683829855</v>
      </c>
      <c r="AD201" s="1">
        <f t="shared" si="24"/>
        <v>310.43986982567407</v>
      </c>
      <c r="AE201" s="1">
        <f t="shared" si="24"/>
        <v>79.840544827341972</v>
      </c>
      <c r="AF201" s="1">
        <f t="shared" si="24"/>
        <v>119.33915218619305</v>
      </c>
      <c r="AG201" s="1">
        <f t="shared" si="24"/>
        <v>367.23302635699696</v>
      </c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 x14ac:dyDescent="0.45">
      <c r="A202" s="8">
        <v>445.64779833094963</v>
      </c>
      <c r="Q202" s="9">
        <v>445.64779833094963</v>
      </c>
      <c r="R202" s="1">
        <f t="shared" si="23"/>
        <v>169.16959597398596</v>
      </c>
      <c r="S202" s="1">
        <f t="shared" si="25"/>
        <v>90.023263673380285</v>
      </c>
      <c r="T202" s="1">
        <f t="shared" si="24"/>
        <v>111.84495600627909</v>
      </c>
      <c r="U202" s="1">
        <f t="shared" si="24"/>
        <v>162.30978025416906</v>
      </c>
      <c r="V202" s="1">
        <f t="shared" si="24"/>
        <v>234.84640082560213</v>
      </c>
      <c r="W202" s="1">
        <f t="shared" si="24"/>
        <v>66.950234133569865</v>
      </c>
      <c r="X202" s="1">
        <f t="shared" si="24"/>
        <v>177.5374219583199</v>
      </c>
      <c r="Y202" s="1">
        <f t="shared" si="24"/>
        <v>239.54245962962358</v>
      </c>
      <c r="Z202" s="1">
        <f t="shared" si="24"/>
        <v>291.72591184571502</v>
      </c>
      <c r="AA202" s="1">
        <f t="shared" si="24"/>
        <v>186.39378572164745</v>
      </c>
      <c r="AB202" s="1">
        <f t="shared" si="24"/>
        <v>392.71613683829855</v>
      </c>
      <c r="AC202" s="1">
        <f t="shared" si="24"/>
        <v>310.43986982567407</v>
      </c>
      <c r="AD202" s="1">
        <f t="shared" si="24"/>
        <v>79.840544827341972</v>
      </c>
      <c r="AE202" s="1">
        <f t="shared" si="24"/>
        <v>119.33915218619305</v>
      </c>
      <c r="AF202" s="1">
        <f t="shared" si="24"/>
        <v>367.23302635699696</v>
      </c>
      <c r="AG202" s="1">
        <f t="shared" si="24"/>
        <v>486.35828173205414</v>
      </c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 x14ac:dyDescent="0.45">
      <c r="A203" s="8">
        <v>90.023263673380285</v>
      </c>
      <c r="Q203" s="9">
        <v>90.023263673380285</v>
      </c>
      <c r="R203" s="1">
        <f t="shared" si="23"/>
        <v>-186.45493868358338</v>
      </c>
      <c r="S203" s="1">
        <f t="shared" si="25"/>
        <v>111.84495600627909</v>
      </c>
      <c r="T203" s="1">
        <f t="shared" si="24"/>
        <v>162.30978025416906</v>
      </c>
      <c r="U203" s="1">
        <f t="shared" si="24"/>
        <v>234.84640082560213</v>
      </c>
      <c r="V203" s="1">
        <f t="shared" si="24"/>
        <v>66.950234133569865</v>
      </c>
      <c r="W203" s="1">
        <f t="shared" si="24"/>
        <v>177.5374219583199</v>
      </c>
      <c r="X203" s="1">
        <f t="shared" si="24"/>
        <v>239.54245962962358</v>
      </c>
      <c r="Y203" s="1">
        <f t="shared" si="24"/>
        <v>291.72591184571502</v>
      </c>
      <c r="Z203" s="1">
        <f t="shared" si="24"/>
        <v>186.39378572164745</v>
      </c>
      <c r="AA203" s="1">
        <f t="shared" si="24"/>
        <v>392.71613683829855</v>
      </c>
      <c r="AB203" s="1">
        <f t="shared" si="24"/>
        <v>310.43986982567407</v>
      </c>
      <c r="AC203" s="1">
        <f t="shared" si="24"/>
        <v>79.840544827341972</v>
      </c>
      <c r="AD203" s="1">
        <f t="shared" si="24"/>
        <v>119.33915218619305</v>
      </c>
      <c r="AE203" s="1">
        <f t="shared" si="24"/>
        <v>367.23302635699696</v>
      </c>
      <c r="AF203" s="1">
        <f t="shared" si="24"/>
        <v>486.35828173205414</v>
      </c>
      <c r="AG203" s="1">
        <f t="shared" si="24"/>
        <v>256.05518500026949</v>
      </c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 x14ac:dyDescent="0.45">
      <c r="A204" s="8">
        <v>111.84495600627909</v>
      </c>
      <c r="Q204" s="9">
        <v>111.84495600627909</v>
      </c>
      <c r="R204" s="1">
        <f t="shared" si="23"/>
        <v>-164.63324635068457</v>
      </c>
      <c r="S204" s="1">
        <f t="shared" si="25"/>
        <v>162.30978025416906</v>
      </c>
      <c r="T204" s="1">
        <f t="shared" si="24"/>
        <v>234.84640082560213</v>
      </c>
      <c r="U204" s="1">
        <f t="shared" si="24"/>
        <v>66.950234133569865</v>
      </c>
      <c r="V204" s="1">
        <f t="shared" si="24"/>
        <v>177.5374219583199</v>
      </c>
      <c r="W204" s="1">
        <f t="shared" si="24"/>
        <v>239.54245962962358</v>
      </c>
      <c r="X204" s="1">
        <f t="shared" si="24"/>
        <v>291.72591184571502</v>
      </c>
      <c r="Y204" s="1">
        <f t="shared" si="24"/>
        <v>186.39378572164745</v>
      </c>
      <c r="Z204" s="1">
        <f t="shared" si="24"/>
        <v>392.71613683829855</v>
      </c>
      <c r="AA204" s="1">
        <f t="shared" si="24"/>
        <v>310.43986982567407</v>
      </c>
      <c r="AB204" s="1">
        <f t="shared" si="24"/>
        <v>79.840544827341972</v>
      </c>
      <c r="AC204" s="1">
        <f t="shared" si="24"/>
        <v>119.33915218619305</v>
      </c>
      <c r="AD204" s="1">
        <f t="shared" si="24"/>
        <v>367.23302635699696</v>
      </c>
      <c r="AE204" s="1">
        <f t="shared" si="24"/>
        <v>486.35828173205414</v>
      </c>
      <c r="AF204" s="1">
        <f t="shared" si="24"/>
        <v>256.05518500026949</v>
      </c>
      <c r="AG204" s="1">
        <f t="shared" si="24"/>
        <v>285.08298599277799</v>
      </c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 x14ac:dyDescent="0.45">
      <c r="A205" s="8">
        <v>162.30978025416906</v>
      </c>
      <c r="Q205" s="9">
        <v>162.30978025416906</v>
      </c>
      <c r="R205" s="1">
        <f t="shared" si="23"/>
        <v>-114.16842210279461</v>
      </c>
      <c r="S205" s="1">
        <f t="shared" si="25"/>
        <v>234.84640082560213</v>
      </c>
      <c r="T205" s="1">
        <f t="shared" si="24"/>
        <v>66.950234133569865</v>
      </c>
      <c r="U205" s="1">
        <f t="shared" si="24"/>
        <v>177.5374219583199</v>
      </c>
      <c r="V205" s="1">
        <f t="shared" si="24"/>
        <v>239.54245962962358</v>
      </c>
      <c r="W205" s="1">
        <f t="shared" si="24"/>
        <v>291.72591184571502</v>
      </c>
      <c r="X205" s="1">
        <f t="shared" si="24"/>
        <v>186.39378572164745</v>
      </c>
      <c r="Y205" s="1">
        <f t="shared" si="24"/>
        <v>392.71613683829855</v>
      </c>
      <c r="Z205" s="1">
        <f t="shared" si="24"/>
        <v>310.43986982567407</v>
      </c>
      <c r="AA205" s="1">
        <f t="shared" si="24"/>
        <v>79.840544827341972</v>
      </c>
      <c r="AB205" s="1">
        <f t="shared" si="24"/>
        <v>119.33915218619305</v>
      </c>
      <c r="AC205" s="1">
        <f t="shared" si="24"/>
        <v>367.23302635699696</v>
      </c>
      <c r="AD205" s="1">
        <f t="shared" si="24"/>
        <v>486.35828173205414</v>
      </c>
      <c r="AE205" s="1">
        <f t="shared" si="24"/>
        <v>256.05518500026949</v>
      </c>
      <c r="AF205" s="1">
        <f t="shared" si="24"/>
        <v>285.08298599277799</v>
      </c>
      <c r="AG205" s="1">
        <f t="shared" si="24"/>
        <v>241.71401619990274</v>
      </c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 x14ac:dyDescent="0.45">
      <c r="A206" s="8">
        <v>234.84640082560213</v>
      </c>
      <c r="Q206" s="9">
        <v>234.84640082560213</v>
      </c>
      <c r="R206" s="1">
        <f t="shared" si="23"/>
        <v>-41.631801531361532</v>
      </c>
      <c r="S206" s="1">
        <f t="shared" si="25"/>
        <v>66.950234133569865</v>
      </c>
      <c r="T206" s="1">
        <f t="shared" si="24"/>
        <v>177.5374219583199</v>
      </c>
      <c r="U206" s="1">
        <f t="shared" si="24"/>
        <v>239.54245962962358</v>
      </c>
      <c r="V206" s="1">
        <f t="shared" si="24"/>
        <v>291.72591184571502</v>
      </c>
      <c r="W206" s="1">
        <f t="shared" si="24"/>
        <v>186.39378572164745</v>
      </c>
      <c r="X206" s="1">
        <f t="shared" si="24"/>
        <v>392.71613683829855</v>
      </c>
      <c r="Y206" s="1">
        <f t="shared" si="24"/>
        <v>310.43986982567407</v>
      </c>
      <c r="Z206" s="1">
        <f t="shared" si="24"/>
        <v>79.840544827341972</v>
      </c>
      <c r="AA206" s="1">
        <f t="shared" si="24"/>
        <v>119.33915218619305</v>
      </c>
      <c r="AB206" s="1">
        <f t="shared" si="24"/>
        <v>367.23302635699696</v>
      </c>
      <c r="AC206" s="1">
        <f t="shared" si="24"/>
        <v>486.35828173205414</v>
      </c>
      <c r="AD206" s="1">
        <f t="shared" si="24"/>
        <v>256.05518500026949</v>
      </c>
      <c r="AE206" s="1">
        <f t="shared" si="24"/>
        <v>285.08298599277799</v>
      </c>
      <c r="AF206" s="1">
        <f t="shared" si="24"/>
        <v>241.71401619990274</v>
      </c>
      <c r="AG206" s="1">
        <f t="shared" si="24"/>
        <v>193.87040170218972</v>
      </c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 x14ac:dyDescent="0.45">
      <c r="A207" s="8">
        <v>66.950234133569865</v>
      </c>
      <c r="Q207" s="9">
        <v>66.950234133569865</v>
      </c>
      <c r="R207" s="1">
        <f t="shared" si="23"/>
        <v>-209.5279682233938</v>
      </c>
      <c r="S207" s="1">
        <f t="shared" si="25"/>
        <v>177.5374219583199</v>
      </c>
      <c r="T207" s="1">
        <f t="shared" si="24"/>
        <v>239.54245962962358</v>
      </c>
      <c r="U207" s="1">
        <f t="shared" si="24"/>
        <v>291.72591184571502</v>
      </c>
      <c r="V207" s="1">
        <f t="shared" si="24"/>
        <v>186.39378572164745</v>
      </c>
      <c r="W207" s="1">
        <f t="shared" si="24"/>
        <v>392.71613683829855</v>
      </c>
      <c r="X207" s="1">
        <f t="shared" si="24"/>
        <v>310.43986982567407</v>
      </c>
      <c r="Y207" s="1">
        <f t="shared" si="24"/>
        <v>79.840544827341972</v>
      </c>
      <c r="Z207" s="1">
        <f t="shared" si="24"/>
        <v>119.33915218619305</v>
      </c>
      <c r="AA207" s="1">
        <f t="shared" si="24"/>
        <v>367.23302635699696</v>
      </c>
      <c r="AB207" s="1">
        <f t="shared" si="24"/>
        <v>486.35828173205414</v>
      </c>
      <c r="AC207" s="1">
        <f t="shared" si="24"/>
        <v>256.05518500026949</v>
      </c>
      <c r="AD207" s="1">
        <f t="shared" si="24"/>
        <v>285.08298599277799</v>
      </c>
      <c r="AE207" s="1">
        <f t="shared" si="24"/>
        <v>241.71401619990274</v>
      </c>
      <c r="AF207" s="1">
        <f t="shared" si="24"/>
        <v>193.87040170218972</v>
      </c>
      <c r="AG207" s="1">
        <f t="shared" si="24"/>
        <v>523.79082837137696</v>
      </c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 x14ac:dyDescent="0.45">
      <c r="A208" s="8">
        <v>177.5374219583199</v>
      </c>
      <c r="Q208" s="9">
        <v>177.5374219583199</v>
      </c>
      <c r="R208" s="1">
        <f t="shared" si="23"/>
        <v>-98.940780398643767</v>
      </c>
      <c r="S208" s="1">
        <f t="shared" si="25"/>
        <v>239.54245962962358</v>
      </c>
      <c r="T208" s="1">
        <f t="shared" si="24"/>
        <v>291.72591184571502</v>
      </c>
      <c r="U208" s="1">
        <f t="shared" si="24"/>
        <v>186.39378572164745</v>
      </c>
      <c r="V208" s="1">
        <f t="shared" si="24"/>
        <v>392.71613683829855</v>
      </c>
      <c r="W208" s="1">
        <f t="shared" si="24"/>
        <v>310.43986982567407</v>
      </c>
      <c r="X208" s="1">
        <f t="shared" si="24"/>
        <v>79.840544827341972</v>
      </c>
      <c r="Y208" s="1">
        <f t="shared" si="24"/>
        <v>119.33915218619305</v>
      </c>
      <c r="Z208" s="1">
        <f t="shared" si="24"/>
        <v>367.23302635699696</v>
      </c>
      <c r="AA208" s="1">
        <f t="shared" si="24"/>
        <v>486.35828173205414</v>
      </c>
      <c r="AB208" s="1">
        <f t="shared" si="24"/>
        <v>256.05518500026949</v>
      </c>
      <c r="AC208" s="1">
        <f t="shared" si="24"/>
        <v>285.08298599277799</v>
      </c>
      <c r="AD208" s="1">
        <f t="shared" si="24"/>
        <v>241.71401619990274</v>
      </c>
      <c r="AE208" s="1">
        <f t="shared" si="24"/>
        <v>193.87040170218972</v>
      </c>
      <c r="AF208" s="1">
        <f t="shared" si="24"/>
        <v>523.79082837137696</v>
      </c>
      <c r="AG208" s="1">
        <f t="shared" si="24"/>
        <v>315.01964194717908</v>
      </c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1:48" x14ac:dyDescent="0.45">
      <c r="A209" s="8">
        <v>239.54245962962358</v>
      </c>
      <c r="Q209" s="9">
        <v>239.54245962962358</v>
      </c>
      <c r="R209" s="1">
        <f t="shared" si="23"/>
        <v>-36.935742727340084</v>
      </c>
      <c r="S209" s="1">
        <f t="shared" si="25"/>
        <v>291.72591184571502</v>
      </c>
      <c r="T209" s="1">
        <f t="shared" si="24"/>
        <v>186.39378572164745</v>
      </c>
      <c r="U209" s="1">
        <f t="shared" si="24"/>
        <v>392.71613683829855</v>
      </c>
      <c r="V209" s="1">
        <f t="shared" si="24"/>
        <v>310.43986982567407</v>
      </c>
      <c r="W209" s="1">
        <f t="shared" si="24"/>
        <v>79.840544827341972</v>
      </c>
      <c r="X209" s="1">
        <f t="shared" si="24"/>
        <v>119.33915218619305</v>
      </c>
      <c r="Y209" s="1">
        <f t="shared" si="24"/>
        <v>367.23302635699696</v>
      </c>
      <c r="Z209" s="1">
        <f t="shared" si="24"/>
        <v>486.35828173205414</v>
      </c>
      <c r="AA209" s="1">
        <f t="shared" si="24"/>
        <v>256.05518500026949</v>
      </c>
      <c r="AB209" s="1">
        <f t="shared" si="24"/>
        <v>285.08298599277799</v>
      </c>
      <c r="AC209" s="1">
        <f t="shared" si="24"/>
        <v>241.71401619990274</v>
      </c>
      <c r="AD209" s="1">
        <f t="shared" si="24"/>
        <v>193.87040170218972</v>
      </c>
      <c r="AE209" s="1">
        <f t="shared" si="24"/>
        <v>523.79082837137696</v>
      </c>
      <c r="AF209" s="1">
        <f t="shared" si="24"/>
        <v>315.01964194717908</v>
      </c>
      <c r="AG209" s="1">
        <f t="shared" si="24"/>
        <v>865.33275330337858</v>
      </c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1:48" x14ac:dyDescent="0.45">
      <c r="A210" s="8">
        <v>291.72591184571502</v>
      </c>
      <c r="Q210" s="9">
        <v>291.72591184571502</v>
      </c>
      <c r="R210" s="1">
        <f t="shared" si="23"/>
        <v>15.247709488751354</v>
      </c>
      <c r="S210" s="1">
        <f t="shared" si="25"/>
        <v>186.39378572164745</v>
      </c>
      <c r="T210" s="1">
        <f t="shared" si="24"/>
        <v>392.71613683829855</v>
      </c>
      <c r="U210" s="1">
        <f t="shared" si="24"/>
        <v>310.43986982567407</v>
      </c>
      <c r="V210" s="1">
        <f t="shared" si="24"/>
        <v>79.840544827341972</v>
      </c>
      <c r="W210" s="1">
        <f t="shared" si="24"/>
        <v>119.33915218619305</v>
      </c>
      <c r="X210" s="1">
        <f t="shared" si="24"/>
        <v>367.23302635699696</v>
      </c>
      <c r="Y210" s="1">
        <f t="shared" si="24"/>
        <v>486.35828173205414</v>
      </c>
      <c r="Z210" s="1">
        <f t="shared" si="24"/>
        <v>256.05518500026949</v>
      </c>
      <c r="AA210" s="1">
        <f t="shared" si="24"/>
        <v>285.08298599277799</v>
      </c>
      <c r="AB210" s="1">
        <f t="shared" si="24"/>
        <v>241.71401619990274</v>
      </c>
      <c r="AC210" s="1">
        <f t="shared" si="24"/>
        <v>193.87040170218972</v>
      </c>
      <c r="AD210" s="1">
        <f t="shared" si="24"/>
        <v>523.79082837137696</v>
      </c>
      <c r="AE210" s="1">
        <f t="shared" si="24"/>
        <v>315.01964194717908</v>
      </c>
      <c r="AF210" s="1">
        <f t="shared" si="24"/>
        <v>865.33275330337858</v>
      </c>
      <c r="AG210" s="1">
        <f t="shared" si="24"/>
        <v>194.59370822675589</v>
      </c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 x14ac:dyDescent="0.45">
      <c r="A211" s="8">
        <v>186.39378572164745</v>
      </c>
      <c r="Q211" s="9">
        <v>186.39378572164745</v>
      </c>
      <c r="R211" s="1">
        <f t="shared" si="23"/>
        <v>-90.084416635316217</v>
      </c>
      <c r="S211" s="1">
        <f t="shared" si="25"/>
        <v>392.71613683829855</v>
      </c>
      <c r="T211" s="1">
        <f t="shared" si="24"/>
        <v>310.43986982567407</v>
      </c>
      <c r="U211" s="1">
        <f t="shared" si="24"/>
        <v>79.840544827341972</v>
      </c>
      <c r="V211" s="1">
        <f t="shared" si="24"/>
        <v>119.33915218619305</v>
      </c>
      <c r="W211" s="1">
        <f t="shared" si="24"/>
        <v>367.23302635699696</v>
      </c>
      <c r="X211" s="1">
        <f t="shared" si="24"/>
        <v>486.35828173205414</v>
      </c>
      <c r="Y211" s="1">
        <f t="shared" si="24"/>
        <v>256.05518500026949</v>
      </c>
      <c r="Z211" s="1">
        <f t="shared" si="24"/>
        <v>285.08298599277799</v>
      </c>
      <c r="AA211" s="1">
        <f t="shared" si="24"/>
        <v>241.71401619990274</v>
      </c>
      <c r="AB211" s="1">
        <f t="shared" si="24"/>
        <v>193.87040170218972</v>
      </c>
      <c r="AC211" s="1">
        <f t="shared" si="24"/>
        <v>523.79082837137696</v>
      </c>
      <c r="AD211" s="1">
        <f t="shared" ref="U211:AG226" si="26">AC212</f>
        <v>315.01964194717908</v>
      </c>
      <c r="AE211" s="1">
        <f t="shared" si="26"/>
        <v>865.33275330337858</v>
      </c>
      <c r="AF211" s="1">
        <f t="shared" si="26"/>
        <v>194.59370822675589</v>
      </c>
      <c r="AG211" s="1">
        <f t="shared" si="26"/>
        <v>387.39636318795874</v>
      </c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 x14ac:dyDescent="0.45">
      <c r="A212" s="8">
        <v>392.71613683829855</v>
      </c>
      <c r="Q212" s="9">
        <v>392.71613683829855</v>
      </c>
      <c r="R212" s="1">
        <f t="shared" si="23"/>
        <v>116.23793448133489</v>
      </c>
      <c r="S212" s="1">
        <f t="shared" si="25"/>
        <v>310.43986982567407</v>
      </c>
      <c r="T212" s="1">
        <f t="shared" si="24"/>
        <v>79.840544827341972</v>
      </c>
      <c r="U212" s="1">
        <f t="shared" si="26"/>
        <v>119.33915218619305</v>
      </c>
      <c r="V212" s="1">
        <f t="shared" si="26"/>
        <v>367.23302635699696</v>
      </c>
      <c r="W212" s="1">
        <f t="shared" si="26"/>
        <v>486.35828173205414</v>
      </c>
      <c r="X212" s="1">
        <f t="shared" si="26"/>
        <v>256.05518500026949</v>
      </c>
      <c r="Y212" s="1">
        <f t="shared" si="26"/>
        <v>285.08298599277799</v>
      </c>
      <c r="Z212" s="1">
        <f t="shared" si="26"/>
        <v>241.71401619990274</v>
      </c>
      <c r="AA212" s="1">
        <f t="shared" si="26"/>
        <v>193.87040170218972</v>
      </c>
      <c r="AB212" s="1">
        <f t="shared" si="26"/>
        <v>523.79082837137696</v>
      </c>
      <c r="AC212" s="1">
        <f t="shared" si="26"/>
        <v>315.01964194717908</v>
      </c>
      <c r="AD212" s="1">
        <f t="shared" si="26"/>
        <v>865.33275330337858</v>
      </c>
      <c r="AE212" s="1">
        <f t="shared" si="26"/>
        <v>194.59370822675589</v>
      </c>
      <c r="AF212" s="1">
        <f t="shared" si="26"/>
        <v>387.39636318795874</v>
      </c>
      <c r="AG212" s="1">
        <f t="shared" si="26"/>
        <v>271.6269917213491</v>
      </c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 x14ac:dyDescent="0.45">
      <c r="A213" s="8">
        <v>310.43986982567407</v>
      </c>
      <c r="Q213" s="9">
        <v>310.43986982567407</v>
      </c>
      <c r="R213" s="1">
        <f t="shared" si="23"/>
        <v>33.961667468710402</v>
      </c>
      <c r="S213" s="1">
        <f t="shared" si="25"/>
        <v>79.840544827341972</v>
      </c>
      <c r="T213" s="1">
        <f t="shared" si="24"/>
        <v>119.33915218619305</v>
      </c>
      <c r="U213" s="1">
        <f t="shared" si="26"/>
        <v>367.23302635699696</v>
      </c>
      <c r="V213" s="1">
        <f t="shared" si="26"/>
        <v>486.35828173205414</v>
      </c>
      <c r="W213" s="1">
        <f t="shared" si="26"/>
        <v>256.05518500026949</v>
      </c>
      <c r="X213" s="1">
        <f t="shared" si="26"/>
        <v>285.08298599277799</v>
      </c>
      <c r="Y213" s="1">
        <f t="shared" si="26"/>
        <v>241.71401619990274</v>
      </c>
      <c r="Z213" s="1">
        <f t="shared" si="26"/>
        <v>193.87040170218972</v>
      </c>
      <c r="AA213" s="1">
        <f t="shared" si="26"/>
        <v>523.79082837137696</v>
      </c>
      <c r="AB213" s="1">
        <f t="shared" si="26"/>
        <v>315.01964194717908</v>
      </c>
      <c r="AC213" s="1">
        <f t="shared" si="26"/>
        <v>865.33275330337858</v>
      </c>
      <c r="AD213" s="1">
        <f t="shared" si="26"/>
        <v>194.59370822675589</v>
      </c>
      <c r="AE213" s="1">
        <f t="shared" si="26"/>
        <v>387.39636318795874</v>
      </c>
      <c r="AF213" s="1">
        <f t="shared" si="26"/>
        <v>271.6269917213491</v>
      </c>
      <c r="AG213" s="1">
        <f t="shared" si="26"/>
        <v>480.38449609376869</v>
      </c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1:48" x14ac:dyDescent="0.45">
      <c r="A214" s="8">
        <v>79.840544827341972</v>
      </c>
      <c r="Q214" s="9">
        <v>79.840544827341972</v>
      </c>
      <c r="R214" s="1">
        <f t="shared" si="23"/>
        <v>-196.63765752962169</v>
      </c>
      <c r="S214" s="1">
        <f t="shared" si="25"/>
        <v>119.33915218619305</v>
      </c>
      <c r="T214" s="1">
        <f t="shared" si="24"/>
        <v>367.23302635699696</v>
      </c>
      <c r="U214" s="1">
        <f t="shared" si="26"/>
        <v>486.35828173205414</v>
      </c>
      <c r="V214" s="1">
        <f t="shared" si="26"/>
        <v>256.05518500026949</v>
      </c>
      <c r="W214" s="1">
        <f t="shared" si="26"/>
        <v>285.08298599277799</v>
      </c>
      <c r="X214" s="1">
        <f t="shared" si="26"/>
        <v>241.71401619990274</v>
      </c>
      <c r="Y214" s="1">
        <f t="shared" si="26"/>
        <v>193.87040170218972</v>
      </c>
      <c r="Z214" s="1">
        <f t="shared" si="26"/>
        <v>523.79082837137696</v>
      </c>
      <c r="AA214" s="1">
        <f t="shared" si="26"/>
        <v>315.01964194717908</v>
      </c>
      <c r="AB214" s="1">
        <f t="shared" si="26"/>
        <v>865.33275330337858</v>
      </c>
      <c r="AC214" s="1">
        <f t="shared" si="26"/>
        <v>194.59370822675589</v>
      </c>
      <c r="AD214" s="1">
        <f t="shared" si="26"/>
        <v>387.39636318795874</v>
      </c>
      <c r="AE214" s="1">
        <f t="shared" si="26"/>
        <v>271.6269917213491</v>
      </c>
      <c r="AF214" s="1">
        <f t="shared" si="26"/>
        <v>480.38449609376869</v>
      </c>
      <c r="AG214" s="1">
        <f t="shared" si="26"/>
        <v>451.21034960551799</v>
      </c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1:48" x14ac:dyDescent="0.45">
      <c r="A215" s="8">
        <v>119.33915218619305</v>
      </c>
      <c r="Q215" s="9">
        <v>119.33915218619305</v>
      </c>
      <c r="R215" s="1">
        <f t="shared" si="23"/>
        <v>-157.13905017077062</v>
      </c>
      <c r="S215" s="1">
        <f t="shared" si="25"/>
        <v>367.23302635699696</v>
      </c>
      <c r="T215" s="1">
        <f t="shared" si="24"/>
        <v>486.35828173205414</v>
      </c>
      <c r="U215" s="1">
        <f t="shared" si="26"/>
        <v>256.05518500026949</v>
      </c>
      <c r="V215" s="1">
        <f t="shared" si="26"/>
        <v>285.08298599277799</v>
      </c>
      <c r="W215" s="1">
        <f t="shared" si="26"/>
        <v>241.71401619990274</v>
      </c>
      <c r="X215" s="1">
        <f t="shared" si="26"/>
        <v>193.87040170218972</v>
      </c>
      <c r="Y215" s="1">
        <f t="shared" si="26"/>
        <v>523.79082837137696</v>
      </c>
      <c r="Z215" s="1">
        <f t="shared" si="26"/>
        <v>315.01964194717908</v>
      </c>
      <c r="AA215" s="1">
        <f t="shared" si="26"/>
        <v>865.33275330337858</v>
      </c>
      <c r="AB215" s="1">
        <f t="shared" si="26"/>
        <v>194.59370822675589</v>
      </c>
      <c r="AC215" s="1">
        <f t="shared" si="26"/>
        <v>387.39636318795874</v>
      </c>
      <c r="AD215" s="1">
        <f t="shared" si="26"/>
        <v>271.6269917213491</v>
      </c>
      <c r="AE215" s="1">
        <f t="shared" si="26"/>
        <v>480.38449609376869</v>
      </c>
      <c r="AF215" s="1">
        <f t="shared" si="26"/>
        <v>451.21034960551799</v>
      </c>
      <c r="AG215" s="1">
        <f t="shared" si="26"/>
        <v>332.09111879125544</v>
      </c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 x14ac:dyDescent="0.45">
      <c r="A216" s="8">
        <v>367.23302635699696</v>
      </c>
      <c r="Q216" s="9">
        <v>367.23302635699696</v>
      </c>
      <c r="R216" s="1">
        <f t="shared" si="23"/>
        <v>90.754824000033295</v>
      </c>
      <c r="S216" s="1">
        <f t="shared" si="25"/>
        <v>486.35828173205414</v>
      </c>
      <c r="T216" s="1">
        <f t="shared" si="24"/>
        <v>256.05518500026949</v>
      </c>
      <c r="U216" s="1">
        <f t="shared" si="26"/>
        <v>285.08298599277799</v>
      </c>
      <c r="V216" s="1">
        <f t="shared" si="26"/>
        <v>241.71401619990274</v>
      </c>
      <c r="W216" s="1">
        <f t="shared" si="26"/>
        <v>193.87040170218972</v>
      </c>
      <c r="X216" s="1">
        <f t="shared" si="26"/>
        <v>523.79082837137696</v>
      </c>
      <c r="Y216" s="1">
        <f t="shared" si="26"/>
        <v>315.01964194717908</v>
      </c>
      <c r="Z216" s="1">
        <f t="shared" si="26"/>
        <v>865.33275330337858</v>
      </c>
      <c r="AA216" s="1">
        <f t="shared" si="26"/>
        <v>194.59370822675589</v>
      </c>
      <c r="AB216" s="1">
        <f t="shared" si="26"/>
        <v>387.39636318795874</v>
      </c>
      <c r="AC216" s="1">
        <f t="shared" si="26"/>
        <v>271.6269917213491</v>
      </c>
      <c r="AD216" s="1">
        <f t="shared" si="26"/>
        <v>480.38449609376869</v>
      </c>
      <c r="AE216" s="1">
        <f t="shared" si="26"/>
        <v>451.21034960551799</v>
      </c>
      <c r="AF216" s="1">
        <f t="shared" si="26"/>
        <v>332.09111879125544</v>
      </c>
      <c r="AG216" s="1">
        <f t="shared" si="26"/>
        <v>512.84909718625829</v>
      </c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1:48" x14ac:dyDescent="0.45">
      <c r="A217" s="8">
        <v>486.35828173205414</v>
      </c>
      <c r="Q217" s="9">
        <v>486.35828173205414</v>
      </c>
      <c r="R217" s="1">
        <f t="shared" si="23"/>
        <v>209.88007937509047</v>
      </c>
      <c r="S217" s="1">
        <f t="shared" si="25"/>
        <v>256.05518500026949</v>
      </c>
      <c r="T217" s="1">
        <f t="shared" si="24"/>
        <v>285.08298599277799</v>
      </c>
      <c r="U217" s="1">
        <f t="shared" si="26"/>
        <v>241.71401619990274</v>
      </c>
      <c r="V217" s="1">
        <f t="shared" si="26"/>
        <v>193.87040170218972</v>
      </c>
      <c r="W217" s="1">
        <f t="shared" si="26"/>
        <v>523.79082837137696</v>
      </c>
      <c r="X217" s="1">
        <f t="shared" si="26"/>
        <v>315.01964194717908</v>
      </c>
      <c r="Y217" s="1">
        <f t="shared" si="26"/>
        <v>865.33275330337858</v>
      </c>
      <c r="Z217" s="1">
        <f t="shared" si="26"/>
        <v>194.59370822675589</v>
      </c>
      <c r="AA217" s="1">
        <f t="shared" si="26"/>
        <v>387.39636318795874</v>
      </c>
      <c r="AB217" s="1">
        <f t="shared" si="26"/>
        <v>271.6269917213491</v>
      </c>
      <c r="AC217" s="1">
        <f t="shared" si="26"/>
        <v>480.38449609376869</v>
      </c>
      <c r="AD217" s="1">
        <f t="shared" si="26"/>
        <v>451.21034960551799</v>
      </c>
      <c r="AE217" s="1">
        <f t="shared" si="26"/>
        <v>332.09111879125544</v>
      </c>
      <c r="AF217" s="1">
        <f t="shared" si="26"/>
        <v>512.84909718625829</v>
      </c>
      <c r="AG217" s="1">
        <f t="shared" si="26"/>
        <v>122.96997606972863</v>
      </c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1:48" x14ac:dyDescent="0.45">
      <c r="A218" s="8">
        <v>256.05518500026949</v>
      </c>
      <c r="Q218" s="9">
        <v>256.05518500026949</v>
      </c>
      <c r="R218" s="1">
        <f t="shared" si="23"/>
        <v>-20.423017356694174</v>
      </c>
      <c r="S218" s="1">
        <f t="shared" si="25"/>
        <v>285.08298599277799</v>
      </c>
      <c r="T218" s="1">
        <f t="shared" si="24"/>
        <v>241.71401619990274</v>
      </c>
      <c r="U218" s="1">
        <f t="shared" si="26"/>
        <v>193.87040170218972</v>
      </c>
      <c r="V218" s="1">
        <f t="shared" si="26"/>
        <v>523.79082837137696</v>
      </c>
      <c r="W218" s="1">
        <f t="shared" si="26"/>
        <v>315.01964194717908</v>
      </c>
      <c r="X218" s="1">
        <f t="shared" si="26"/>
        <v>865.33275330337858</v>
      </c>
      <c r="Y218" s="1">
        <f t="shared" si="26"/>
        <v>194.59370822675589</v>
      </c>
      <c r="Z218" s="1">
        <f t="shared" si="26"/>
        <v>387.39636318795874</v>
      </c>
      <c r="AA218" s="1">
        <f t="shared" si="26"/>
        <v>271.6269917213491</v>
      </c>
      <c r="AB218" s="1">
        <f t="shared" si="26"/>
        <v>480.38449609376869</v>
      </c>
      <c r="AC218" s="1">
        <f t="shared" si="26"/>
        <v>451.21034960551799</v>
      </c>
      <c r="AD218" s="1">
        <f t="shared" si="26"/>
        <v>332.09111879125544</v>
      </c>
      <c r="AE218" s="1">
        <f t="shared" si="26"/>
        <v>512.84909718625829</v>
      </c>
      <c r="AF218" s="1">
        <f t="shared" si="26"/>
        <v>122.96997606972863</v>
      </c>
      <c r="AG218" s="1">
        <f t="shared" si="26"/>
        <v>480.00664323151329</v>
      </c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1:48" x14ac:dyDescent="0.45">
      <c r="A219" s="8">
        <v>285.08298599277799</v>
      </c>
      <c r="Q219" s="9">
        <v>285.08298599277799</v>
      </c>
      <c r="R219" s="1">
        <f t="shared" si="23"/>
        <v>8.6047836358143286</v>
      </c>
      <c r="S219" s="1">
        <f t="shared" si="25"/>
        <v>241.71401619990274</v>
      </c>
      <c r="T219" s="1">
        <f t="shared" si="24"/>
        <v>193.87040170218972</v>
      </c>
      <c r="U219" s="1">
        <f t="shared" si="26"/>
        <v>523.79082837137696</v>
      </c>
      <c r="V219" s="1">
        <f t="shared" si="26"/>
        <v>315.01964194717908</v>
      </c>
      <c r="W219" s="1">
        <f t="shared" si="26"/>
        <v>865.33275330337858</v>
      </c>
      <c r="X219" s="1">
        <f t="shared" si="26"/>
        <v>194.59370822675589</v>
      </c>
      <c r="Y219" s="1">
        <f t="shared" si="26"/>
        <v>387.39636318795874</v>
      </c>
      <c r="Z219" s="1">
        <f t="shared" si="26"/>
        <v>271.6269917213491</v>
      </c>
      <c r="AA219" s="1">
        <f t="shared" si="26"/>
        <v>480.38449609376869</v>
      </c>
      <c r="AB219" s="1">
        <f t="shared" si="26"/>
        <v>451.21034960551799</v>
      </c>
      <c r="AC219" s="1">
        <f t="shared" si="26"/>
        <v>332.09111879125544</v>
      </c>
      <c r="AD219" s="1">
        <f t="shared" si="26"/>
        <v>512.84909718625829</v>
      </c>
      <c r="AE219" s="1">
        <f t="shared" si="26"/>
        <v>122.96997606972863</v>
      </c>
      <c r="AF219" s="1">
        <f t="shared" si="26"/>
        <v>480.00664323151329</v>
      </c>
      <c r="AG219" s="1">
        <f t="shared" si="26"/>
        <v>330.10248607640631</v>
      </c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1:48" x14ac:dyDescent="0.45">
      <c r="A220" s="8">
        <v>241.71401619990274</v>
      </c>
      <c r="Q220" s="9">
        <v>241.71401619990274</v>
      </c>
      <c r="R220" s="1">
        <f t="shared" si="23"/>
        <v>-34.764186157060919</v>
      </c>
      <c r="S220" s="1">
        <f t="shared" si="25"/>
        <v>193.87040170218972</v>
      </c>
      <c r="T220" s="1">
        <f t="shared" si="24"/>
        <v>523.79082837137696</v>
      </c>
      <c r="U220" s="1">
        <f t="shared" si="26"/>
        <v>315.01964194717908</v>
      </c>
      <c r="V220" s="1">
        <f t="shared" si="26"/>
        <v>865.33275330337858</v>
      </c>
      <c r="W220" s="1">
        <f t="shared" si="26"/>
        <v>194.59370822675589</v>
      </c>
      <c r="X220" s="1">
        <f t="shared" si="26"/>
        <v>387.39636318795874</v>
      </c>
      <c r="Y220" s="1">
        <f t="shared" si="26"/>
        <v>271.6269917213491</v>
      </c>
      <c r="Z220" s="1">
        <f t="shared" si="26"/>
        <v>480.38449609376869</v>
      </c>
      <c r="AA220" s="1">
        <f t="shared" si="26"/>
        <v>451.21034960551799</v>
      </c>
      <c r="AB220" s="1">
        <f t="shared" si="26"/>
        <v>332.09111879125544</v>
      </c>
      <c r="AC220" s="1">
        <f t="shared" si="26"/>
        <v>512.84909718625829</v>
      </c>
      <c r="AD220" s="1">
        <f t="shared" si="26"/>
        <v>122.96997606972863</v>
      </c>
      <c r="AE220" s="1">
        <f t="shared" si="26"/>
        <v>480.00664323151329</v>
      </c>
      <c r="AF220" s="1">
        <f t="shared" si="26"/>
        <v>330.10248607640631</v>
      </c>
      <c r="AG220" s="1">
        <f t="shared" si="26"/>
        <v>459.81737145887951</v>
      </c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1:48" x14ac:dyDescent="0.45">
      <c r="A221" s="8">
        <v>193.87040170218972</v>
      </c>
      <c r="Q221" s="9">
        <v>193.87040170218972</v>
      </c>
      <c r="R221" s="1">
        <f t="shared" si="23"/>
        <v>-82.607800654773939</v>
      </c>
      <c r="S221" s="1">
        <f t="shared" si="25"/>
        <v>523.79082837137696</v>
      </c>
      <c r="T221" s="1">
        <f t="shared" si="24"/>
        <v>315.01964194717908</v>
      </c>
      <c r="U221" s="1">
        <f t="shared" si="26"/>
        <v>865.33275330337858</v>
      </c>
      <c r="V221" s="1">
        <f t="shared" si="26"/>
        <v>194.59370822675589</v>
      </c>
      <c r="W221" s="1">
        <f t="shared" si="26"/>
        <v>387.39636318795874</v>
      </c>
      <c r="X221" s="1">
        <f t="shared" si="26"/>
        <v>271.6269917213491</v>
      </c>
      <c r="Y221" s="1">
        <f t="shared" si="26"/>
        <v>480.38449609376869</v>
      </c>
      <c r="Z221" s="1">
        <f t="shared" si="26"/>
        <v>451.21034960551799</v>
      </c>
      <c r="AA221" s="1">
        <f t="shared" si="26"/>
        <v>332.09111879125544</v>
      </c>
      <c r="AB221" s="1">
        <f t="shared" si="26"/>
        <v>512.84909718625829</v>
      </c>
      <c r="AC221" s="1">
        <f t="shared" si="26"/>
        <v>122.96997606972863</v>
      </c>
      <c r="AD221" s="1">
        <f t="shared" si="26"/>
        <v>480.00664323151329</v>
      </c>
      <c r="AE221" s="1">
        <f t="shared" si="26"/>
        <v>330.10248607640631</v>
      </c>
      <c r="AF221" s="1">
        <f t="shared" si="26"/>
        <v>459.81737145887951</v>
      </c>
      <c r="AG221" s="1">
        <f t="shared" si="26"/>
        <v>184.61188525349203</v>
      </c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 x14ac:dyDescent="0.45">
      <c r="A222" s="8">
        <v>523.79082837137696</v>
      </c>
      <c r="Q222" s="9">
        <v>523.79082837137696</v>
      </c>
      <c r="R222" s="1">
        <f t="shared" si="23"/>
        <v>247.3126260144133</v>
      </c>
      <c r="S222" s="1">
        <f t="shared" si="25"/>
        <v>315.01964194717908</v>
      </c>
      <c r="T222" s="1">
        <f t="shared" si="24"/>
        <v>865.33275330337858</v>
      </c>
      <c r="U222" s="1">
        <f t="shared" si="26"/>
        <v>194.59370822675589</v>
      </c>
      <c r="V222" s="1">
        <f t="shared" si="26"/>
        <v>387.39636318795874</v>
      </c>
      <c r="W222" s="1">
        <f t="shared" si="26"/>
        <v>271.6269917213491</v>
      </c>
      <c r="X222" s="1">
        <f t="shared" si="26"/>
        <v>480.38449609376869</v>
      </c>
      <c r="Y222" s="1">
        <f t="shared" si="26"/>
        <v>451.21034960551799</v>
      </c>
      <c r="Z222" s="1">
        <f t="shared" si="26"/>
        <v>332.09111879125544</v>
      </c>
      <c r="AA222" s="1">
        <f t="shared" si="26"/>
        <v>512.84909718625829</v>
      </c>
      <c r="AB222" s="1">
        <f t="shared" si="26"/>
        <v>122.96997606972863</v>
      </c>
      <c r="AC222" s="1">
        <f t="shared" si="26"/>
        <v>480.00664323151329</v>
      </c>
      <c r="AD222" s="1">
        <f t="shared" si="26"/>
        <v>330.10248607640631</v>
      </c>
      <c r="AE222" s="1">
        <f t="shared" si="26"/>
        <v>459.81737145887951</v>
      </c>
      <c r="AF222" s="1">
        <f t="shared" si="26"/>
        <v>184.61188525349203</v>
      </c>
      <c r="AG222" s="1">
        <f t="shared" si="26"/>
        <v>346.98833471843756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1:48" x14ac:dyDescent="0.45">
      <c r="A223" s="8">
        <v>315.01964194717908</v>
      </c>
      <c r="Q223" s="9">
        <v>315.01964194717908</v>
      </c>
      <c r="R223" s="1">
        <f t="shared" si="23"/>
        <v>38.541439590215418</v>
      </c>
      <c r="S223" s="1">
        <f t="shared" si="25"/>
        <v>865.33275330337858</v>
      </c>
      <c r="T223" s="1">
        <f t="shared" si="24"/>
        <v>194.59370822675589</v>
      </c>
      <c r="U223" s="1">
        <f t="shared" si="26"/>
        <v>387.39636318795874</v>
      </c>
      <c r="V223" s="1">
        <f t="shared" si="26"/>
        <v>271.6269917213491</v>
      </c>
      <c r="W223" s="1">
        <f t="shared" si="26"/>
        <v>480.38449609376869</v>
      </c>
      <c r="X223" s="1">
        <f t="shared" si="26"/>
        <v>451.21034960551799</v>
      </c>
      <c r="Y223" s="1">
        <f t="shared" si="26"/>
        <v>332.09111879125544</v>
      </c>
      <c r="Z223" s="1">
        <f t="shared" si="26"/>
        <v>512.84909718625829</v>
      </c>
      <c r="AA223" s="1">
        <f t="shared" si="26"/>
        <v>122.96997606972863</v>
      </c>
      <c r="AB223" s="1">
        <f t="shared" si="26"/>
        <v>480.00664323151329</v>
      </c>
      <c r="AC223" s="1">
        <f t="shared" si="26"/>
        <v>330.10248607640631</v>
      </c>
      <c r="AD223" s="1">
        <f t="shared" si="26"/>
        <v>459.81737145887951</v>
      </c>
      <c r="AE223" s="1">
        <f t="shared" si="26"/>
        <v>184.61188525349203</v>
      </c>
      <c r="AF223" s="1">
        <f t="shared" si="26"/>
        <v>346.98833471843756</v>
      </c>
      <c r="AG223" s="1">
        <f t="shared" si="26"/>
        <v>460.73292823690343</v>
      </c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1:48" x14ac:dyDescent="0.45">
      <c r="A224" s="8">
        <v>865.33275330337858</v>
      </c>
      <c r="Q224" s="9">
        <v>865.33275330337858</v>
      </c>
      <c r="R224" s="1">
        <f t="shared" si="23"/>
        <v>588.85455094641497</v>
      </c>
      <c r="S224" s="1">
        <f t="shared" si="25"/>
        <v>194.59370822675589</v>
      </c>
      <c r="T224" s="1">
        <f t="shared" si="24"/>
        <v>387.39636318795874</v>
      </c>
      <c r="U224" s="1">
        <f t="shared" si="26"/>
        <v>271.6269917213491</v>
      </c>
      <c r="V224" s="1">
        <f t="shared" si="26"/>
        <v>480.38449609376869</v>
      </c>
      <c r="W224" s="1">
        <f t="shared" si="26"/>
        <v>451.21034960551799</v>
      </c>
      <c r="X224" s="1">
        <f t="shared" si="26"/>
        <v>332.09111879125544</v>
      </c>
      <c r="Y224" s="1">
        <f t="shared" si="26"/>
        <v>512.84909718625829</v>
      </c>
      <c r="Z224" s="1">
        <f t="shared" si="26"/>
        <v>122.96997606972863</v>
      </c>
      <c r="AA224" s="1">
        <f t="shared" si="26"/>
        <v>480.00664323151329</v>
      </c>
      <c r="AB224" s="1">
        <f t="shared" si="26"/>
        <v>330.10248607640631</v>
      </c>
      <c r="AC224" s="1">
        <f t="shared" si="26"/>
        <v>459.81737145887951</v>
      </c>
      <c r="AD224" s="1">
        <f t="shared" si="26"/>
        <v>184.61188525349203</v>
      </c>
      <c r="AE224" s="1">
        <f t="shared" si="26"/>
        <v>346.98833471843756</v>
      </c>
      <c r="AF224" s="1">
        <f t="shared" si="26"/>
        <v>460.73292823690343</v>
      </c>
      <c r="AG224" s="1">
        <f t="shared" si="26"/>
        <v>467.9847413320195</v>
      </c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1:48" x14ac:dyDescent="0.45">
      <c r="A225" s="8">
        <v>194.59370822675589</v>
      </c>
      <c r="Q225" s="9">
        <v>194.59370822675589</v>
      </c>
      <c r="R225" s="1">
        <f t="shared" si="23"/>
        <v>-81.88449413020777</v>
      </c>
      <c r="S225" s="1">
        <f t="shared" si="25"/>
        <v>387.39636318795874</v>
      </c>
      <c r="T225" s="1">
        <f t="shared" si="24"/>
        <v>271.6269917213491</v>
      </c>
      <c r="U225" s="1">
        <f t="shared" si="26"/>
        <v>480.38449609376869</v>
      </c>
      <c r="V225" s="1">
        <f t="shared" si="26"/>
        <v>451.21034960551799</v>
      </c>
      <c r="W225" s="1">
        <f t="shared" si="26"/>
        <v>332.09111879125544</v>
      </c>
      <c r="X225" s="1">
        <f t="shared" si="26"/>
        <v>512.84909718625829</v>
      </c>
      <c r="Y225" s="1">
        <f t="shared" si="26"/>
        <v>122.96997606972863</v>
      </c>
      <c r="Z225" s="1">
        <f t="shared" si="26"/>
        <v>480.00664323151329</v>
      </c>
      <c r="AA225" s="1">
        <f t="shared" si="26"/>
        <v>330.10248607640631</v>
      </c>
      <c r="AB225" s="1">
        <f t="shared" si="26"/>
        <v>459.81737145887951</v>
      </c>
      <c r="AC225" s="1">
        <f t="shared" si="26"/>
        <v>184.61188525349203</v>
      </c>
      <c r="AD225" s="1">
        <f t="shared" si="26"/>
        <v>346.98833471843756</v>
      </c>
      <c r="AE225" s="1">
        <f t="shared" si="26"/>
        <v>460.73292823690343</v>
      </c>
      <c r="AF225" s="1">
        <f t="shared" si="26"/>
        <v>467.9847413320195</v>
      </c>
      <c r="AG225" s="1">
        <f t="shared" si="26"/>
        <v>77.622403875490676</v>
      </c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1:48" x14ac:dyDescent="0.45">
      <c r="A226" s="8">
        <v>387.39636318795874</v>
      </c>
      <c r="Q226" s="9">
        <v>387.39636318795874</v>
      </c>
      <c r="R226" s="1">
        <f t="shared" si="23"/>
        <v>110.91816083099508</v>
      </c>
      <c r="S226" s="1">
        <f t="shared" si="25"/>
        <v>271.6269917213491</v>
      </c>
      <c r="T226" s="1">
        <f t="shared" si="24"/>
        <v>480.38449609376869</v>
      </c>
      <c r="U226" s="1">
        <f t="shared" si="26"/>
        <v>451.21034960551799</v>
      </c>
      <c r="V226" s="1">
        <f t="shared" si="26"/>
        <v>332.09111879125544</v>
      </c>
      <c r="W226" s="1">
        <f t="shared" si="26"/>
        <v>512.84909718625829</v>
      </c>
      <c r="X226" s="1">
        <f t="shared" si="26"/>
        <v>122.96997606972863</v>
      </c>
      <c r="Y226" s="1">
        <f t="shared" si="26"/>
        <v>480.00664323151329</v>
      </c>
      <c r="Z226" s="1">
        <f t="shared" si="26"/>
        <v>330.10248607640631</v>
      </c>
      <c r="AA226" s="1">
        <f t="shared" si="26"/>
        <v>459.81737145887951</v>
      </c>
      <c r="AB226" s="1">
        <f t="shared" si="26"/>
        <v>184.61188525349203</v>
      </c>
      <c r="AC226" s="1">
        <f t="shared" si="26"/>
        <v>346.98833471843756</v>
      </c>
      <c r="AD226" s="1">
        <f t="shared" si="26"/>
        <v>460.73292823690343</v>
      </c>
      <c r="AE226" s="1">
        <f t="shared" si="26"/>
        <v>467.9847413320195</v>
      </c>
      <c r="AF226" s="1">
        <f t="shared" si="26"/>
        <v>77.622403875490676</v>
      </c>
      <c r="AG226" s="1">
        <f t="shared" si="26"/>
        <v>119.58825745841665</v>
      </c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1:48" x14ac:dyDescent="0.45">
      <c r="A227" s="8">
        <v>271.6269917213491</v>
      </c>
      <c r="Q227" s="9">
        <v>271.6269917213491</v>
      </c>
      <c r="R227" s="1">
        <f t="shared" si="23"/>
        <v>-4.8512106356145637</v>
      </c>
      <c r="S227" s="1">
        <f t="shared" si="25"/>
        <v>480.38449609376869</v>
      </c>
      <c r="T227" s="1">
        <f t="shared" si="24"/>
        <v>451.21034960551799</v>
      </c>
      <c r="U227" s="1">
        <f t="shared" ref="U227:AG242" si="27">T228</f>
        <v>332.09111879125544</v>
      </c>
      <c r="V227" s="1">
        <f t="shared" si="27"/>
        <v>512.84909718625829</v>
      </c>
      <c r="W227" s="1">
        <f t="shared" si="27"/>
        <v>122.96997606972863</v>
      </c>
      <c r="X227" s="1">
        <f t="shared" si="27"/>
        <v>480.00664323151329</v>
      </c>
      <c r="Y227" s="1">
        <f t="shared" si="27"/>
        <v>330.10248607640631</v>
      </c>
      <c r="Z227" s="1">
        <f t="shared" si="27"/>
        <v>459.81737145887951</v>
      </c>
      <c r="AA227" s="1">
        <f t="shared" si="27"/>
        <v>184.61188525349203</v>
      </c>
      <c r="AB227" s="1">
        <f t="shared" si="27"/>
        <v>346.98833471843756</v>
      </c>
      <c r="AC227" s="1">
        <f t="shared" si="27"/>
        <v>460.73292823690343</v>
      </c>
      <c r="AD227" s="1">
        <f t="shared" si="27"/>
        <v>467.9847413320195</v>
      </c>
      <c r="AE227" s="1">
        <f t="shared" si="27"/>
        <v>77.622403875490676</v>
      </c>
      <c r="AF227" s="1">
        <f t="shared" si="27"/>
        <v>119.58825745841665</v>
      </c>
      <c r="AG227" s="1">
        <f t="shared" si="27"/>
        <v>309.06163789052243</v>
      </c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1:48" x14ac:dyDescent="0.45">
      <c r="A228" s="8">
        <v>480.38449609376869</v>
      </c>
      <c r="Q228" s="9">
        <v>480.38449609376869</v>
      </c>
      <c r="R228" s="1">
        <f t="shared" si="23"/>
        <v>203.90629373680503</v>
      </c>
      <c r="S228" s="1">
        <f t="shared" si="25"/>
        <v>451.21034960551799</v>
      </c>
      <c r="T228" s="1">
        <f t="shared" si="24"/>
        <v>332.09111879125544</v>
      </c>
      <c r="U228" s="1">
        <f t="shared" si="27"/>
        <v>512.84909718625829</v>
      </c>
      <c r="V228" s="1">
        <f t="shared" si="27"/>
        <v>122.96997606972863</v>
      </c>
      <c r="W228" s="1">
        <f t="shared" si="27"/>
        <v>480.00664323151329</v>
      </c>
      <c r="X228" s="1">
        <f t="shared" si="27"/>
        <v>330.10248607640631</v>
      </c>
      <c r="Y228" s="1">
        <f t="shared" si="27"/>
        <v>459.81737145887951</v>
      </c>
      <c r="Z228" s="1">
        <f t="shared" si="27"/>
        <v>184.61188525349203</v>
      </c>
      <c r="AA228" s="1">
        <f t="shared" si="27"/>
        <v>346.98833471843756</v>
      </c>
      <c r="AB228" s="1">
        <f t="shared" si="27"/>
        <v>460.73292823690343</v>
      </c>
      <c r="AC228" s="1">
        <f t="shared" si="27"/>
        <v>467.9847413320195</v>
      </c>
      <c r="AD228" s="1">
        <f t="shared" si="27"/>
        <v>77.622403875490676</v>
      </c>
      <c r="AE228" s="1">
        <f t="shared" si="27"/>
        <v>119.58825745841665</v>
      </c>
      <c r="AF228" s="1">
        <f t="shared" si="27"/>
        <v>309.06163789052243</v>
      </c>
      <c r="AG228" s="1">
        <f t="shared" si="27"/>
        <v>184.82720896225106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1:48" x14ac:dyDescent="0.45">
      <c r="A229" s="8">
        <v>451.21034960551799</v>
      </c>
      <c r="Q229" s="9">
        <v>451.21034960551799</v>
      </c>
      <c r="R229" s="1">
        <f t="shared" si="23"/>
        <v>174.73214724855433</v>
      </c>
      <c r="S229" s="1">
        <f t="shared" si="25"/>
        <v>332.09111879125544</v>
      </c>
      <c r="T229" s="1">
        <f t="shared" si="24"/>
        <v>512.84909718625829</v>
      </c>
      <c r="U229" s="1">
        <f t="shared" si="27"/>
        <v>122.96997606972863</v>
      </c>
      <c r="V229" s="1">
        <f t="shared" si="27"/>
        <v>480.00664323151329</v>
      </c>
      <c r="W229" s="1">
        <f t="shared" si="27"/>
        <v>330.10248607640631</v>
      </c>
      <c r="X229" s="1">
        <f t="shared" si="27"/>
        <v>459.81737145887951</v>
      </c>
      <c r="Y229" s="1">
        <f t="shared" si="27"/>
        <v>184.61188525349203</v>
      </c>
      <c r="Z229" s="1">
        <f t="shared" si="27"/>
        <v>346.98833471843756</v>
      </c>
      <c r="AA229" s="1">
        <f t="shared" si="27"/>
        <v>460.73292823690343</v>
      </c>
      <c r="AB229" s="1">
        <f t="shared" si="27"/>
        <v>467.9847413320195</v>
      </c>
      <c r="AC229" s="1">
        <f t="shared" si="27"/>
        <v>77.622403875490676</v>
      </c>
      <c r="AD229" s="1">
        <f t="shared" si="27"/>
        <v>119.58825745841665</v>
      </c>
      <c r="AE229" s="1">
        <f t="shared" si="27"/>
        <v>309.06163789052243</v>
      </c>
      <c r="AF229" s="1">
        <f t="shared" si="27"/>
        <v>184.82720896225106</v>
      </c>
      <c r="AG229" s="1">
        <f t="shared" si="27"/>
        <v>371.43707688508533</v>
      </c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 x14ac:dyDescent="0.45">
      <c r="A230" s="8">
        <v>332.09111879125544</v>
      </c>
      <c r="Q230" s="9">
        <v>332.09111879125544</v>
      </c>
      <c r="R230" s="1">
        <f t="shared" si="23"/>
        <v>55.612916434291776</v>
      </c>
      <c r="S230" s="1">
        <f t="shared" si="25"/>
        <v>512.84909718625829</v>
      </c>
      <c r="T230" s="1">
        <f t="shared" si="24"/>
        <v>122.96997606972863</v>
      </c>
      <c r="U230" s="1">
        <f t="shared" si="27"/>
        <v>480.00664323151329</v>
      </c>
      <c r="V230" s="1">
        <f t="shared" si="27"/>
        <v>330.10248607640631</v>
      </c>
      <c r="W230" s="1">
        <f t="shared" si="27"/>
        <v>459.81737145887951</v>
      </c>
      <c r="X230" s="1">
        <f t="shared" si="27"/>
        <v>184.61188525349203</v>
      </c>
      <c r="Y230" s="1">
        <f t="shared" si="27"/>
        <v>346.98833471843756</v>
      </c>
      <c r="Z230" s="1">
        <f t="shared" si="27"/>
        <v>460.73292823690343</v>
      </c>
      <c r="AA230" s="1">
        <f t="shared" si="27"/>
        <v>467.9847413320195</v>
      </c>
      <c r="AB230" s="1">
        <f t="shared" si="27"/>
        <v>77.622403875490676</v>
      </c>
      <c r="AC230" s="1">
        <f t="shared" si="27"/>
        <v>119.58825745841665</v>
      </c>
      <c r="AD230" s="1">
        <f t="shared" si="27"/>
        <v>309.06163789052243</v>
      </c>
      <c r="AE230" s="1">
        <f t="shared" si="27"/>
        <v>184.82720896225106</v>
      </c>
      <c r="AF230" s="1">
        <f t="shared" si="27"/>
        <v>371.43707688508533</v>
      </c>
      <c r="AG230" s="1">
        <f t="shared" si="27"/>
        <v>200.06010326821254</v>
      </c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 x14ac:dyDescent="0.45">
      <c r="A231" s="8">
        <v>512.84909718625829</v>
      </c>
      <c r="Q231" s="9">
        <v>512.84909718625829</v>
      </c>
      <c r="R231" s="1">
        <f t="shared" si="23"/>
        <v>236.37089482929463</v>
      </c>
      <c r="S231" s="1">
        <f t="shared" si="25"/>
        <v>122.96997606972863</v>
      </c>
      <c r="T231" s="1">
        <f t="shared" si="24"/>
        <v>480.00664323151329</v>
      </c>
      <c r="U231" s="1">
        <f t="shared" si="27"/>
        <v>330.10248607640631</v>
      </c>
      <c r="V231" s="1">
        <f t="shared" si="27"/>
        <v>459.81737145887951</v>
      </c>
      <c r="W231" s="1">
        <f t="shared" si="27"/>
        <v>184.61188525349203</v>
      </c>
      <c r="X231" s="1">
        <f t="shared" si="27"/>
        <v>346.98833471843756</v>
      </c>
      <c r="Y231" s="1">
        <f t="shared" si="27"/>
        <v>460.73292823690343</v>
      </c>
      <c r="Z231" s="1">
        <f t="shared" si="27"/>
        <v>467.9847413320195</v>
      </c>
      <c r="AA231" s="1">
        <f t="shared" si="27"/>
        <v>77.622403875490676</v>
      </c>
      <c r="AB231" s="1">
        <f t="shared" si="27"/>
        <v>119.58825745841665</v>
      </c>
      <c r="AC231" s="1">
        <f t="shared" si="27"/>
        <v>309.06163789052243</v>
      </c>
      <c r="AD231" s="1">
        <f t="shared" si="27"/>
        <v>184.82720896225106</v>
      </c>
      <c r="AE231" s="1">
        <f t="shared" si="27"/>
        <v>371.43707688508533</v>
      </c>
      <c r="AF231" s="1">
        <f t="shared" si="27"/>
        <v>200.06010326821254</v>
      </c>
      <c r="AG231" s="1">
        <f t="shared" si="27"/>
        <v>208.77621431110893</v>
      </c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 x14ac:dyDescent="0.45">
      <c r="A232" s="8">
        <v>122.96997606972863</v>
      </c>
      <c r="Q232" s="9">
        <v>122.96997606972863</v>
      </c>
      <c r="R232" s="1">
        <f t="shared" si="23"/>
        <v>-153.50822628723503</v>
      </c>
      <c r="S232" s="1">
        <f t="shared" si="25"/>
        <v>480.00664323151329</v>
      </c>
      <c r="T232" s="1">
        <f t="shared" si="24"/>
        <v>330.10248607640631</v>
      </c>
      <c r="U232" s="1">
        <f t="shared" si="27"/>
        <v>459.81737145887951</v>
      </c>
      <c r="V232" s="1">
        <f t="shared" si="27"/>
        <v>184.61188525349203</v>
      </c>
      <c r="W232" s="1">
        <f t="shared" si="27"/>
        <v>346.98833471843756</v>
      </c>
      <c r="X232" s="1">
        <f t="shared" si="27"/>
        <v>460.73292823690343</v>
      </c>
      <c r="Y232" s="1">
        <f t="shared" si="27"/>
        <v>467.9847413320195</v>
      </c>
      <c r="Z232" s="1">
        <f t="shared" si="27"/>
        <v>77.622403875490676</v>
      </c>
      <c r="AA232" s="1">
        <f t="shared" si="27"/>
        <v>119.58825745841665</v>
      </c>
      <c r="AB232" s="1">
        <f t="shared" si="27"/>
        <v>309.06163789052243</v>
      </c>
      <c r="AC232" s="1">
        <f t="shared" si="27"/>
        <v>184.82720896225106</v>
      </c>
      <c r="AD232" s="1">
        <f t="shared" si="27"/>
        <v>371.43707688508533</v>
      </c>
      <c r="AE232" s="1">
        <f t="shared" si="27"/>
        <v>200.06010326821254</v>
      </c>
      <c r="AF232" s="1">
        <f t="shared" si="27"/>
        <v>208.77621431110893</v>
      </c>
      <c r="AG232" s="1">
        <f t="shared" si="27"/>
        <v>292.37011409145134</v>
      </c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 x14ac:dyDescent="0.45">
      <c r="A233" s="8">
        <v>480.00664323151329</v>
      </c>
      <c r="Q233" s="9">
        <v>480.00664323151329</v>
      </c>
      <c r="R233" s="1">
        <f t="shared" si="23"/>
        <v>203.52844087454963</v>
      </c>
      <c r="S233" s="1">
        <f t="shared" si="25"/>
        <v>330.10248607640631</v>
      </c>
      <c r="T233" s="1">
        <f t="shared" si="24"/>
        <v>459.81737145887951</v>
      </c>
      <c r="U233" s="1">
        <f t="shared" si="27"/>
        <v>184.61188525349203</v>
      </c>
      <c r="V233" s="1">
        <f t="shared" si="27"/>
        <v>346.98833471843756</v>
      </c>
      <c r="W233" s="1">
        <f t="shared" si="27"/>
        <v>460.73292823690343</v>
      </c>
      <c r="X233" s="1">
        <f t="shared" si="27"/>
        <v>467.9847413320195</v>
      </c>
      <c r="Y233" s="1">
        <f t="shared" si="27"/>
        <v>77.622403875490676</v>
      </c>
      <c r="Z233" s="1">
        <f t="shared" si="27"/>
        <v>119.58825745841665</v>
      </c>
      <c r="AA233" s="1">
        <f t="shared" si="27"/>
        <v>309.06163789052243</v>
      </c>
      <c r="AB233" s="1">
        <f t="shared" si="27"/>
        <v>184.82720896225106</v>
      </c>
      <c r="AC233" s="1">
        <f t="shared" si="27"/>
        <v>371.43707688508533</v>
      </c>
      <c r="AD233" s="1">
        <f t="shared" si="27"/>
        <v>200.06010326821254</v>
      </c>
      <c r="AE233" s="1">
        <f t="shared" si="27"/>
        <v>208.77621431110893</v>
      </c>
      <c r="AF233" s="1">
        <f t="shared" si="27"/>
        <v>292.37011409145134</v>
      </c>
      <c r="AG233" s="1">
        <f t="shared" si="27"/>
        <v>264.26874188234132</v>
      </c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1:48" x14ac:dyDescent="0.45">
      <c r="A234" s="8">
        <v>330.10248607640631</v>
      </c>
      <c r="Q234" s="9">
        <v>330.10248607640631</v>
      </c>
      <c r="R234" s="1">
        <f t="shared" si="23"/>
        <v>53.624283719442644</v>
      </c>
      <c r="S234" s="1">
        <f t="shared" si="25"/>
        <v>459.81737145887951</v>
      </c>
      <c r="T234" s="1">
        <f t="shared" si="24"/>
        <v>184.61188525349203</v>
      </c>
      <c r="U234" s="1">
        <f t="shared" si="27"/>
        <v>346.98833471843756</v>
      </c>
      <c r="V234" s="1">
        <f t="shared" si="27"/>
        <v>460.73292823690343</v>
      </c>
      <c r="W234" s="1">
        <f t="shared" si="27"/>
        <v>467.9847413320195</v>
      </c>
      <c r="X234" s="1">
        <f t="shared" si="27"/>
        <v>77.622403875490676</v>
      </c>
      <c r="Y234" s="1">
        <f t="shared" si="27"/>
        <v>119.58825745841665</v>
      </c>
      <c r="Z234" s="1">
        <f t="shared" si="27"/>
        <v>309.06163789052243</v>
      </c>
      <c r="AA234" s="1">
        <f t="shared" si="27"/>
        <v>184.82720896225106</v>
      </c>
      <c r="AB234" s="1">
        <f t="shared" si="27"/>
        <v>371.43707688508533</v>
      </c>
      <c r="AC234" s="1">
        <f t="shared" si="27"/>
        <v>200.06010326821254</v>
      </c>
      <c r="AD234" s="1">
        <f t="shared" si="27"/>
        <v>208.77621431110893</v>
      </c>
      <c r="AE234" s="1">
        <f t="shared" si="27"/>
        <v>292.37011409145134</v>
      </c>
      <c r="AF234" s="1">
        <f t="shared" si="27"/>
        <v>264.26874188234132</v>
      </c>
      <c r="AG234" s="1">
        <f t="shared" si="27"/>
        <v>429.0765170360126</v>
      </c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 x14ac:dyDescent="0.45">
      <c r="A235" s="8">
        <v>459.81737145887951</v>
      </c>
      <c r="Q235" s="9">
        <v>459.81737145887951</v>
      </c>
      <c r="R235" s="1">
        <f t="shared" si="23"/>
        <v>183.33916910191584</v>
      </c>
      <c r="S235" s="1">
        <f t="shared" si="25"/>
        <v>184.61188525349203</v>
      </c>
      <c r="T235" s="1">
        <f t="shared" si="24"/>
        <v>346.98833471843756</v>
      </c>
      <c r="U235" s="1">
        <f t="shared" si="27"/>
        <v>460.73292823690343</v>
      </c>
      <c r="V235" s="1">
        <f t="shared" si="27"/>
        <v>467.9847413320195</v>
      </c>
      <c r="W235" s="1">
        <f t="shared" si="27"/>
        <v>77.622403875490676</v>
      </c>
      <c r="X235" s="1">
        <f t="shared" si="27"/>
        <v>119.58825745841665</v>
      </c>
      <c r="Y235" s="1">
        <f t="shared" si="27"/>
        <v>309.06163789052243</v>
      </c>
      <c r="Z235" s="1">
        <f t="shared" si="27"/>
        <v>184.82720896225106</v>
      </c>
      <c r="AA235" s="1">
        <f t="shared" si="27"/>
        <v>371.43707688508533</v>
      </c>
      <c r="AB235" s="1">
        <f t="shared" si="27"/>
        <v>200.06010326821254</v>
      </c>
      <c r="AC235" s="1">
        <f t="shared" si="27"/>
        <v>208.77621431110893</v>
      </c>
      <c r="AD235" s="1">
        <f t="shared" si="27"/>
        <v>292.37011409145134</v>
      </c>
      <c r="AE235" s="1">
        <f t="shared" si="27"/>
        <v>264.26874188234132</v>
      </c>
      <c r="AF235" s="1">
        <f t="shared" si="27"/>
        <v>429.0765170360126</v>
      </c>
      <c r="AG235" s="1">
        <f t="shared" si="27"/>
        <v>867.77584494766484</v>
      </c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 x14ac:dyDescent="0.45">
      <c r="A236" s="8">
        <v>184.61188525349203</v>
      </c>
      <c r="Q236" s="9">
        <v>184.61188525349203</v>
      </c>
      <c r="R236" s="1">
        <f t="shared" si="23"/>
        <v>-91.86631710347163</v>
      </c>
      <c r="S236" s="1">
        <f t="shared" si="25"/>
        <v>346.98833471843756</v>
      </c>
      <c r="T236" s="1">
        <f t="shared" si="24"/>
        <v>460.73292823690343</v>
      </c>
      <c r="U236" s="1">
        <f t="shared" si="27"/>
        <v>467.9847413320195</v>
      </c>
      <c r="V236" s="1">
        <f t="shared" si="27"/>
        <v>77.622403875490676</v>
      </c>
      <c r="W236" s="1">
        <f t="shared" si="27"/>
        <v>119.58825745841665</v>
      </c>
      <c r="X236" s="1">
        <f t="shared" si="27"/>
        <v>309.06163789052243</v>
      </c>
      <c r="Y236" s="1">
        <f t="shared" si="27"/>
        <v>184.82720896225106</v>
      </c>
      <c r="Z236" s="1">
        <f t="shared" si="27"/>
        <v>371.43707688508533</v>
      </c>
      <c r="AA236" s="1">
        <f t="shared" si="27"/>
        <v>200.06010326821254</v>
      </c>
      <c r="AB236" s="1">
        <f t="shared" si="27"/>
        <v>208.77621431110893</v>
      </c>
      <c r="AC236" s="1">
        <f t="shared" si="27"/>
        <v>292.37011409145134</v>
      </c>
      <c r="AD236" s="1">
        <f t="shared" si="27"/>
        <v>264.26874188234132</v>
      </c>
      <c r="AE236" s="1">
        <f t="shared" si="27"/>
        <v>429.0765170360126</v>
      </c>
      <c r="AF236" s="1">
        <f t="shared" si="27"/>
        <v>867.77584494766484</v>
      </c>
      <c r="AG236" s="1">
        <f t="shared" si="27"/>
        <v>130.81690961984725</v>
      </c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 x14ac:dyDescent="0.45">
      <c r="A237" s="8">
        <v>346.98833471843756</v>
      </c>
      <c r="Q237" s="9">
        <v>346.98833471843756</v>
      </c>
      <c r="R237" s="1">
        <f t="shared" si="23"/>
        <v>70.510132361473893</v>
      </c>
      <c r="S237" s="1">
        <f t="shared" si="25"/>
        <v>460.73292823690343</v>
      </c>
      <c r="T237" s="1">
        <f t="shared" si="24"/>
        <v>467.9847413320195</v>
      </c>
      <c r="U237" s="1">
        <f t="shared" si="27"/>
        <v>77.622403875490676</v>
      </c>
      <c r="V237" s="1">
        <f t="shared" si="27"/>
        <v>119.58825745841665</v>
      </c>
      <c r="W237" s="1">
        <f t="shared" si="27"/>
        <v>309.06163789052243</v>
      </c>
      <c r="X237" s="1">
        <f t="shared" si="27"/>
        <v>184.82720896225106</v>
      </c>
      <c r="Y237" s="1">
        <f t="shared" si="27"/>
        <v>371.43707688508533</v>
      </c>
      <c r="Z237" s="1">
        <f t="shared" si="27"/>
        <v>200.06010326821254</v>
      </c>
      <c r="AA237" s="1">
        <f t="shared" si="27"/>
        <v>208.77621431110893</v>
      </c>
      <c r="AB237" s="1">
        <f t="shared" si="27"/>
        <v>292.37011409145134</v>
      </c>
      <c r="AC237" s="1">
        <f t="shared" si="27"/>
        <v>264.26874188234132</v>
      </c>
      <c r="AD237" s="1">
        <f t="shared" si="27"/>
        <v>429.0765170360126</v>
      </c>
      <c r="AE237" s="1">
        <f t="shared" si="27"/>
        <v>867.77584494766484</v>
      </c>
      <c r="AF237" s="1">
        <f t="shared" si="27"/>
        <v>130.81690961984725</v>
      </c>
      <c r="AG237" s="1">
        <f t="shared" si="27"/>
        <v>184.54945804544684</v>
      </c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 x14ac:dyDescent="0.45">
      <c r="A238" s="8">
        <v>460.73292823690343</v>
      </c>
      <c r="Q238" s="9">
        <v>460.73292823690343</v>
      </c>
      <c r="R238" s="1">
        <f t="shared" si="23"/>
        <v>184.25472587993977</v>
      </c>
      <c r="S238" s="1">
        <f t="shared" si="25"/>
        <v>467.9847413320195</v>
      </c>
      <c r="T238" s="1">
        <f t="shared" si="24"/>
        <v>77.622403875490676</v>
      </c>
      <c r="U238" s="1">
        <f t="shared" si="27"/>
        <v>119.58825745841665</v>
      </c>
      <c r="V238" s="1">
        <f t="shared" si="27"/>
        <v>309.06163789052243</v>
      </c>
      <c r="W238" s="1">
        <f t="shared" si="27"/>
        <v>184.82720896225106</v>
      </c>
      <c r="X238" s="1">
        <f t="shared" si="27"/>
        <v>371.43707688508533</v>
      </c>
      <c r="Y238" s="1">
        <f t="shared" si="27"/>
        <v>200.06010326821254</v>
      </c>
      <c r="Z238" s="1">
        <f t="shared" si="27"/>
        <v>208.77621431110893</v>
      </c>
      <c r="AA238" s="1">
        <f t="shared" si="27"/>
        <v>292.37011409145134</v>
      </c>
      <c r="AB238" s="1">
        <f t="shared" si="27"/>
        <v>264.26874188234132</v>
      </c>
      <c r="AC238" s="1">
        <f t="shared" si="27"/>
        <v>429.0765170360126</v>
      </c>
      <c r="AD238" s="1">
        <f t="shared" si="27"/>
        <v>867.77584494766484</v>
      </c>
      <c r="AE238" s="1">
        <f t="shared" si="27"/>
        <v>130.81690961984725</v>
      </c>
      <c r="AF238" s="1">
        <f t="shared" si="27"/>
        <v>184.54945804544684</v>
      </c>
      <c r="AG238" s="1">
        <f t="shared" si="27"/>
        <v>142.39879947909134</v>
      </c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 x14ac:dyDescent="0.45">
      <c r="A239" s="8">
        <v>467.9847413320195</v>
      </c>
      <c r="Q239" s="9">
        <v>467.9847413320195</v>
      </c>
      <c r="R239" s="1">
        <f t="shared" si="23"/>
        <v>191.50653897505583</v>
      </c>
      <c r="S239" s="1">
        <f t="shared" si="25"/>
        <v>77.622403875490676</v>
      </c>
      <c r="T239" s="1">
        <f t="shared" si="24"/>
        <v>119.58825745841665</v>
      </c>
      <c r="U239" s="1">
        <f t="shared" si="27"/>
        <v>309.06163789052243</v>
      </c>
      <c r="V239" s="1">
        <f t="shared" si="27"/>
        <v>184.82720896225106</v>
      </c>
      <c r="W239" s="1">
        <f t="shared" si="27"/>
        <v>371.43707688508533</v>
      </c>
      <c r="X239" s="1">
        <f t="shared" si="27"/>
        <v>200.06010326821254</v>
      </c>
      <c r="Y239" s="1">
        <f t="shared" si="27"/>
        <v>208.77621431110893</v>
      </c>
      <c r="Z239" s="1">
        <f t="shared" si="27"/>
        <v>292.37011409145134</v>
      </c>
      <c r="AA239" s="1">
        <f t="shared" si="27"/>
        <v>264.26874188234132</v>
      </c>
      <c r="AB239" s="1">
        <f t="shared" si="27"/>
        <v>429.0765170360126</v>
      </c>
      <c r="AC239" s="1">
        <f t="shared" si="27"/>
        <v>867.77584494766484</v>
      </c>
      <c r="AD239" s="1">
        <f t="shared" si="27"/>
        <v>130.81690961984725</v>
      </c>
      <c r="AE239" s="1">
        <f t="shared" si="27"/>
        <v>184.54945804544684</v>
      </c>
      <c r="AF239" s="1">
        <f t="shared" si="27"/>
        <v>142.39879947909134</v>
      </c>
      <c r="AG239" s="1">
        <f t="shared" si="27"/>
        <v>291.26399274604813</v>
      </c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1:48" x14ac:dyDescent="0.45">
      <c r="A240" s="8">
        <v>77.622403875490676</v>
      </c>
      <c r="Q240" s="9">
        <v>77.622403875490676</v>
      </c>
      <c r="R240" s="1">
        <f t="shared" si="23"/>
        <v>-198.85579848147299</v>
      </c>
      <c r="S240" s="1">
        <f t="shared" si="25"/>
        <v>119.58825745841665</v>
      </c>
      <c r="T240" s="1">
        <f t="shared" si="24"/>
        <v>309.06163789052243</v>
      </c>
      <c r="U240" s="1">
        <f t="shared" si="27"/>
        <v>184.82720896225106</v>
      </c>
      <c r="V240" s="1">
        <f t="shared" si="27"/>
        <v>371.43707688508533</v>
      </c>
      <c r="W240" s="1">
        <f t="shared" si="27"/>
        <v>200.06010326821254</v>
      </c>
      <c r="X240" s="1">
        <f t="shared" si="27"/>
        <v>208.77621431110893</v>
      </c>
      <c r="Y240" s="1">
        <f t="shared" si="27"/>
        <v>292.37011409145134</v>
      </c>
      <c r="Z240" s="1">
        <f t="shared" si="27"/>
        <v>264.26874188234132</v>
      </c>
      <c r="AA240" s="1">
        <f t="shared" si="27"/>
        <v>429.0765170360126</v>
      </c>
      <c r="AB240" s="1">
        <f t="shared" si="27"/>
        <v>867.77584494766484</v>
      </c>
      <c r="AC240" s="1">
        <f t="shared" si="27"/>
        <v>130.81690961984725</v>
      </c>
      <c r="AD240" s="1">
        <f t="shared" si="27"/>
        <v>184.54945804544684</v>
      </c>
      <c r="AE240" s="1">
        <f t="shared" si="27"/>
        <v>142.39879947909134</v>
      </c>
      <c r="AF240" s="1">
        <f t="shared" si="27"/>
        <v>291.26399274604813</v>
      </c>
      <c r="AG240" s="1">
        <f t="shared" si="27"/>
        <v>179.83761527092958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1:48" x14ac:dyDescent="0.45">
      <c r="A241" s="8">
        <v>119.58825745841665</v>
      </c>
      <c r="Q241" s="9">
        <v>119.58825745841665</v>
      </c>
      <c r="R241" s="1">
        <f t="shared" si="23"/>
        <v>-156.88994489854701</v>
      </c>
      <c r="S241" s="1">
        <f t="shared" si="25"/>
        <v>309.06163789052243</v>
      </c>
      <c r="T241" s="1">
        <f t="shared" si="24"/>
        <v>184.82720896225106</v>
      </c>
      <c r="U241" s="1">
        <f t="shared" si="27"/>
        <v>371.43707688508533</v>
      </c>
      <c r="V241" s="1">
        <f t="shared" si="27"/>
        <v>200.06010326821254</v>
      </c>
      <c r="W241" s="1">
        <f t="shared" si="27"/>
        <v>208.77621431110893</v>
      </c>
      <c r="X241" s="1">
        <f t="shared" si="27"/>
        <v>292.37011409145134</v>
      </c>
      <c r="Y241" s="1">
        <f t="shared" si="27"/>
        <v>264.26874188234132</v>
      </c>
      <c r="Z241" s="1">
        <f t="shared" si="27"/>
        <v>429.0765170360126</v>
      </c>
      <c r="AA241" s="1">
        <f t="shared" si="27"/>
        <v>867.77584494766484</v>
      </c>
      <c r="AB241" s="1">
        <f t="shared" si="27"/>
        <v>130.81690961984725</v>
      </c>
      <c r="AC241" s="1">
        <f t="shared" si="27"/>
        <v>184.54945804544684</v>
      </c>
      <c r="AD241" s="1">
        <f t="shared" si="27"/>
        <v>142.39879947909134</v>
      </c>
      <c r="AE241" s="1">
        <f t="shared" si="27"/>
        <v>291.26399274604813</v>
      </c>
      <c r="AF241" s="1">
        <f t="shared" si="27"/>
        <v>179.83761527092958</v>
      </c>
      <c r="AG241" s="1">
        <f t="shared" si="27"/>
        <v>79.013566197284092</v>
      </c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1:48" x14ac:dyDescent="0.45">
      <c r="A242" s="8">
        <v>309.06163789052243</v>
      </c>
      <c r="Q242" s="9">
        <v>309.06163789052243</v>
      </c>
      <c r="R242" s="1">
        <f t="shared" si="23"/>
        <v>32.58343553355877</v>
      </c>
      <c r="S242" s="1">
        <f t="shared" si="25"/>
        <v>184.82720896225106</v>
      </c>
      <c r="T242" s="1">
        <f t="shared" si="24"/>
        <v>371.43707688508533</v>
      </c>
      <c r="U242" s="1">
        <f t="shared" si="27"/>
        <v>200.06010326821254</v>
      </c>
      <c r="V242" s="1">
        <f t="shared" si="27"/>
        <v>208.77621431110893</v>
      </c>
      <c r="W242" s="1">
        <f t="shared" si="27"/>
        <v>292.37011409145134</v>
      </c>
      <c r="X242" s="1">
        <f t="shared" si="27"/>
        <v>264.26874188234132</v>
      </c>
      <c r="Y242" s="1">
        <f t="shared" si="27"/>
        <v>429.0765170360126</v>
      </c>
      <c r="Z242" s="1">
        <f t="shared" si="27"/>
        <v>867.77584494766484</v>
      </c>
      <c r="AA242" s="1">
        <f t="shared" si="27"/>
        <v>130.81690961984725</v>
      </c>
      <c r="AB242" s="1">
        <f t="shared" si="27"/>
        <v>184.54945804544684</v>
      </c>
      <c r="AC242" s="1">
        <f t="shared" si="27"/>
        <v>142.39879947909134</v>
      </c>
      <c r="AD242" s="1">
        <f t="shared" si="27"/>
        <v>291.26399274604813</v>
      </c>
      <c r="AE242" s="1">
        <f t="shared" si="27"/>
        <v>179.83761527092958</v>
      </c>
      <c r="AF242" s="1">
        <f t="shared" si="27"/>
        <v>79.013566197284092</v>
      </c>
      <c r="AG242" s="1">
        <f t="shared" si="27"/>
        <v>424.13906377686402</v>
      </c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1:48" x14ac:dyDescent="0.45">
      <c r="A243" s="8">
        <v>184.82720896225106</v>
      </c>
      <c r="Q243" s="9">
        <v>184.82720896225106</v>
      </c>
      <c r="R243" s="1">
        <f t="shared" si="23"/>
        <v>-91.6509933947126</v>
      </c>
      <c r="S243" s="1">
        <f t="shared" si="25"/>
        <v>371.43707688508533</v>
      </c>
      <c r="T243" s="1">
        <f t="shared" si="24"/>
        <v>200.06010326821254</v>
      </c>
      <c r="U243" s="1">
        <f t="shared" ref="U243:AG258" si="28">T244</f>
        <v>208.77621431110893</v>
      </c>
      <c r="V243" s="1">
        <f t="shared" si="28"/>
        <v>292.37011409145134</v>
      </c>
      <c r="W243" s="1">
        <f t="shared" si="28"/>
        <v>264.26874188234132</v>
      </c>
      <c r="X243" s="1">
        <f t="shared" si="28"/>
        <v>429.0765170360126</v>
      </c>
      <c r="Y243" s="1">
        <f t="shared" si="28"/>
        <v>867.77584494766484</v>
      </c>
      <c r="Z243" s="1">
        <f t="shared" si="28"/>
        <v>130.81690961984725</v>
      </c>
      <c r="AA243" s="1">
        <f t="shared" si="28"/>
        <v>184.54945804544684</v>
      </c>
      <c r="AB243" s="1">
        <f t="shared" si="28"/>
        <v>142.39879947909134</v>
      </c>
      <c r="AC243" s="1">
        <f t="shared" si="28"/>
        <v>291.26399274604813</v>
      </c>
      <c r="AD243" s="1">
        <f t="shared" si="28"/>
        <v>179.83761527092958</v>
      </c>
      <c r="AE243" s="1">
        <f t="shared" si="28"/>
        <v>79.013566197284092</v>
      </c>
      <c r="AF243" s="1">
        <f t="shared" si="28"/>
        <v>424.13906377686402</v>
      </c>
      <c r="AG243" s="1">
        <f t="shared" si="28"/>
        <v>210.27814426747537</v>
      </c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1:48" x14ac:dyDescent="0.45">
      <c r="A244" s="8">
        <v>371.43707688508533</v>
      </c>
      <c r="Q244" s="9">
        <v>371.43707688508533</v>
      </c>
      <c r="R244" s="1">
        <f t="shared" si="23"/>
        <v>94.958874528121669</v>
      </c>
      <c r="S244" s="1">
        <f t="shared" si="25"/>
        <v>200.06010326821254</v>
      </c>
      <c r="T244" s="1">
        <f t="shared" si="24"/>
        <v>208.77621431110893</v>
      </c>
      <c r="U244" s="1">
        <f t="shared" si="28"/>
        <v>292.37011409145134</v>
      </c>
      <c r="V244" s="1">
        <f t="shared" si="28"/>
        <v>264.26874188234132</v>
      </c>
      <c r="W244" s="1">
        <f t="shared" si="28"/>
        <v>429.0765170360126</v>
      </c>
      <c r="X244" s="1">
        <f t="shared" si="28"/>
        <v>867.77584494766484</v>
      </c>
      <c r="Y244" s="1">
        <f t="shared" si="28"/>
        <v>130.81690961984725</v>
      </c>
      <c r="Z244" s="1">
        <f t="shared" si="28"/>
        <v>184.54945804544684</v>
      </c>
      <c r="AA244" s="1">
        <f t="shared" si="28"/>
        <v>142.39879947909134</v>
      </c>
      <c r="AB244" s="1">
        <f t="shared" si="28"/>
        <v>291.26399274604813</v>
      </c>
      <c r="AC244" s="1">
        <f t="shared" si="28"/>
        <v>179.83761527092958</v>
      </c>
      <c r="AD244" s="1">
        <f t="shared" si="28"/>
        <v>79.013566197284092</v>
      </c>
      <c r="AE244" s="1">
        <f t="shared" si="28"/>
        <v>424.13906377686402</v>
      </c>
      <c r="AF244" s="1">
        <f t="shared" si="28"/>
        <v>210.27814426747537</v>
      </c>
      <c r="AG244" s="1">
        <f t="shared" si="28"/>
        <v>334.75080264001713</v>
      </c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 x14ac:dyDescent="0.45">
      <c r="A245" s="8">
        <v>200.06010326821254</v>
      </c>
      <c r="Q245" s="9">
        <v>200.06010326821254</v>
      </c>
      <c r="R245" s="1">
        <f t="shared" si="23"/>
        <v>-76.41809908875112</v>
      </c>
      <c r="S245" s="1">
        <f t="shared" si="25"/>
        <v>208.77621431110893</v>
      </c>
      <c r="T245" s="1">
        <f t="shared" si="24"/>
        <v>292.37011409145134</v>
      </c>
      <c r="U245" s="1">
        <f t="shared" si="28"/>
        <v>264.26874188234132</v>
      </c>
      <c r="V245" s="1">
        <f t="shared" si="28"/>
        <v>429.0765170360126</v>
      </c>
      <c r="W245" s="1">
        <f t="shared" si="28"/>
        <v>867.77584494766484</v>
      </c>
      <c r="X245" s="1">
        <f t="shared" si="28"/>
        <v>130.81690961984725</v>
      </c>
      <c r="Y245" s="1">
        <f t="shared" si="28"/>
        <v>184.54945804544684</v>
      </c>
      <c r="Z245" s="1">
        <f t="shared" si="28"/>
        <v>142.39879947909134</v>
      </c>
      <c r="AA245" s="1">
        <f t="shared" si="28"/>
        <v>291.26399274604813</v>
      </c>
      <c r="AB245" s="1">
        <f t="shared" si="28"/>
        <v>179.83761527092958</v>
      </c>
      <c r="AC245" s="1">
        <f t="shared" si="28"/>
        <v>79.013566197284092</v>
      </c>
      <c r="AD245" s="1">
        <f t="shared" si="28"/>
        <v>424.13906377686402</v>
      </c>
      <c r="AE245" s="1">
        <f t="shared" si="28"/>
        <v>210.27814426747537</v>
      </c>
      <c r="AF245" s="1">
        <f t="shared" si="28"/>
        <v>334.75080264001713</v>
      </c>
      <c r="AG245" s="1">
        <f t="shared" si="28"/>
        <v>518.77563511668131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 x14ac:dyDescent="0.45">
      <c r="A246" s="8">
        <v>208.77621431110893</v>
      </c>
      <c r="Q246" s="9">
        <v>208.77621431110893</v>
      </c>
      <c r="R246" s="1">
        <f t="shared" si="23"/>
        <v>-67.701988045854733</v>
      </c>
      <c r="S246" s="1">
        <f t="shared" si="25"/>
        <v>292.37011409145134</v>
      </c>
      <c r="T246" s="1">
        <f t="shared" si="24"/>
        <v>264.26874188234132</v>
      </c>
      <c r="U246" s="1">
        <f t="shared" si="28"/>
        <v>429.0765170360126</v>
      </c>
      <c r="V246" s="1">
        <f t="shared" si="28"/>
        <v>867.77584494766484</v>
      </c>
      <c r="W246" s="1">
        <f t="shared" si="28"/>
        <v>130.81690961984725</v>
      </c>
      <c r="X246" s="1">
        <f t="shared" si="28"/>
        <v>184.54945804544684</v>
      </c>
      <c r="Y246" s="1">
        <f t="shared" si="28"/>
        <v>142.39879947909134</v>
      </c>
      <c r="Z246" s="1">
        <f t="shared" si="28"/>
        <v>291.26399274604813</v>
      </c>
      <c r="AA246" s="1">
        <f t="shared" si="28"/>
        <v>179.83761527092958</v>
      </c>
      <c r="AB246" s="1">
        <f t="shared" si="28"/>
        <v>79.013566197284092</v>
      </c>
      <c r="AC246" s="1">
        <f t="shared" si="28"/>
        <v>424.13906377686402</v>
      </c>
      <c r="AD246" s="1">
        <f t="shared" si="28"/>
        <v>210.27814426747537</v>
      </c>
      <c r="AE246" s="1">
        <f t="shared" si="28"/>
        <v>334.75080264001713</v>
      </c>
      <c r="AF246" s="1">
        <f t="shared" si="28"/>
        <v>518.77563511668131</v>
      </c>
      <c r="AG246" s="1">
        <f t="shared" si="28"/>
        <v>61.397898222383425</v>
      </c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 x14ac:dyDescent="0.45">
      <c r="A247" s="8">
        <v>292.37011409145134</v>
      </c>
      <c r="Q247" s="9">
        <v>292.37011409145134</v>
      </c>
      <c r="R247" s="1">
        <f t="shared" si="23"/>
        <v>15.891911734487678</v>
      </c>
      <c r="S247" s="1">
        <f t="shared" si="25"/>
        <v>264.26874188234132</v>
      </c>
      <c r="T247" s="1">
        <f t="shared" si="24"/>
        <v>429.0765170360126</v>
      </c>
      <c r="U247" s="1">
        <f t="shared" si="28"/>
        <v>867.77584494766484</v>
      </c>
      <c r="V247" s="1">
        <f t="shared" si="28"/>
        <v>130.81690961984725</v>
      </c>
      <c r="W247" s="1">
        <f t="shared" si="28"/>
        <v>184.54945804544684</v>
      </c>
      <c r="X247" s="1">
        <f t="shared" si="28"/>
        <v>142.39879947909134</v>
      </c>
      <c r="Y247" s="1">
        <f t="shared" si="28"/>
        <v>291.26399274604813</v>
      </c>
      <c r="Z247" s="1">
        <f t="shared" si="28"/>
        <v>179.83761527092958</v>
      </c>
      <c r="AA247" s="1">
        <f t="shared" si="28"/>
        <v>79.013566197284092</v>
      </c>
      <c r="AB247" s="1">
        <f t="shared" si="28"/>
        <v>424.13906377686402</v>
      </c>
      <c r="AC247" s="1">
        <f t="shared" si="28"/>
        <v>210.27814426747537</v>
      </c>
      <c r="AD247" s="1">
        <f t="shared" si="28"/>
        <v>334.75080264001713</v>
      </c>
      <c r="AE247" s="1">
        <f t="shared" si="28"/>
        <v>518.77563511668131</v>
      </c>
      <c r="AF247" s="1">
        <f t="shared" si="28"/>
        <v>61.397898222383425</v>
      </c>
      <c r="AG247" s="1">
        <f t="shared" si="28"/>
        <v>281.6184921872071</v>
      </c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1:48" x14ac:dyDescent="0.45">
      <c r="A248" s="8">
        <v>264.26874188234132</v>
      </c>
      <c r="Q248" s="9">
        <v>264.26874188234132</v>
      </c>
      <c r="R248" s="1">
        <f t="shared" si="23"/>
        <v>-12.209460474622347</v>
      </c>
      <c r="S248" s="1">
        <f t="shared" si="25"/>
        <v>429.0765170360126</v>
      </c>
      <c r="T248" s="1">
        <f t="shared" si="24"/>
        <v>867.77584494766484</v>
      </c>
      <c r="U248" s="1">
        <f t="shared" si="28"/>
        <v>130.81690961984725</v>
      </c>
      <c r="V248" s="1">
        <f t="shared" si="28"/>
        <v>184.54945804544684</v>
      </c>
      <c r="W248" s="1">
        <f t="shared" si="28"/>
        <v>142.39879947909134</v>
      </c>
      <c r="X248" s="1">
        <f t="shared" si="28"/>
        <v>291.26399274604813</v>
      </c>
      <c r="Y248" s="1">
        <f t="shared" si="28"/>
        <v>179.83761527092958</v>
      </c>
      <c r="Z248" s="1">
        <f t="shared" si="28"/>
        <v>79.013566197284092</v>
      </c>
      <c r="AA248" s="1">
        <f t="shared" si="28"/>
        <v>424.13906377686402</v>
      </c>
      <c r="AB248" s="1">
        <f t="shared" si="28"/>
        <v>210.27814426747537</v>
      </c>
      <c r="AC248" s="1">
        <f t="shared" si="28"/>
        <v>334.75080264001713</v>
      </c>
      <c r="AD248" s="1">
        <f t="shared" si="28"/>
        <v>518.77563511668131</v>
      </c>
      <c r="AE248" s="1">
        <f t="shared" si="28"/>
        <v>61.397898222383425</v>
      </c>
      <c r="AF248" s="1">
        <f t="shared" si="28"/>
        <v>281.6184921872071</v>
      </c>
      <c r="AG248" s="1">
        <f t="shared" si="28"/>
        <v>290.77485568812358</v>
      </c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1:48" x14ac:dyDescent="0.45">
      <c r="A249" s="8">
        <v>429.0765170360126</v>
      </c>
      <c r="Q249" s="9">
        <v>429.0765170360126</v>
      </c>
      <c r="R249" s="1">
        <f t="shared" si="23"/>
        <v>152.59831467904894</v>
      </c>
      <c r="S249" s="1">
        <f t="shared" si="25"/>
        <v>867.77584494766484</v>
      </c>
      <c r="T249" s="1">
        <f t="shared" si="24"/>
        <v>130.81690961984725</v>
      </c>
      <c r="U249" s="1">
        <f t="shared" si="28"/>
        <v>184.54945804544684</v>
      </c>
      <c r="V249" s="1">
        <f t="shared" si="28"/>
        <v>142.39879947909134</v>
      </c>
      <c r="W249" s="1">
        <f t="shared" si="28"/>
        <v>291.26399274604813</v>
      </c>
      <c r="X249" s="1">
        <f t="shared" si="28"/>
        <v>179.83761527092958</v>
      </c>
      <c r="Y249" s="1">
        <f t="shared" si="28"/>
        <v>79.013566197284092</v>
      </c>
      <c r="Z249" s="1">
        <f t="shared" si="28"/>
        <v>424.13906377686402</v>
      </c>
      <c r="AA249" s="1">
        <f t="shared" si="28"/>
        <v>210.27814426747537</v>
      </c>
      <c r="AB249" s="1">
        <f t="shared" si="28"/>
        <v>334.75080264001713</v>
      </c>
      <c r="AC249" s="1">
        <f t="shared" si="28"/>
        <v>518.77563511668131</v>
      </c>
      <c r="AD249" s="1">
        <f t="shared" si="28"/>
        <v>61.397898222383425</v>
      </c>
      <c r="AE249" s="1">
        <f t="shared" si="28"/>
        <v>281.6184921872071</v>
      </c>
      <c r="AF249" s="1">
        <f t="shared" si="28"/>
        <v>290.77485568812358</v>
      </c>
      <c r="AG249" s="1">
        <f t="shared" si="28"/>
        <v>620.76555402821157</v>
      </c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 x14ac:dyDescent="0.45">
      <c r="A250" s="8">
        <v>867.77584494766484</v>
      </c>
      <c r="Q250" s="9">
        <v>867.77584494766484</v>
      </c>
      <c r="R250" s="1">
        <f t="shared" si="23"/>
        <v>591.29764259070112</v>
      </c>
      <c r="S250" s="1">
        <f t="shared" si="25"/>
        <v>130.81690961984725</v>
      </c>
      <c r="T250" s="1">
        <f t="shared" si="24"/>
        <v>184.54945804544684</v>
      </c>
      <c r="U250" s="1">
        <f t="shared" si="28"/>
        <v>142.39879947909134</v>
      </c>
      <c r="V250" s="1">
        <f t="shared" si="28"/>
        <v>291.26399274604813</v>
      </c>
      <c r="W250" s="1">
        <f t="shared" si="28"/>
        <v>179.83761527092958</v>
      </c>
      <c r="X250" s="1">
        <f t="shared" si="28"/>
        <v>79.013566197284092</v>
      </c>
      <c r="Y250" s="1">
        <f t="shared" si="28"/>
        <v>424.13906377686402</v>
      </c>
      <c r="Z250" s="1">
        <f t="shared" si="28"/>
        <v>210.27814426747537</v>
      </c>
      <c r="AA250" s="1">
        <f t="shared" si="28"/>
        <v>334.75080264001713</v>
      </c>
      <c r="AB250" s="1">
        <f t="shared" si="28"/>
        <v>518.77563511668131</v>
      </c>
      <c r="AC250" s="1">
        <f t="shared" si="28"/>
        <v>61.397898222383425</v>
      </c>
      <c r="AD250" s="1">
        <f t="shared" si="28"/>
        <v>281.6184921872071</v>
      </c>
      <c r="AE250" s="1">
        <f t="shared" si="28"/>
        <v>290.77485568812358</v>
      </c>
      <c r="AF250" s="1">
        <f t="shared" si="28"/>
        <v>620.76555402821157</v>
      </c>
      <c r="AG250" s="1">
        <f t="shared" si="28"/>
        <v>277.16883007229029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1:48" x14ac:dyDescent="0.45">
      <c r="A251" s="8">
        <v>130.81690961984725</v>
      </c>
      <c r="Q251" s="9">
        <v>130.81690961984725</v>
      </c>
      <c r="R251" s="1">
        <f t="shared" si="23"/>
        <v>-145.66129273711641</v>
      </c>
      <c r="S251" s="1">
        <f t="shared" si="25"/>
        <v>184.54945804544684</v>
      </c>
      <c r="T251" s="1">
        <f t="shared" si="24"/>
        <v>142.39879947909134</v>
      </c>
      <c r="U251" s="1">
        <f t="shared" si="28"/>
        <v>291.26399274604813</v>
      </c>
      <c r="V251" s="1">
        <f t="shared" si="28"/>
        <v>179.83761527092958</v>
      </c>
      <c r="W251" s="1">
        <f t="shared" si="28"/>
        <v>79.013566197284092</v>
      </c>
      <c r="X251" s="1">
        <f t="shared" si="28"/>
        <v>424.13906377686402</v>
      </c>
      <c r="Y251" s="1">
        <f t="shared" si="28"/>
        <v>210.27814426747537</v>
      </c>
      <c r="Z251" s="1">
        <f t="shared" si="28"/>
        <v>334.75080264001713</v>
      </c>
      <c r="AA251" s="1">
        <f t="shared" si="28"/>
        <v>518.77563511668131</v>
      </c>
      <c r="AB251" s="1">
        <f t="shared" si="28"/>
        <v>61.397898222383425</v>
      </c>
      <c r="AC251" s="1">
        <f t="shared" si="28"/>
        <v>281.6184921872071</v>
      </c>
      <c r="AD251" s="1">
        <f t="shared" si="28"/>
        <v>290.77485568812358</v>
      </c>
      <c r="AE251" s="1">
        <f t="shared" si="28"/>
        <v>620.76555402821157</v>
      </c>
      <c r="AF251" s="1">
        <f t="shared" si="28"/>
        <v>277.16883007229029</v>
      </c>
      <c r="AG251" s="1">
        <f t="shared" si="28"/>
        <v>130.53417702164145</v>
      </c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 x14ac:dyDescent="0.45">
      <c r="A252" s="8">
        <v>184.54945804544684</v>
      </c>
      <c r="Q252" s="9">
        <v>184.54945804544684</v>
      </c>
      <c r="R252" s="1">
        <f t="shared" si="23"/>
        <v>-91.928744311516823</v>
      </c>
      <c r="S252" s="1">
        <f t="shared" si="25"/>
        <v>142.39879947909134</v>
      </c>
      <c r="T252" s="1">
        <f t="shared" si="24"/>
        <v>291.26399274604813</v>
      </c>
      <c r="U252" s="1">
        <f t="shared" si="28"/>
        <v>179.83761527092958</v>
      </c>
      <c r="V252" s="1">
        <f t="shared" si="28"/>
        <v>79.013566197284092</v>
      </c>
      <c r="W252" s="1">
        <f t="shared" si="28"/>
        <v>424.13906377686402</v>
      </c>
      <c r="X252" s="1">
        <f t="shared" si="28"/>
        <v>210.27814426747537</v>
      </c>
      <c r="Y252" s="1">
        <f t="shared" si="28"/>
        <v>334.75080264001713</v>
      </c>
      <c r="Z252" s="1">
        <f t="shared" si="28"/>
        <v>518.77563511668131</v>
      </c>
      <c r="AA252" s="1">
        <f t="shared" si="28"/>
        <v>61.397898222383425</v>
      </c>
      <c r="AB252" s="1">
        <f t="shared" si="28"/>
        <v>281.6184921872071</v>
      </c>
      <c r="AC252" s="1">
        <f t="shared" si="28"/>
        <v>290.77485568812358</v>
      </c>
      <c r="AD252" s="1">
        <f t="shared" si="28"/>
        <v>620.76555402821157</v>
      </c>
      <c r="AE252" s="1">
        <f t="shared" si="28"/>
        <v>277.16883007229029</v>
      </c>
      <c r="AF252" s="1">
        <f t="shared" si="28"/>
        <v>130.53417702164145</v>
      </c>
      <c r="AG252" s="1">
        <f t="shared" si="28"/>
        <v>224.6911762536235</v>
      </c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 x14ac:dyDescent="0.45">
      <c r="A253" s="8">
        <v>142.39879947909134</v>
      </c>
      <c r="Q253" s="9">
        <v>142.39879947909134</v>
      </c>
      <c r="R253" s="1">
        <f t="shared" si="23"/>
        <v>-134.07940287787233</v>
      </c>
      <c r="S253" s="1">
        <f t="shared" si="25"/>
        <v>291.26399274604813</v>
      </c>
      <c r="T253" s="1">
        <f t="shared" si="24"/>
        <v>179.83761527092958</v>
      </c>
      <c r="U253" s="1">
        <f t="shared" si="28"/>
        <v>79.013566197284092</v>
      </c>
      <c r="V253" s="1">
        <f t="shared" si="28"/>
        <v>424.13906377686402</v>
      </c>
      <c r="W253" s="1">
        <f t="shared" si="28"/>
        <v>210.27814426747537</v>
      </c>
      <c r="X253" s="1">
        <f t="shared" si="28"/>
        <v>334.75080264001713</v>
      </c>
      <c r="Y253" s="1">
        <f t="shared" si="28"/>
        <v>518.77563511668131</v>
      </c>
      <c r="Z253" s="1">
        <f t="shared" si="28"/>
        <v>61.397898222383425</v>
      </c>
      <c r="AA253" s="1">
        <f t="shared" si="28"/>
        <v>281.6184921872071</v>
      </c>
      <c r="AB253" s="1">
        <f t="shared" si="28"/>
        <v>290.77485568812358</v>
      </c>
      <c r="AC253" s="1">
        <f t="shared" si="28"/>
        <v>620.76555402821157</v>
      </c>
      <c r="AD253" s="1">
        <f t="shared" si="28"/>
        <v>277.16883007229029</v>
      </c>
      <c r="AE253" s="1">
        <f t="shared" si="28"/>
        <v>130.53417702164145</v>
      </c>
      <c r="AF253" s="1">
        <f t="shared" si="28"/>
        <v>224.6911762536235</v>
      </c>
      <c r="AG253" s="1">
        <f t="shared" si="28"/>
        <v>91.293203068559166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1:48" x14ac:dyDescent="0.45">
      <c r="A254" s="8">
        <v>291.26399274604813</v>
      </c>
      <c r="Q254" s="9">
        <v>291.26399274604813</v>
      </c>
      <c r="R254" s="1">
        <f t="shared" si="23"/>
        <v>14.785790389084468</v>
      </c>
      <c r="S254" s="1">
        <f t="shared" si="25"/>
        <v>179.83761527092958</v>
      </c>
      <c r="T254" s="1">
        <f t="shared" si="24"/>
        <v>79.013566197284092</v>
      </c>
      <c r="U254" s="1">
        <f t="shared" si="28"/>
        <v>424.13906377686402</v>
      </c>
      <c r="V254" s="1">
        <f t="shared" si="28"/>
        <v>210.27814426747537</v>
      </c>
      <c r="W254" s="1">
        <f t="shared" si="28"/>
        <v>334.75080264001713</v>
      </c>
      <c r="X254" s="1">
        <f t="shared" si="28"/>
        <v>518.77563511668131</v>
      </c>
      <c r="Y254" s="1">
        <f t="shared" si="28"/>
        <v>61.397898222383425</v>
      </c>
      <c r="Z254" s="1">
        <f t="shared" si="28"/>
        <v>281.6184921872071</v>
      </c>
      <c r="AA254" s="1">
        <f t="shared" si="28"/>
        <v>290.77485568812358</v>
      </c>
      <c r="AB254" s="1">
        <f t="shared" si="28"/>
        <v>620.76555402821157</v>
      </c>
      <c r="AC254" s="1">
        <f t="shared" si="28"/>
        <v>277.16883007229029</v>
      </c>
      <c r="AD254" s="1">
        <f t="shared" si="28"/>
        <v>130.53417702164145</v>
      </c>
      <c r="AE254" s="1">
        <f t="shared" si="28"/>
        <v>224.6911762536235</v>
      </c>
      <c r="AF254" s="1">
        <f t="shared" si="28"/>
        <v>91.293203068559166</v>
      </c>
      <c r="AG254" s="1">
        <f t="shared" si="28"/>
        <v>489.83729786120944</v>
      </c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1:48" x14ac:dyDescent="0.45">
      <c r="A255" s="8">
        <v>179.83761527092958</v>
      </c>
      <c r="Q255" s="9">
        <v>179.83761527092958</v>
      </c>
      <c r="R255" s="1">
        <f t="shared" si="23"/>
        <v>-96.640587086034088</v>
      </c>
      <c r="S255" s="1">
        <f t="shared" si="25"/>
        <v>79.013566197284092</v>
      </c>
      <c r="T255" s="1">
        <f t="shared" si="24"/>
        <v>424.13906377686402</v>
      </c>
      <c r="U255" s="1">
        <f t="shared" si="28"/>
        <v>210.27814426747537</v>
      </c>
      <c r="V255" s="1">
        <f t="shared" si="28"/>
        <v>334.75080264001713</v>
      </c>
      <c r="W255" s="1">
        <f t="shared" si="28"/>
        <v>518.77563511668131</v>
      </c>
      <c r="X255" s="1">
        <f t="shared" si="28"/>
        <v>61.397898222383425</v>
      </c>
      <c r="Y255" s="1">
        <f t="shared" si="28"/>
        <v>281.6184921872071</v>
      </c>
      <c r="Z255" s="1">
        <f t="shared" si="28"/>
        <v>290.77485568812358</v>
      </c>
      <c r="AA255" s="1">
        <f t="shared" si="28"/>
        <v>620.76555402821157</v>
      </c>
      <c r="AB255" s="1">
        <f t="shared" si="28"/>
        <v>277.16883007229029</v>
      </c>
      <c r="AC255" s="1">
        <f t="shared" si="28"/>
        <v>130.53417702164145</v>
      </c>
      <c r="AD255" s="1">
        <f t="shared" si="28"/>
        <v>224.6911762536235</v>
      </c>
      <c r="AE255" s="1">
        <f t="shared" si="28"/>
        <v>91.293203068559166</v>
      </c>
      <c r="AF255" s="1">
        <f t="shared" si="28"/>
        <v>489.83729786120944</v>
      </c>
      <c r="AG255" s="1">
        <f t="shared" si="28"/>
        <v>171.93808248286928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1:48" x14ac:dyDescent="0.45">
      <c r="A256" s="8">
        <v>79.013566197284092</v>
      </c>
      <c r="Q256" s="9">
        <v>79.013566197284092</v>
      </c>
      <c r="R256" s="1">
        <f t="shared" si="23"/>
        <v>-197.46463615967957</v>
      </c>
      <c r="S256" s="1">
        <f t="shared" si="25"/>
        <v>424.13906377686402</v>
      </c>
      <c r="T256" s="1">
        <f t="shared" si="24"/>
        <v>210.27814426747537</v>
      </c>
      <c r="U256" s="1">
        <f t="shared" si="28"/>
        <v>334.75080264001713</v>
      </c>
      <c r="V256" s="1">
        <f t="shared" si="28"/>
        <v>518.77563511668131</v>
      </c>
      <c r="W256" s="1">
        <f t="shared" si="28"/>
        <v>61.397898222383425</v>
      </c>
      <c r="X256" s="1">
        <f t="shared" si="28"/>
        <v>281.6184921872071</v>
      </c>
      <c r="Y256" s="1">
        <f t="shared" si="28"/>
        <v>290.77485568812358</v>
      </c>
      <c r="Z256" s="1">
        <f t="shared" si="28"/>
        <v>620.76555402821157</v>
      </c>
      <c r="AA256" s="1">
        <f t="shared" si="28"/>
        <v>277.16883007229029</v>
      </c>
      <c r="AB256" s="1">
        <f t="shared" si="28"/>
        <v>130.53417702164145</v>
      </c>
      <c r="AC256" s="1">
        <f t="shared" si="28"/>
        <v>224.6911762536235</v>
      </c>
      <c r="AD256" s="1">
        <f t="shared" si="28"/>
        <v>91.293203068559166</v>
      </c>
      <c r="AE256" s="1">
        <f t="shared" si="28"/>
        <v>489.83729786120944</v>
      </c>
      <c r="AF256" s="1">
        <f t="shared" si="28"/>
        <v>171.93808248286928</v>
      </c>
      <c r="AG256" s="1">
        <f t="shared" si="28"/>
        <v>127.74069801309761</v>
      </c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1:48" x14ac:dyDescent="0.45">
      <c r="A257" s="8">
        <v>424.13906377686402</v>
      </c>
      <c r="Q257" s="9">
        <v>424.13906377686402</v>
      </c>
      <c r="R257" s="1">
        <f t="shared" si="23"/>
        <v>147.66086141990036</v>
      </c>
      <c r="S257" s="1">
        <f t="shared" si="25"/>
        <v>210.27814426747537</v>
      </c>
      <c r="T257" s="1">
        <f t="shared" si="24"/>
        <v>334.75080264001713</v>
      </c>
      <c r="U257" s="1">
        <f t="shared" si="28"/>
        <v>518.77563511668131</v>
      </c>
      <c r="V257" s="1">
        <f t="shared" si="28"/>
        <v>61.397898222383425</v>
      </c>
      <c r="W257" s="1">
        <f t="shared" si="28"/>
        <v>281.6184921872071</v>
      </c>
      <c r="X257" s="1">
        <f t="shared" si="28"/>
        <v>290.77485568812358</v>
      </c>
      <c r="Y257" s="1">
        <f t="shared" si="28"/>
        <v>620.76555402821157</v>
      </c>
      <c r="Z257" s="1">
        <f t="shared" si="28"/>
        <v>277.16883007229029</v>
      </c>
      <c r="AA257" s="1">
        <f t="shared" si="28"/>
        <v>130.53417702164145</v>
      </c>
      <c r="AB257" s="1">
        <f t="shared" si="28"/>
        <v>224.6911762536235</v>
      </c>
      <c r="AC257" s="1">
        <f t="shared" si="28"/>
        <v>91.293203068559166</v>
      </c>
      <c r="AD257" s="1">
        <f t="shared" si="28"/>
        <v>489.83729786120944</v>
      </c>
      <c r="AE257" s="1">
        <f t="shared" si="28"/>
        <v>171.93808248286928</v>
      </c>
      <c r="AF257" s="1">
        <f t="shared" si="28"/>
        <v>127.74069801309761</v>
      </c>
      <c r="AG257" s="1">
        <f t="shared" si="28"/>
        <v>662.8111931353335</v>
      </c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1:48" x14ac:dyDescent="0.45">
      <c r="A258" s="8">
        <v>210.27814426747537</v>
      </c>
      <c r="Q258" s="9">
        <v>210.27814426747537</v>
      </c>
      <c r="R258" s="1">
        <f t="shared" si="23"/>
        <v>-66.200058089488294</v>
      </c>
      <c r="S258" s="1">
        <f t="shared" si="25"/>
        <v>334.75080264001713</v>
      </c>
      <c r="T258" s="1">
        <f t="shared" si="24"/>
        <v>518.77563511668131</v>
      </c>
      <c r="U258" s="1">
        <f t="shared" si="28"/>
        <v>61.397898222383425</v>
      </c>
      <c r="V258" s="1">
        <f t="shared" si="28"/>
        <v>281.6184921872071</v>
      </c>
      <c r="W258" s="1">
        <f t="shared" si="28"/>
        <v>290.77485568812358</v>
      </c>
      <c r="X258" s="1">
        <f t="shared" si="28"/>
        <v>620.76555402821157</v>
      </c>
      <c r="Y258" s="1">
        <f t="shared" si="28"/>
        <v>277.16883007229029</v>
      </c>
      <c r="Z258" s="1">
        <f t="shared" si="28"/>
        <v>130.53417702164145</v>
      </c>
      <c r="AA258" s="1">
        <f t="shared" si="28"/>
        <v>224.6911762536235</v>
      </c>
      <c r="AB258" s="1">
        <f t="shared" si="28"/>
        <v>91.293203068559166</v>
      </c>
      <c r="AC258" s="1">
        <f t="shared" si="28"/>
        <v>489.83729786120944</v>
      </c>
      <c r="AD258" s="1">
        <f t="shared" si="28"/>
        <v>171.93808248286928</v>
      </c>
      <c r="AE258" s="1">
        <f t="shared" si="28"/>
        <v>127.74069801309761</v>
      </c>
      <c r="AF258" s="1">
        <f t="shared" si="28"/>
        <v>662.8111931353335</v>
      </c>
      <c r="AG258" s="1">
        <f t="shared" si="28"/>
        <v>313.04575332232662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1:48" x14ac:dyDescent="0.45">
      <c r="A259" s="8">
        <v>334.75080264001713</v>
      </c>
      <c r="Q259" s="9">
        <v>334.75080264001713</v>
      </c>
      <c r="R259" s="1">
        <f t="shared" si="23"/>
        <v>58.272600283053464</v>
      </c>
      <c r="S259" s="1">
        <f t="shared" si="25"/>
        <v>518.77563511668131</v>
      </c>
      <c r="T259" s="1">
        <f t="shared" si="24"/>
        <v>61.397898222383425</v>
      </c>
      <c r="U259" s="1">
        <f t="shared" ref="U259:AG260" si="29">T260</f>
        <v>281.6184921872071</v>
      </c>
      <c r="V259" s="1">
        <f t="shared" si="29"/>
        <v>290.77485568812358</v>
      </c>
      <c r="W259" s="1">
        <f t="shared" si="29"/>
        <v>620.76555402821157</v>
      </c>
      <c r="X259" s="1">
        <f t="shared" si="29"/>
        <v>277.16883007229029</v>
      </c>
      <c r="Y259" s="1">
        <f t="shared" si="29"/>
        <v>130.53417702164145</v>
      </c>
      <c r="Z259" s="1">
        <f t="shared" si="29"/>
        <v>224.6911762536235</v>
      </c>
      <c r="AA259" s="1">
        <f t="shared" si="29"/>
        <v>91.293203068559166</v>
      </c>
      <c r="AB259" s="1">
        <f t="shared" si="29"/>
        <v>489.83729786120944</v>
      </c>
      <c r="AC259" s="1">
        <f t="shared" si="29"/>
        <v>171.93808248286928</v>
      </c>
      <c r="AD259" s="1">
        <f t="shared" si="29"/>
        <v>127.74069801309761</v>
      </c>
      <c r="AE259" s="1">
        <f t="shared" si="29"/>
        <v>662.8111931353335</v>
      </c>
      <c r="AF259" s="1">
        <f t="shared" si="29"/>
        <v>313.04575332232662</v>
      </c>
      <c r="AG259" s="1">
        <f t="shared" si="29"/>
        <v>310.21369813644799</v>
      </c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1:48" x14ac:dyDescent="0.45">
      <c r="A260" s="8">
        <v>518.77563511668131</v>
      </c>
      <c r="Q260" s="9">
        <v>518.77563511668131</v>
      </c>
      <c r="R260" s="1">
        <f t="shared" si="23"/>
        <v>242.29743275971765</v>
      </c>
      <c r="S260" s="1">
        <f t="shared" si="25"/>
        <v>61.397898222383425</v>
      </c>
      <c r="T260" s="1">
        <f t="shared" si="24"/>
        <v>281.6184921872071</v>
      </c>
      <c r="U260" s="1">
        <f t="shared" si="29"/>
        <v>290.77485568812358</v>
      </c>
      <c r="V260" s="1">
        <f t="shared" si="29"/>
        <v>620.76555402821157</v>
      </c>
      <c r="W260" s="1">
        <f t="shared" si="29"/>
        <v>277.16883007229029</v>
      </c>
      <c r="X260" s="1">
        <f t="shared" si="29"/>
        <v>130.53417702164145</v>
      </c>
      <c r="Y260" s="1">
        <f t="shared" si="29"/>
        <v>224.6911762536235</v>
      </c>
      <c r="Z260" s="1">
        <f t="shared" si="29"/>
        <v>91.293203068559166</v>
      </c>
      <c r="AA260" s="1">
        <f t="shared" si="29"/>
        <v>489.83729786120944</v>
      </c>
      <c r="AB260" s="1">
        <f t="shared" si="29"/>
        <v>171.93808248286928</v>
      </c>
      <c r="AC260" s="1">
        <f t="shared" si="29"/>
        <v>127.74069801309761</v>
      </c>
      <c r="AD260" s="1">
        <f t="shared" si="29"/>
        <v>662.8111931353335</v>
      </c>
      <c r="AE260" s="1">
        <f t="shared" si="29"/>
        <v>313.04575332232662</v>
      </c>
      <c r="AF260" s="1">
        <f t="shared" si="29"/>
        <v>310.21369813644799</v>
      </c>
      <c r="AG260" s="1">
        <f t="shared" si="29"/>
        <v>92.858391169629328</v>
      </c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1:48" x14ac:dyDescent="0.45">
      <c r="A261" s="8">
        <v>61.397898222383425</v>
      </c>
      <c r="Q261" s="9">
        <v>61.397898222383425</v>
      </c>
      <c r="R261" s="1">
        <f t="shared" ref="R261:R303" si="30">Q261-$F$30</f>
        <v>-215.08030413458025</v>
      </c>
      <c r="S261" s="1">
        <f t="shared" si="25"/>
        <v>281.6184921872071</v>
      </c>
      <c r="T261" s="1">
        <f t="shared" ref="T261:AG302" si="31">S262</f>
        <v>290.77485568812358</v>
      </c>
      <c r="U261" s="1">
        <f t="shared" si="31"/>
        <v>620.76555402821157</v>
      </c>
      <c r="V261" s="1">
        <f t="shared" si="31"/>
        <v>277.16883007229029</v>
      </c>
      <c r="W261" s="1">
        <f t="shared" si="31"/>
        <v>130.53417702164145</v>
      </c>
      <c r="X261" s="1">
        <f t="shared" si="31"/>
        <v>224.6911762536235</v>
      </c>
      <c r="Y261" s="1">
        <f t="shared" si="31"/>
        <v>91.293203068559166</v>
      </c>
      <c r="Z261" s="1">
        <f t="shared" si="31"/>
        <v>489.83729786120944</v>
      </c>
      <c r="AA261" s="1">
        <f t="shared" si="31"/>
        <v>171.93808248286928</v>
      </c>
      <c r="AB261" s="1">
        <f t="shared" si="31"/>
        <v>127.74069801309761</v>
      </c>
      <c r="AC261" s="1">
        <f t="shared" si="31"/>
        <v>662.8111931353335</v>
      </c>
      <c r="AD261" s="1">
        <f t="shared" si="31"/>
        <v>313.04575332232662</v>
      </c>
      <c r="AE261" s="1">
        <f t="shared" si="31"/>
        <v>310.21369813644799</v>
      </c>
      <c r="AF261" s="1">
        <f t="shared" si="31"/>
        <v>92.858391169629328</v>
      </c>
      <c r="AG261" s="1">
        <f t="shared" si="31"/>
        <v>124.30171322792503</v>
      </c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1:48" x14ac:dyDescent="0.45">
      <c r="A262" s="8">
        <v>281.6184921872071</v>
      </c>
      <c r="Q262" s="9">
        <v>281.6184921872071</v>
      </c>
      <c r="R262" s="1">
        <f t="shared" si="30"/>
        <v>5.1402898302434323</v>
      </c>
      <c r="S262" s="1">
        <f t="shared" ref="S262:S302" si="32">Q263</f>
        <v>290.77485568812358</v>
      </c>
      <c r="T262" s="1">
        <f t="shared" si="31"/>
        <v>620.76555402821157</v>
      </c>
      <c r="U262" s="1">
        <f t="shared" si="31"/>
        <v>277.16883007229029</v>
      </c>
      <c r="V262" s="1">
        <f t="shared" si="31"/>
        <v>130.53417702164145</v>
      </c>
      <c r="W262" s="1">
        <f t="shared" si="31"/>
        <v>224.6911762536235</v>
      </c>
      <c r="X262" s="1">
        <f t="shared" si="31"/>
        <v>91.293203068559166</v>
      </c>
      <c r="Y262" s="1">
        <f t="shared" si="31"/>
        <v>489.83729786120944</v>
      </c>
      <c r="Z262" s="1">
        <f t="shared" si="31"/>
        <v>171.93808248286928</v>
      </c>
      <c r="AA262" s="1">
        <f t="shared" si="31"/>
        <v>127.74069801309761</v>
      </c>
      <c r="AB262" s="1">
        <f t="shared" si="31"/>
        <v>662.8111931353335</v>
      </c>
      <c r="AC262" s="1">
        <f t="shared" si="31"/>
        <v>313.04575332232662</v>
      </c>
      <c r="AD262" s="1">
        <f t="shared" si="31"/>
        <v>310.21369813644799</v>
      </c>
      <c r="AE262" s="1">
        <f t="shared" si="31"/>
        <v>92.858391169629328</v>
      </c>
      <c r="AF262" s="1">
        <f t="shared" si="31"/>
        <v>124.30171322792503</v>
      </c>
      <c r="AG262" s="1">
        <f t="shared" si="31"/>
        <v>323.14036860304128</v>
      </c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1:48" x14ac:dyDescent="0.45">
      <c r="A263" s="8">
        <v>290.77485568812358</v>
      </c>
      <c r="Q263" s="9">
        <v>290.77485568812358</v>
      </c>
      <c r="R263" s="1">
        <f t="shared" si="30"/>
        <v>14.296653331159916</v>
      </c>
      <c r="S263" s="1">
        <f t="shared" si="32"/>
        <v>620.76555402821157</v>
      </c>
      <c r="T263" s="1">
        <f t="shared" si="31"/>
        <v>277.16883007229029</v>
      </c>
      <c r="U263" s="1">
        <f t="shared" si="31"/>
        <v>130.53417702164145</v>
      </c>
      <c r="V263" s="1">
        <f t="shared" si="31"/>
        <v>224.6911762536235</v>
      </c>
      <c r="W263" s="1">
        <f t="shared" si="31"/>
        <v>91.293203068559166</v>
      </c>
      <c r="X263" s="1">
        <f t="shared" si="31"/>
        <v>489.83729786120944</v>
      </c>
      <c r="Y263" s="1">
        <f t="shared" si="31"/>
        <v>171.93808248286928</v>
      </c>
      <c r="Z263" s="1">
        <f t="shared" si="31"/>
        <v>127.74069801309761</v>
      </c>
      <c r="AA263" s="1">
        <f t="shared" si="31"/>
        <v>662.8111931353335</v>
      </c>
      <c r="AB263" s="1">
        <f t="shared" si="31"/>
        <v>313.04575332232662</v>
      </c>
      <c r="AC263" s="1">
        <f t="shared" si="31"/>
        <v>310.21369813644799</v>
      </c>
      <c r="AD263" s="1">
        <f t="shared" si="31"/>
        <v>92.858391169629328</v>
      </c>
      <c r="AE263" s="1">
        <f t="shared" si="31"/>
        <v>124.30171322792503</v>
      </c>
      <c r="AF263" s="1">
        <f t="shared" si="31"/>
        <v>323.14036860304128</v>
      </c>
      <c r="AG263" s="1">
        <f t="shared" si="31"/>
        <v>149.17970318256215</v>
      </c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1:48" x14ac:dyDescent="0.45">
      <c r="A264" s="8">
        <v>620.76555402821157</v>
      </c>
      <c r="Q264" s="9">
        <v>620.76555402821157</v>
      </c>
      <c r="R264" s="1">
        <f t="shared" si="30"/>
        <v>344.2873516712479</v>
      </c>
      <c r="S264" s="1">
        <f t="shared" si="32"/>
        <v>277.16883007229029</v>
      </c>
      <c r="T264" s="1">
        <f t="shared" si="31"/>
        <v>130.53417702164145</v>
      </c>
      <c r="U264" s="1">
        <f t="shared" si="31"/>
        <v>224.6911762536235</v>
      </c>
      <c r="V264" s="1">
        <f t="shared" si="31"/>
        <v>91.293203068559166</v>
      </c>
      <c r="W264" s="1">
        <f t="shared" si="31"/>
        <v>489.83729786120944</v>
      </c>
      <c r="X264" s="1">
        <f t="shared" si="31"/>
        <v>171.93808248286928</v>
      </c>
      <c r="Y264" s="1">
        <f t="shared" si="31"/>
        <v>127.74069801309761</v>
      </c>
      <c r="Z264" s="1">
        <f t="shared" si="31"/>
        <v>662.8111931353335</v>
      </c>
      <c r="AA264" s="1">
        <f t="shared" si="31"/>
        <v>313.04575332232662</v>
      </c>
      <c r="AB264" s="1">
        <f t="shared" si="31"/>
        <v>310.21369813644799</v>
      </c>
      <c r="AC264" s="1">
        <f t="shared" si="31"/>
        <v>92.858391169629328</v>
      </c>
      <c r="AD264" s="1">
        <f t="shared" si="31"/>
        <v>124.30171322792503</v>
      </c>
      <c r="AE264" s="1">
        <f t="shared" si="31"/>
        <v>323.14036860304128</v>
      </c>
      <c r="AF264" s="1">
        <f t="shared" si="31"/>
        <v>149.17970318256215</v>
      </c>
      <c r="AG264" s="1">
        <f t="shared" si="31"/>
        <v>80.646400483547254</v>
      </c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1:48" x14ac:dyDescent="0.45">
      <c r="A265" s="8">
        <v>277.16883007229029</v>
      </c>
      <c r="Q265" s="9">
        <v>277.16883007229029</v>
      </c>
      <c r="R265" s="1">
        <f t="shared" si="30"/>
        <v>0.69062771532662737</v>
      </c>
      <c r="S265" s="1">
        <f t="shared" si="32"/>
        <v>130.53417702164145</v>
      </c>
      <c r="T265" s="1">
        <f t="shared" si="31"/>
        <v>224.6911762536235</v>
      </c>
      <c r="U265" s="1">
        <f t="shared" si="31"/>
        <v>91.293203068559166</v>
      </c>
      <c r="V265" s="1">
        <f t="shared" si="31"/>
        <v>489.83729786120944</v>
      </c>
      <c r="W265" s="1">
        <f t="shared" si="31"/>
        <v>171.93808248286928</v>
      </c>
      <c r="X265" s="1">
        <f t="shared" si="31"/>
        <v>127.74069801309761</v>
      </c>
      <c r="Y265" s="1">
        <f t="shared" si="31"/>
        <v>662.8111931353335</v>
      </c>
      <c r="Z265" s="1">
        <f t="shared" si="31"/>
        <v>313.04575332232662</v>
      </c>
      <c r="AA265" s="1">
        <f t="shared" si="31"/>
        <v>310.21369813644799</v>
      </c>
      <c r="AB265" s="1">
        <f t="shared" si="31"/>
        <v>92.858391169629328</v>
      </c>
      <c r="AC265" s="1">
        <f t="shared" si="31"/>
        <v>124.30171322792503</v>
      </c>
      <c r="AD265" s="1">
        <f t="shared" si="31"/>
        <v>323.14036860304128</v>
      </c>
      <c r="AE265" s="1">
        <f t="shared" si="31"/>
        <v>149.17970318256215</v>
      </c>
      <c r="AF265" s="1">
        <f t="shared" si="31"/>
        <v>80.646400483547254</v>
      </c>
      <c r="AG265" s="1">
        <f t="shared" si="31"/>
        <v>454.99203276299579</v>
      </c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1:48" x14ac:dyDescent="0.45">
      <c r="A266" s="8">
        <v>130.53417702164145</v>
      </c>
      <c r="Q266" s="9">
        <v>130.53417702164145</v>
      </c>
      <c r="R266" s="1">
        <f t="shared" si="30"/>
        <v>-145.94402533532221</v>
      </c>
      <c r="S266" s="1">
        <f t="shared" si="32"/>
        <v>224.6911762536235</v>
      </c>
      <c r="T266" s="1">
        <f t="shared" si="31"/>
        <v>91.293203068559166</v>
      </c>
      <c r="U266" s="1">
        <f t="shared" si="31"/>
        <v>489.83729786120944</v>
      </c>
      <c r="V266" s="1">
        <f t="shared" si="31"/>
        <v>171.93808248286928</v>
      </c>
      <c r="W266" s="1">
        <f t="shared" si="31"/>
        <v>127.74069801309761</v>
      </c>
      <c r="X266" s="1">
        <f t="shared" si="31"/>
        <v>662.8111931353335</v>
      </c>
      <c r="Y266" s="1">
        <f t="shared" si="31"/>
        <v>313.04575332232662</v>
      </c>
      <c r="Z266" s="1">
        <f t="shared" si="31"/>
        <v>310.21369813644799</v>
      </c>
      <c r="AA266" s="1">
        <f t="shared" si="31"/>
        <v>92.858391169629328</v>
      </c>
      <c r="AB266" s="1">
        <f t="shared" si="31"/>
        <v>124.30171322792503</v>
      </c>
      <c r="AC266" s="1">
        <f t="shared" si="31"/>
        <v>323.14036860304128</v>
      </c>
      <c r="AD266" s="1">
        <f t="shared" si="31"/>
        <v>149.17970318256215</v>
      </c>
      <c r="AE266" s="1">
        <f t="shared" si="31"/>
        <v>80.646400483547254</v>
      </c>
      <c r="AF266" s="1">
        <f t="shared" si="31"/>
        <v>454.99203276299579</v>
      </c>
      <c r="AG266" s="1">
        <f t="shared" si="31"/>
        <v>332.40057234751691</v>
      </c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1:48" x14ac:dyDescent="0.45">
      <c r="A267" s="8">
        <v>224.6911762536235</v>
      </c>
      <c r="Q267" s="9">
        <v>224.6911762536235</v>
      </c>
      <c r="R267" s="1">
        <f t="shared" si="30"/>
        <v>-51.787026103340168</v>
      </c>
      <c r="S267" s="1">
        <f t="shared" si="32"/>
        <v>91.293203068559166</v>
      </c>
      <c r="T267" s="1">
        <f t="shared" si="31"/>
        <v>489.83729786120944</v>
      </c>
      <c r="U267" s="1">
        <f t="shared" si="31"/>
        <v>171.93808248286928</v>
      </c>
      <c r="V267" s="1">
        <f t="shared" si="31"/>
        <v>127.74069801309761</v>
      </c>
      <c r="W267" s="1">
        <f t="shared" si="31"/>
        <v>662.8111931353335</v>
      </c>
      <c r="X267" s="1">
        <f t="shared" si="31"/>
        <v>313.04575332232662</v>
      </c>
      <c r="Y267" s="1">
        <f t="shared" si="31"/>
        <v>310.21369813644799</v>
      </c>
      <c r="Z267" s="1">
        <f t="shared" si="31"/>
        <v>92.858391169629328</v>
      </c>
      <c r="AA267" s="1">
        <f t="shared" si="31"/>
        <v>124.30171322792503</v>
      </c>
      <c r="AB267" s="1">
        <f t="shared" si="31"/>
        <v>323.14036860304128</v>
      </c>
      <c r="AC267" s="1">
        <f t="shared" si="31"/>
        <v>149.17970318256215</v>
      </c>
      <c r="AD267" s="1">
        <f t="shared" si="31"/>
        <v>80.646400483547254</v>
      </c>
      <c r="AE267" s="1">
        <f t="shared" si="31"/>
        <v>454.99203276299579</v>
      </c>
      <c r="AF267" s="1">
        <f t="shared" si="31"/>
        <v>332.40057234751691</v>
      </c>
      <c r="AG267" s="1">
        <f t="shared" si="31"/>
        <v>612.4557931085468</v>
      </c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1:48" x14ac:dyDescent="0.45">
      <c r="A268" s="8">
        <v>91.293203068559166</v>
      </c>
      <c r="Q268" s="9">
        <v>91.293203068559166</v>
      </c>
      <c r="R268" s="1">
        <f t="shared" si="30"/>
        <v>-185.1849992884045</v>
      </c>
      <c r="S268" s="1">
        <f t="shared" si="32"/>
        <v>489.83729786120944</v>
      </c>
      <c r="T268" s="1">
        <f t="shared" si="31"/>
        <v>171.93808248286928</v>
      </c>
      <c r="U268" s="1">
        <f t="shared" si="31"/>
        <v>127.74069801309761</v>
      </c>
      <c r="V268" s="1">
        <f t="shared" si="31"/>
        <v>662.8111931353335</v>
      </c>
      <c r="W268" s="1">
        <f t="shared" si="31"/>
        <v>313.04575332232662</v>
      </c>
      <c r="X268" s="1">
        <f t="shared" si="31"/>
        <v>310.21369813644799</v>
      </c>
      <c r="Y268" s="1">
        <f t="shared" si="31"/>
        <v>92.858391169629328</v>
      </c>
      <c r="Z268" s="1">
        <f t="shared" si="31"/>
        <v>124.30171322792503</v>
      </c>
      <c r="AA268" s="1">
        <f t="shared" si="31"/>
        <v>323.14036860304128</v>
      </c>
      <c r="AB268" s="1">
        <f t="shared" si="31"/>
        <v>149.17970318256215</v>
      </c>
      <c r="AC268" s="1">
        <f t="shared" si="31"/>
        <v>80.646400483547254</v>
      </c>
      <c r="AD268" s="1">
        <f t="shared" si="31"/>
        <v>454.99203276299579</v>
      </c>
      <c r="AE268" s="1">
        <f t="shared" si="31"/>
        <v>332.40057234751691</v>
      </c>
      <c r="AF268" s="1">
        <f t="shared" si="31"/>
        <v>612.4557931085468</v>
      </c>
      <c r="AG268" s="1">
        <f t="shared" si="31"/>
        <v>572.58474270260967</v>
      </c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1:48" x14ac:dyDescent="0.45">
      <c r="A269" s="8">
        <v>489.83729786120944</v>
      </c>
      <c r="Q269" s="9">
        <v>489.83729786120944</v>
      </c>
      <c r="R269" s="1">
        <f t="shared" si="30"/>
        <v>213.35909550424577</v>
      </c>
      <c r="S269" s="1">
        <f t="shared" si="32"/>
        <v>171.93808248286928</v>
      </c>
      <c r="T269" s="1">
        <f t="shared" si="31"/>
        <v>127.74069801309761</v>
      </c>
      <c r="U269" s="1">
        <f t="shared" si="31"/>
        <v>662.8111931353335</v>
      </c>
      <c r="V269" s="1">
        <f t="shared" si="31"/>
        <v>313.04575332232662</v>
      </c>
      <c r="W269" s="1">
        <f t="shared" si="31"/>
        <v>310.21369813644799</v>
      </c>
      <c r="X269" s="1">
        <f t="shared" si="31"/>
        <v>92.858391169629328</v>
      </c>
      <c r="Y269" s="1">
        <f t="shared" si="31"/>
        <v>124.30171322792503</v>
      </c>
      <c r="Z269" s="1">
        <f t="shared" si="31"/>
        <v>323.14036860304128</v>
      </c>
      <c r="AA269" s="1">
        <f t="shared" si="31"/>
        <v>149.17970318256215</v>
      </c>
      <c r="AB269" s="1">
        <f t="shared" si="31"/>
        <v>80.646400483547254</v>
      </c>
      <c r="AC269" s="1">
        <f t="shared" si="31"/>
        <v>454.99203276299579</v>
      </c>
      <c r="AD269" s="1">
        <f t="shared" si="31"/>
        <v>332.40057234751691</v>
      </c>
      <c r="AE269" s="1">
        <f t="shared" si="31"/>
        <v>612.4557931085468</v>
      </c>
      <c r="AF269" s="1">
        <f t="shared" si="31"/>
        <v>572.58474270260967</v>
      </c>
      <c r="AG269" s="1">
        <f t="shared" si="31"/>
        <v>56.083659595874558</v>
      </c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1:48" x14ac:dyDescent="0.45">
      <c r="A270" s="8">
        <v>171.93808248286928</v>
      </c>
      <c r="Q270" s="9">
        <v>171.93808248286928</v>
      </c>
      <c r="R270" s="1">
        <f t="shared" si="30"/>
        <v>-104.54011987409439</v>
      </c>
      <c r="S270" s="1">
        <f t="shared" si="32"/>
        <v>127.74069801309761</v>
      </c>
      <c r="T270" s="1">
        <f t="shared" si="31"/>
        <v>662.8111931353335</v>
      </c>
      <c r="U270" s="1">
        <f t="shared" si="31"/>
        <v>313.04575332232662</v>
      </c>
      <c r="V270" s="1">
        <f t="shared" si="31"/>
        <v>310.21369813644799</v>
      </c>
      <c r="W270" s="1">
        <f t="shared" si="31"/>
        <v>92.858391169629328</v>
      </c>
      <c r="X270" s="1">
        <f t="shared" si="31"/>
        <v>124.30171322792503</v>
      </c>
      <c r="Y270" s="1">
        <f t="shared" si="31"/>
        <v>323.14036860304128</v>
      </c>
      <c r="Z270" s="1">
        <f t="shared" si="31"/>
        <v>149.17970318256215</v>
      </c>
      <c r="AA270" s="1">
        <f t="shared" si="31"/>
        <v>80.646400483547254</v>
      </c>
      <c r="AB270" s="1">
        <f t="shared" si="31"/>
        <v>454.99203276299579</v>
      </c>
      <c r="AC270" s="1">
        <f t="shared" si="31"/>
        <v>332.40057234751691</v>
      </c>
      <c r="AD270" s="1">
        <f t="shared" si="31"/>
        <v>612.4557931085468</v>
      </c>
      <c r="AE270" s="1">
        <f t="shared" si="31"/>
        <v>572.58474270260967</v>
      </c>
      <c r="AF270" s="1">
        <f t="shared" si="31"/>
        <v>56.083659595874558</v>
      </c>
      <c r="AG270" s="1">
        <f t="shared" si="31"/>
        <v>329.4403542661974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1:48" x14ac:dyDescent="0.45">
      <c r="A271" s="8">
        <v>127.74069801309761</v>
      </c>
      <c r="Q271" s="9">
        <v>127.74069801309761</v>
      </c>
      <c r="R271" s="1">
        <f t="shared" si="30"/>
        <v>-148.73750434386605</v>
      </c>
      <c r="S271" s="1">
        <f t="shared" si="32"/>
        <v>662.8111931353335</v>
      </c>
      <c r="T271" s="1">
        <f t="shared" si="31"/>
        <v>313.04575332232662</v>
      </c>
      <c r="U271" s="1">
        <f t="shared" si="31"/>
        <v>310.21369813644799</v>
      </c>
      <c r="V271" s="1">
        <f t="shared" si="31"/>
        <v>92.858391169629328</v>
      </c>
      <c r="W271" s="1">
        <f t="shared" si="31"/>
        <v>124.30171322792503</v>
      </c>
      <c r="X271" s="1">
        <f t="shared" si="31"/>
        <v>323.14036860304128</v>
      </c>
      <c r="Y271" s="1">
        <f t="shared" si="31"/>
        <v>149.17970318256215</v>
      </c>
      <c r="Z271" s="1">
        <f t="shared" si="31"/>
        <v>80.646400483547254</v>
      </c>
      <c r="AA271" s="1">
        <f t="shared" si="31"/>
        <v>454.99203276299579</v>
      </c>
      <c r="AB271" s="1">
        <f t="shared" si="31"/>
        <v>332.40057234751691</v>
      </c>
      <c r="AC271" s="1">
        <f t="shared" si="31"/>
        <v>612.4557931085468</v>
      </c>
      <c r="AD271" s="1">
        <f t="shared" si="31"/>
        <v>572.58474270260967</v>
      </c>
      <c r="AE271" s="1">
        <f t="shared" si="31"/>
        <v>56.083659595874558</v>
      </c>
      <c r="AF271" s="1">
        <f t="shared" si="31"/>
        <v>329.4403542661974</v>
      </c>
      <c r="AG271" s="1">
        <f t="shared" si="31"/>
        <v>365.64599340118349</v>
      </c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1:48" x14ac:dyDescent="0.45">
      <c r="A272" s="8">
        <v>662.8111931353335</v>
      </c>
      <c r="Q272" s="9">
        <v>662.8111931353335</v>
      </c>
      <c r="R272" s="1">
        <f t="shared" si="30"/>
        <v>386.33299077836983</v>
      </c>
      <c r="S272" s="1">
        <f t="shared" si="32"/>
        <v>313.04575332232662</v>
      </c>
      <c r="T272" s="1">
        <f t="shared" si="31"/>
        <v>310.21369813644799</v>
      </c>
      <c r="U272" s="1">
        <f t="shared" si="31"/>
        <v>92.858391169629328</v>
      </c>
      <c r="V272" s="1">
        <f t="shared" si="31"/>
        <v>124.30171322792503</v>
      </c>
      <c r="W272" s="1">
        <f t="shared" si="31"/>
        <v>323.14036860304128</v>
      </c>
      <c r="X272" s="1">
        <f t="shared" si="31"/>
        <v>149.17970318256215</v>
      </c>
      <c r="Y272" s="1">
        <f t="shared" si="31"/>
        <v>80.646400483547254</v>
      </c>
      <c r="Z272" s="1">
        <f t="shared" si="31"/>
        <v>454.99203276299579</v>
      </c>
      <c r="AA272" s="1">
        <f t="shared" si="31"/>
        <v>332.40057234751691</v>
      </c>
      <c r="AB272" s="1">
        <f t="shared" si="31"/>
        <v>612.4557931085468</v>
      </c>
      <c r="AC272" s="1">
        <f t="shared" si="31"/>
        <v>572.58474270260967</v>
      </c>
      <c r="AD272" s="1">
        <f t="shared" si="31"/>
        <v>56.083659595874558</v>
      </c>
      <c r="AE272" s="1">
        <f t="shared" si="31"/>
        <v>329.4403542661974</v>
      </c>
      <c r="AF272" s="1">
        <f t="shared" si="31"/>
        <v>365.64599340118349</v>
      </c>
      <c r="AG272" s="1">
        <f t="shared" si="31"/>
        <v>126.82603233645506</v>
      </c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1:48" x14ac:dyDescent="0.45">
      <c r="A273" s="8">
        <v>313.04575332232662</v>
      </c>
      <c r="Q273" s="9">
        <v>313.04575332232662</v>
      </c>
      <c r="R273" s="1">
        <f t="shared" si="30"/>
        <v>36.567550965362955</v>
      </c>
      <c r="S273" s="1">
        <f t="shared" si="32"/>
        <v>310.21369813644799</v>
      </c>
      <c r="T273" s="1">
        <f t="shared" si="31"/>
        <v>92.858391169629328</v>
      </c>
      <c r="U273" s="1">
        <f t="shared" si="31"/>
        <v>124.30171322792503</v>
      </c>
      <c r="V273" s="1">
        <f t="shared" si="31"/>
        <v>323.14036860304128</v>
      </c>
      <c r="W273" s="1">
        <f t="shared" si="31"/>
        <v>149.17970318256215</v>
      </c>
      <c r="X273" s="1">
        <f t="shared" si="31"/>
        <v>80.646400483547254</v>
      </c>
      <c r="Y273" s="1">
        <f t="shared" si="31"/>
        <v>454.99203276299579</v>
      </c>
      <c r="Z273" s="1">
        <f t="shared" si="31"/>
        <v>332.40057234751691</v>
      </c>
      <c r="AA273" s="1">
        <f t="shared" si="31"/>
        <v>612.4557931085468</v>
      </c>
      <c r="AB273" s="1">
        <f t="shared" si="31"/>
        <v>572.58474270260967</v>
      </c>
      <c r="AC273" s="1">
        <f t="shared" si="31"/>
        <v>56.083659595874558</v>
      </c>
      <c r="AD273" s="1">
        <f t="shared" si="31"/>
        <v>329.4403542661974</v>
      </c>
      <c r="AE273" s="1">
        <f t="shared" si="31"/>
        <v>365.64599340118349</v>
      </c>
      <c r="AF273" s="1">
        <f t="shared" si="31"/>
        <v>126.82603233645506</v>
      </c>
      <c r="AG273" s="1">
        <f t="shared" si="31"/>
        <v>294.07961924215846</v>
      </c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1:48" x14ac:dyDescent="0.45">
      <c r="A274" s="8">
        <v>310.21369813644799</v>
      </c>
      <c r="Q274" s="9">
        <v>310.21369813644799</v>
      </c>
      <c r="R274" s="1">
        <f t="shared" si="30"/>
        <v>33.735495779484324</v>
      </c>
      <c r="S274" s="1">
        <f t="shared" si="32"/>
        <v>92.858391169629328</v>
      </c>
      <c r="T274" s="1">
        <f t="shared" si="31"/>
        <v>124.30171322792503</v>
      </c>
      <c r="U274" s="1">
        <f t="shared" si="31"/>
        <v>323.14036860304128</v>
      </c>
      <c r="V274" s="1">
        <f t="shared" si="31"/>
        <v>149.17970318256215</v>
      </c>
      <c r="W274" s="1">
        <f t="shared" si="31"/>
        <v>80.646400483547254</v>
      </c>
      <c r="X274" s="1">
        <f t="shared" si="31"/>
        <v>454.99203276299579</v>
      </c>
      <c r="Y274" s="1">
        <f t="shared" si="31"/>
        <v>332.40057234751691</v>
      </c>
      <c r="Z274" s="1">
        <f t="shared" si="31"/>
        <v>612.4557931085468</v>
      </c>
      <c r="AA274" s="1">
        <f t="shared" si="31"/>
        <v>572.58474270260967</v>
      </c>
      <c r="AB274" s="1">
        <f t="shared" si="31"/>
        <v>56.083659595874558</v>
      </c>
      <c r="AC274" s="1">
        <f t="shared" si="31"/>
        <v>329.4403542661974</v>
      </c>
      <c r="AD274" s="1">
        <f t="shared" si="31"/>
        <v>365.64599340118349</v>
      </c>
      <c r="AE274" s="1">
        <f t="shared" si="31"/>
        <v>126.82603233645506</v>
      </c>
      <c r="AF274" s="1">
        <f t="shared" si="31"/>
        <v>294.07961924215846</v>
      </c>
      <c r="AG274" s="1">
        <f t="shared" si="31"/>
        <v>1175.2574865837441</v>
      </c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1:48" x14ac:dyDescent="0.45">
      <c r="A275" s="8">
        <v>92.858391169629328</v>
      </c>
      <c r="Q275" s="9">
        <v>92.858391169629328</v>
      </c>
      <c r="R275" s="1">
        <f t="shared" si="30"/>
        <v>-183.61981118733434</v>
      </c>
      <c r="S275" s="1">
        <f t="shared" si="32"/>
        <v>124.30171322792503</v>
      </c>
      <c r="T275" s="1">
        <f t="shared" si="31"/>
        <v>323.14036860304128</v>
      </c>
      <c r="U275" s="1">
        <f t="shared" si="31"/>
        <v>149.17970318256215</v>
      </c>
      <c r="V275" s="1">
        <f t="shared" si="31"/>
        <v>80.646400483547254</v>
      </c>
      <c r="W275" s="1">
        <f t="shared" si="31"/>
        <v>454.99203276299579</v>
      </c>
      <c r="X275" s="1">
        <f t="shared" si="31"/>
        <v>332.40057234751691</v>
      </c>
      <c r="Y275" s="1">
        <f t="shared" si="31"/>
        <v>612.4557931085468</v>
      </c>
      <c r="Z275" s="1">
        <f t="shared" si="31"/>
        <v>572.58474270260967</v>
      </c>
      <c r="AA275" s="1">
        <f t="shared" si="31"/>
        <v>56.083659595874558</v>
      </c>
      <c r="AB275" s="1">
        <f t="shared" si="31"/>
        <v>329.4403542661974</v>
      </c>
      <c r="AC275" s="1">
        <f t="shared" si="31"/>
        <v>365.64599340118349</v>
      </c>
      <c r="AD275" s="1">
        <f t="shared" si="31"/>
        <v>126.82603233645506</v>
      </c>
      <c r="AE275" s="1">
        <f t="shared" si="31"/>
        <v>294.07961924215846</v>
      </c>
      <c r="AF275" s="1">
        <f t="shared" si="31"/>
        <v>1175.2574865837441</v>
      </c>
      <c r="AG275" s="1">
        <f t="shared" si="31"/>
        <v>194.39564368997893</v>
      </c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 x14ac:dyDescent="0.45">
      <c r="A276" s="8">
        <v>124.30171322792503</v>
      </c>
      <c r="Q276" s="9">
        <v>124.30171322792503</v>
      </c>
      <c r="R276" s="1">
        <f t="shared" si="30"/>
        <v>-152.17648912903863</v>
      </c>
      <c r="S276" s="1">
        <f t="shared" si="32"/>
        <v>323.14036860304128</v>
      </c>
      <c r="T276" s="1">
        <f t="shared" si="31"/>
        <v>149.17970318256215</v>
      </c>
      <c r="U276" s="1">
        <f t="shared" si="31"/>
        <v>80.646400483547254</v>
      </c>
      <c r="V276" s="1">
        <f t="shared" si="31"/>
        <v>454.99203276299579</v>
      </c>
      <c r="W276" s="1">
        <f t="shared" si="31"/>
        <v>332.40057234751691</v>
      </c>
      <c r="X276" s="1">
        <f t="shared" si="31"/>
        <v>612.4557931085468</v>
      </c>
      <c r="Y276" s="1">
        <f t="shared" si="31"/>
        <v>572.58474270260967</v>
      </c>
      <c r="Z276" s="1">
        <f t="shared" si="31"/>
        <v>56.083659595874558</v>
      </c>
      <c r="AA276" s="1">
        <f t="shared" si="31"/>
        <v>329.4403542661974</v>
      </c>
      <c r="AB276" s="1">
        <f t="shared" si="31"/>
        <v>365.64599340118349</v>
      </c>
      <c r="AC276" s="1">
        <f t="shared" si="31"/>
        <v>126.82603233645506</v>
      </c>
      <c r="AD276" s="1">
        <f t="shared" si="31"/>
        <v>294.07961924215846</v>
      </c>
      <c r="AE276" s="1">
        <f t="shared" si="31"/>
        <v>1175.2574865837441</v>
      </c>
      <c r="AF276" s="1">
        <f t="shared" si="31"/>
        <v>194.39564368997893</v>
      </c>
      <c r="AG276" s="1">
        <f t="shared" si="31"/>
        <v>484.62499695018482</v>
      </c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1:48" x14ac:dyDescent="0.45">
      <c r="A277" s="8">
        <v>323.14036860304128</v>
      </c>
      <c r="Q277" s="9">
        <v>323.14036860304128</v>
      </c>
      <c r="R277" s="1">
        <f t="shared" si="30"/>
        <v>46.662166246077618</v>
      </c>
      <c r="S277" s="1">
        <f t="shared" si="32"/>
        <v>149.17970318256215</v>
      </c>
      <c r="T277" s="1">
        <f t="shared" si="31"/>
        <v>80.646400483547254</v>
      </c>
      <c r="U277" s="1">
        <f t="shared" si="31"/>
        <v>454.99203276299579</v>
      </c>
      <c r="V277" s="1">
        <f t="shared" si="31"/>
        <v>332.40057234751691</v>
      </c>
      <c r="W277" s="1">
        <f t="shared" si="31"/>
        <v>612.4557931085468</v>
      </c>
      <c r="X277" s="1">
        <f t="shared" si="31"/>
        <v>572.58474270260967</v>
      </c>
      <c r="Y277" s="1">
        <f t="shared" si="31"/>
        <v>56.083659595874558</v>
      </c>
      <c r="Z277" s="1">
        <f t="shared" ref="U277:AG292" si="33">Y278</f>
        <v>329.4403542661974</v>
      </c>
      <c r="AA277" s="1">
        <f t="shared" si="33"/>
        <v>365.64599340118349</v>
      </c>
      <c r="AB277" s="1">
        <f t="shared" si="33"/>
        <v>126.82603233645506</v>
      </c>
      <c r="AC277" s="1">
        <f t="shared" si="33"/>
        <v>294.07961924215846</v>
      </c>
      <c r="AD277" s="1">
        <f t="shared" si="33"/>
        <v>1175.2574865837441</v>
      </c>
      <c r="AE277" s="1">
        <f t="shared" si="33"/>
        <v>194.39564368997893</v>
      </c>
      <c r="AF277" s="1">
        <f t="shared" si="33"/>
        <v>484.62499695018482</v>
      </c>
      <c r="AG277" s="1">
        <f t="shared" si="33"/>
        <v>81.820791783476238</v>
      </c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1:48" x14ac:dyDescent="0.45">
      <c r="A278" s="8">
        <v>149.17970318256215</v>
      </c>
      <c r="Q278" s="9">
        <v>149.17970318256215</v>
      </c>
      <c r="R278" s="1">
        <f t="shared" si="30"/>
        <v>-127.29849917440151</v>
      </c>
      <c r="S278" s="1">
        <f t="shared" si="32"/>
        <v>80.646400483547254</v>
      </c>
      <c r="T278" s="1">
        <f t="shared" si="31"/>
        <v>454.99203276299579</v>
      </c>
      <c r="U278" s="1">
        <f t="shared" si="33"/>
        <v>332.40057234751691</v>
      </c>
      <c r="V278" s="1">
        <f t="shared" si="33"/>
        <v>612.4557931085468</v>
      </c>
      <c r="W278" s="1">
        <f t="shared" si="33"/>
        <v>572.58474270260967</v>
      </c>
      <c r="X278" s="1">
        <f t="shared" si="33"/>
        <v>56.083659595874558</v>
      </c>
      <c r="Y278" s="1">
        <f t="shared" si="33"/>
        <v>329.4403542661974</v>
      </c>
      <c r="Z278" s="1">
        <f t="shared" si="33"/>
        <v>365.64599340118349</v>
      </c>
      <c r="AA278" s="1">
        <f t="shared" si="33"/>
        <v>126.82603233645506</v>
      </c>
      <c r="AB278" s="1">
        <f t="shared" si="33"/>
        <v>294.07961924215846</v>
      </c>
      <c r="AC278" s="1">
        <f t="shared" si="33"/>
        <v>1175.2574865837441</v>
      </c>
      <c r="AD278" s="1">
        <f t="shared" si="33"/>
        <v>194.39564368997893</v>
      </c>
      <c r="AE278" s="1">
        <f t="shared" si="33"/>
        <v>484.62499695018482</v>
      </c>
      <c r="AF278" s="1">
        <f t="shared" si="33"/>
        <v>81.820791783476238</v>
      </c>
      <c r="AG278" s="1">
        <f t="shared" si="33"/>
        <v>216.83048561323341</v>
      </c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1:48" x14ac:dyDescent="0.45">
      <c r="A279" s="8">
        <v>80.646400483547254</v>
      </c>
      <c r="Q279" s="9">
        <v>80.646400483547254</v>
      </c>
      <c r="R279" s="1">
        <f t="shared" si="30"/>
        <v>-195.8318018734164</v>
      </c>
      <c r="S279" s="1">
        <f t="shared" si="32"/>
        <v>454.99203276299579</v>
      </c>
      <c r="T279" s="1">
        <f t="shared" si="31"/>
        <v>332.40057234751691</v>
      </c>
      <c r="U279" s="1">
        <f t="shared" si="33"/>
        <v>612.4557931085468</v>
      </c>
      <c r="V279" s="1">
        <f t="shared" si="33"/>
        <v>572.58474270260967</v>
      </c>
      <c r="W279" s="1">
        <f t="shared" si="33"/>
        <v>56.083659595874558</v>
      </c>
      <c r="X279" s="1">
        <f t="shared" si="33"/>
        <v>329.4403542661974</v>
      </c>
      <c r="Y279" s="1">
        <f t="shared" si="33"/>
        <v>365.64599340118349</v>
      </c>
      <c r="Z279" s="1">
        <f t="shared" si="33"/>
        <v>126.82603233645506</v>
      </c>
      <c r="AA279" s="1">
        <f t="shared" si="33"/>
        <v>294.07961924215846</v>
      </c>
      <c r="AB279" s="1">
        <f t="shared" si="33"/>
        <v>1175.2574865837441</v>
      </c>
      <c r="AC279" s="1">
        <f t="shared" si="33"/>
        <v>194.39564368997893</v>
      </c>
      <c r="AD279" s="1">
        <f t="shared" si="33"/>
        <v>484.62499695018482</v>
      </c>
      <c r="AE279" s="1">
        <f t="shared" si="33"/>
        <v>81.820791783476238</v>
      </c>
      <c r="AF279" s="1">
        <f t="shared" si="33"/>
        <v>216.83048561323341</v>
      </c>
      <c r="AG279" s="1">
        <f t="shared" si="33"/>
        <v>166.16341596586523</v>
      </c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1:48" x14ac:dyDescent="0.45">
      <c r="A280" s="8">
        <v>454.99203276299579</v>
      </c>
      <c r="Q280" s="9">
        <v>454.99203276299579</v>
      </c>
      <c r="R280" s="1">
        <f t="shared" si="30"/>
        <v>178.51383040603213</v>
      </c>
      <c r="S280" s="1">
        <f t="shared" si="32"/>
        <v>332.40057234751691</v>
      </c>
      <c r="T280" s="1">
        <f t="shared" si="31"/>
        <v>612.4557931085468</v>
      </c>
      <c r="U280" s="1">
        <f t="shared" si="33"/>
        <v>572.58474270260967</v>
      </c>
      <c r="V280" s="1">
        <f t="shared" si="33"/>
        <v>56.083659595874558</v>
      </c>
      <c r="W280" s="1">
        <f t="shared" si="33"/>
        <v>329.4403542661974</v>
      </c>
      <c r="X280" s="1">
        <f t="shared" si="33"/>
        <v>365.64599340118349</v>
      </c>
      <c r="Y280" s="1">
        <f t="shared" si="33"/>
        <v>126.82603233645506</v>
      </c>
      <c r="Z280" s="1">
        <f t="shared" si="33"/>
        <v>294.07961924215846</v>
      </c>
      <c r="AA280" s="1">
        <f t="shared" si="33"/>
        <v>1175.2574865837441</v>
      </c>
      <c r="AB280" s="1">
        <f t="shared" si="33"/>
        <v>194.39564368997893</v>
      </c>
      <c r="AC280" s="1">
        <f t="shared" si="33"/>
        <v>484.62499695018482</v>
      </c>
      <c r="AD280" s="1">
        <f t="shared" si="33"/>
        <v>81.820791783476238</v>
      </c>
      <c r="AE280" s="1">
        <f t="shared" si="33"/>
        <v>216.83048561323341</v>
      </c>
      <c r="AF280" s="1">
        <f t="shared" si="33"/>
        <v>166.16341596586523</v>
      </c>
      <c r="AG280" s="1">
        <f t="shared" si="33"/>
        <v>119.94525731901157</v>
      </c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1:48" x14ac:dyDescent="0.45">
      <c r="A281" s="8">
        <v>332.40057234751691</v>
      </c>
      <c r="Q281" s="9">
        <v>332.40057234751691</v>
      </c>
      <c r="R281" s="1">
        <f t="shared" si="30"/>
        <v>55.92236999055325</v>
      </c>
      <c r="S281" s="1">
        <f t="shared" si="32"/>
        <v>612.4557931085468</v>
      </c>
      <c r="T281" s="1">
        <f t="shared" si="31"/>
        <v>572.58474270260967</v>
      </c>
      <c r="U281" s="1">
        <f t="shared" si="33"/>
        <v>56.083659595874558</v>
      </c>
      <c r="V281" s="1">
        <f t="shared" si="33"/>
        <v>329.4403542661974</v>
      </c>
      <c r="W281" s="1">
        <f t="shared" si="33"/>
        <v>365.64599340118349</v>
      </c>
      <c r="X281" s="1">
        <f t="shared" si="33"/>
        <v>126.82603233645506</v>
      </c>
      <c r="Y281" s="1">
        <f t="shared" si="33"/>
        <v>294.07961924215846</v>
      </c>
      <c r="Z281" s="1">
        <f t="shared" si="33"/>
        <v>1175.2574865837441</v>
      </c>
      <c r="AA281" s="1">
        <f t="shared" si="33"/>
        <v>194.39564368997893</v>
      </c>
      <c r="AB281" s="1">
        <f t="shared" si="33"/>
        <v>484.62499695018482</v>
      </c>
      <c r="AC281" s="1">
        <f t="shared" si="33"/>
        <v>81.820791783476238</v>
      </c>
      <c r="AD281" s="1">
        <f t="shared" si="33"/>
        <v>216.83048561323341</v>
      </c>
      <c r="AE281" s="1">
        <f t="shared" si="33"/>
        <v>166.16341596586523</v>
      </c>
      <c r="AF281" s="1">
        <f t="shared" si="33"/>
        <v>119.94525731901157</v>
      </c>
      <c r="AG281" s="1">
        <f t="shared" si="33"/>
        <v>166.84843737976666</v>
      </c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1:48" x14ac:dyDescent="0.45">
      <c r="A282" s="8">
        <v>612.4557931085468</v>
      </c>
      <c r="Q282" s="9">
        <v>612.4557931085468</v>
      </c>
      <c r="R282" s="1">
        <f t="shared" si="30"/>
        <v>335.97759075158314</v>
      </c>
      <c r="S282" s="1">
        <f t="shared" si="32"/>
        <v>572.58474270260967</v>
      </c>
      <c r="T282" s="1">
        <f t="shared" si="31"/>
        <v>56.083659595874558</v>
      </c>
      <c r="U282" s="1">
        <f t="shared" si="33"/>
        <v>329.4403542661974</v>
      </c>
      <c r="V282" s="1">
        <f t="shared" si="33"/>
        <v>365.64599340118349</v>
      </c>
      <c r="W282" s="1">
        <f t="shared" si="33"/>
        <v>126.82603233645506</v>
      </c>
      <c r="X282" s="1">
        <f t="shared" si="33"/>
        <v>294.07961924215846</v>
      </c>
      <c r="Y282" s="1">
        <f t="shared" si="33"/>
        <v>1175.2574865837441</v>
      </c>
      <c r="Z282" s="1">
        <f t="shared" si="33"/>
        <v>194.39564368997893</v>
      </c>
      <c r="AA282" s="1">
        <f t="shared" si="33"/>
        <v>484.62499695018482</v>
      </c>
      <c r="AB282" s="1">
        <f t="shared" si="33"/>
        <v>81.820791783476238</v>
      </c>
      <c r="AC282" s="1">
        <f t="shared" si="33"/>
        <v>216.83048561323341</v>
      </c>
      <c r="AD282" s="1">
        <f t="shared" si="33"/>
        <v>166.16341596586523</v>
      </c>
      <c r="AE282" s="1">
        <f t="shared" si="33"/>
        <v>119.94525731901157</v>
      </c>
      <c r="AF282" s="1">
        <f t="shared" si="33"/>
        <v>166.84843737976666</v>
      </c>
      <c r="AG282" s="1">
        <f t="shared" si="33"/>
        <v>776.85745898782318</v>
      </c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1:48" x14ac:dyDescent="0.45">
      <c r="A283" s="8">
        <v>572.58474270260967</v>
      </c>
      <c r="Q283" s="9">
        <v>572.58474270260967</v>
      </c>
      <c r="R283" s="1">
        <f t="shared" si="30"/>
        <v>296.10654034564601</v>
      </c>
      <c r="S283" s="1">
        <f t="shared" si="32"/>
        <v>56.083659595874558</v>
      </c>
      <c r="T283" s="1">
        <f t="shared" si="31"/>
        <v>329.4403542661974</v>
      </c>
      <c r="U283" s="1">
        <f t="shared" si="33"/>
        <v>365.64599340118349</v>
      </c>
      <c r="V283" s="1">
        <f t="shared" si="33"/>
        <v>126.82603233645506</v>
      </c>
      <c r="W283" s="1">
        <f t="shared" si="33"/>
        <v>294.07961924215846</v>
      </c>
      <c r="X283" s="1">
        <f t="shared" si="33"/>
        <v>1175.2574865837441</v>
      </c>
      <c r="Y283" s="1">
        <f t="shared" si="33"/>
        <v>194.39564368997893</v>
      </c>
      <c r="Z283" s="1">
        <f t="shared" si="33"/>
        <v>484.62499695018482</v>
      </c>
      <c r="AA283" s="1">
        <f t="shared" si="33"/>
        <v>81.820791783476238</v>
      </c>
      <c r="AB283" s="1">
        <f t="shared" si="33"/>
        <v>216.83048561323341</v>
      </c>
      <c r="AC283" s="1">
        <f t="shared" si="33"/>
        <v>166.16341596586523</v>
      </c>
      <c r="AD283" s="1">
        <f t="shared" si="33"/>
        <v>119.94525731901157</v>
      </c>
      <c r="AE283" s="1">
        <f t="shared" si="33"/>
        <v>166.84843737976666</v>
      </c>
      <c r="AF283" s="1">
        <f t="shared" si="33"/>
        <v>776.85745898782318</v>
      </c>
      <c r="AG283" s="1">
        <f t="shared" si="33"/>
        <v>268.29252853274653</v>
      </c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 x14ac:dyDescent="0.45">
      <c r="A284" s="8">
        <v>56.083659595874558</v>
      </c>
      <c r="Q284" s="9">
        <v>56.083659595874558</v>
      </c>
      <c r="R284" s="1">
        <f t="shared" si="30"/>
        <v>-220.3945427610891</v>
      </c>
      <c r="S284" s="1">
        <f t="shared" si="32"/>
        <v>329.4403542661974</v>
      </c>
      <c r="T284" s="1">
        <f t="shared" si="31"/>
        <v>365.64599340118349</v>
      </c>
      <c r="U284" s="1">
        <f t="shared" si="33"/>
        <v>126.82603233645506</v>
      </c>
      <c r="V284" s="1">
        <f t="shared" si="33"/>
        <v>294.07961924215846</v>
      </c>
      <c r="W284" s="1">
        <f t="shared" si="33"/>
        <v>1175.2574865837441</v>
      </c>
      <c r="X284" s="1">
        <f t="shared" si="33"/>
        <v>194.39564368997893</v>
      </c>
      <c r="Y284" s="1">
        <f t="shared" si="33"/>
        <v>484.62499695018482</v>
      </c>
      <c r="Z284" s="1">
        <f t="shared" si="33"/>
        <v>81.820791783476238</v>
      </c>
      <c r="AA284" s="1">
        <f t="shared" si="33"/>
        <v>216.83048561323341</v>
      </c>
      <c r="AB284" s="1">
        <f t="shared" si="33"/>
        <v>166.16341596586523</v>
      </c>
      <c r="AC284" s="1">
        <f t="shared" si="33"/>
        <v>119.94525731901157</v>
      </c>
      <c r="AD284" s="1">
        <f t="shared" si="33"/>
        <v>166.84843737976666</v>
      </c>
      <c r="AE284" s="1">
        <f t="shared" si="33"/>
        <v>776.85745898782318</v>
      </c>
      <c r="AF284" s="1">
        <f t="shared" si="33"/>
        <v>268.29252853274653</v>
      </c>
      <c r="AG284" s="1">
        <f t="shared" si="33"/>
        <v>100.90005371730453</v>
      </c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1:48" x14ac:dyDescent="0.45">
      <c r="A285" s="8">
        <v>329.4403542661974</v>
      </c>
      <c r="Q285" s="9">
        <v>329.4403542661974</v>
      </c>
      <c r="R285" s="1">
        <f t="shared" si="30"/>
        <v>52.962151909233739</v>
      </c>
      <c r="S285" s="1">
        <f t="shared" si="32"/>
        <v>365.64599340118349</v>
      </c>
      <c r="T285" s="1">
        <f t="shared" si="31"/>
        <v>126.82603233645506</v>
      </c>
      <c r="U285" s="1">
        <f t="shared" si="33"/>
        <v>294.07961924215846</v>
      </c>
      <c r="V285" s="1">
        <f t="shared" si="33"/>
        <v>1175.2574865837441</v>
      </c>
      <c r="W285" s="1">
        <f t="shared" si="33"/>
        <v>194.39564368997893</v>
      </c>
      <c r="X285" s="1">
        <f t="shared" si="33"/>
        <v>484.62499695018482</v>
      </c>
      <c r="Y285" s="1">
        <f t="shared" si="33"/>
        <v>81.820791783476238</v>
      </c>
      <c r="Z285" s="1">
        <f t="shared" si="33"/>
        <v>216.83048561323341</v>
      </c>
      <c r="AA285" s="1">
        <f t="shared" si="33"/>
        <v>166.16341596586523</v>
      </c>
      <c r="AB285" s="1">
        <f t="shared" si="33"/>
        <v>119.94525731901157</v>
      </c>
      <c r="AC285" s="1">
        <f t="shared" si="33"/>
        <v>166.84843737976666</v>
      </c>
      <c r="AD285" s="1">
        <f t="shared" si="33"/>
        <v>776.85745898782318</v>
      </c>
      <c r="AE285" s="1">
        <f t="shared" si="33"/>
        <v>268.29252853274653</v>
      </c>
      <c r="AF285" s="1">
        <f t="shared" si="33"/>
        <v>100.90005371730453</v>
      </c>
      <c r="AG285" s="1">
        <f t="shared" si="33"/>
        <v>132.23708960717579</v>
      </c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 x14ac:dyDescent="0.45">
      <c r="A286" s="8">
        <v>365.64599340118349</v>
      </c>
      <c r="Q286" s="9">
        <v>365.64599340118349</v>
      </c>
      <c r="R286" s="1">
        <f t="shared" si="30"/>
        <v>89.167791044219825</v>
      </c>
      <c r="S286" s="1">
        <f t="shared" si="32"/>
        <v>126.82603233645506</v>
      </c>
      <c r="T286" s="1">
        <f t="shared" si="31"/>
        <v>294.07961924215846</v>
      </c>
      <c r="U286" s="1">
        <f t="shared" si="33"/>
        <v>1175.2574865837441</v>
      </c>
      <c r="V286" s="1">
        <f t="shared" si="33"/>
        <v>194.39564368997893</v>
      </c>
      <c r="W286" s="1">
        <f t="shared" si="33"/>
        <v>484.62499695018482</v>
      </c>
      <c r="X286" s="1">
        <f t="shared" si="33"/>
        <v>81.820791783476238</v>
      </c>
      <c r="Y286" s="1">
        <f t="shared" si="33"/>
        <v>216.83048561323341</v>
      </c>
      <c r="Z286" s="1">
        <f t="shared" si="33"/>
        <v>166.16341596586523</v>
      </c>
      <c r="AA286" s="1">
        <f t="shared" si="33"/>
        <v>119.94525731901157</v>
      </c>
      <c r="AB286" s="1">
        <f t="shared" si="33"/>
        <v>166.84843737976666</v>
      </c>
      <c r="AC286" s="1">
        <f t="shared" si="33"/>
        <v>776.85745898782318</v>
      </c>
      <c r="AD286" s="1">
        <f t="shared" si="33"/>
        <v>268.29252853274653</v>
      </c>
      <c r="AE286" s="1">
        <f t="shared" si="33"/>
        <v>100.90005371730453</v>
      </c>
      <c r="AF286" s="1">
        <f t="shared" si="33"/>
        <v>132.23708960717579</v>
      </c>
      <c r="AG286" s="1">
        <f t="shared" si="33"/>
        <v>355.01246274237479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1:48" x14ac:dyDescent="0.45">
      <c r="A287" s="8">
        <v>126.82603233645506</v>
      </c>
      <c r="Q287" s="9">
        <v>126.82603233645506</v>
      </c>
      <c r="R287" s="1">
        <f t="shared" si="30"/>
        <v>-149.65217002050861</v>
      </c>
      <c r="S287" s="1">
        <f t="shared" si="32"/>
        <v>294.07961924215846</v>
      </c>
      <c r="T287" s="1">
        <f t="shared" si="31"/>
        <v>1175.2574865837441</v>
      </c>
      <c r="U287" s="1">
        <f t="shared" si="33"/>
        <v>194.39564368997893</v>
      </c>
      <c r="V287" s="1">
        <f t="shared" si="33"/>
        <v>484.62499695018482</v>
      </c>
      <c r="W287" s="1">
        <f t="shared" si="33"/>
        <v>81.820791783476238</v>
      </c>
      <c r="X287" s="1">
        <f t="shared" si="33"/>
        <v>216.83048561323341</v>
      </c>
      <c r="Y287" s="1">
        <f t="shared" si="33"/>
        <v>166.16341596586523</v>
      </c>
      <c r="Z287" s="1">
        <f t="shared" si="33"/>
        <v>119.94525731901157</v>
      </c>
      <c r="AA287" s="1">
        <f t="shared" si="33"/>
        <v>166.84843737976666</v>
      </c>
      <c r="AB287" s="1">
        <f t="shared" si="33"/>
        <v>776.85745898782318</v>
      </c>
      <c r="AC287" s="1">
        <f t="shared" si="33"/>
        <v>268.29252853274653</v>
      </c>
      <c r="AD287" s="1">
        <f t="shared" si="33"/>
        <v>100.90005371730453</v>
      </c>
      <c r="AE287" s="1">
        <f t="shared" si="33"/>
        <v>132.23708960717579</v>
      </c>
      <c r="AF287" s="1">
        <f t="shared" si="33"/>
        <v>355.01246274237479</v>
      </c>
      <c r="AG287" s="1">
        <f t="shared" si="33"/>
        <v>287.47470278036786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1:48" x14ac:dyDescent="0.45">
      <c r="A288" s="8">
        <v>294.07961924215846</v>
      </c>
      <c r="Q288" s="9">
        <v>294.07961924215846</v>
      </c>
      <c r="R288" s="1">
        <f t="shared" si="30"/>
        <v>17.601416885194794</v>
      </c>
      <c r="S288" s="1">
        <f t="shared" si="32"/>
        <v>1175.2574865837441</v>
      </c>
      <c r="T288" s="1">
        <f t="shared" si="31"/>
        <v>194.39564368997893</v>
      </c>
      <c r="U288" s="1">
        <f t="shared" si="33"/>
        <v>484.62499695018482</v>
      </c>
      <c r="V288" s="1">
        <f t="shared" si="33"/>
        <v>81.820791783476238</v>
      </c>
      <c r="W288" s="1">
        <f t="shared" si="33"/>
        <v>216.83048561323341</v>
      </c>
      <c r="X288" s="1">
        <f t="shared" si="33"/>
        <v>166.16341596586523</v>
      </c>
      <c r="Y288" s="1">
        <f t="shared" si="33"/>
        <v>119.94525731901157</v>
      </c>
      <c r="Z288" s="1">
        <f t="shared" si="33"/>
        <v>166.84843737976666</v>
      </c>
      <c r="AA288" s="1">
        <f t="shared" si="33"/>
        <v>776.85745898782318</v>
      </c>
      <c r="AB288" s="1">
        <f t="shared" si="33"/>
        <v>268.29252853274653</v>
      </c>
      <c r="AC288" s="1">
        <f t="shared" si="33"/>
        <v>100.90005371730453</v>
      </c>
      <c r="AD288" s="1">
        <f t="shared" si="33"/>
        <v>132.23708960717579</v>
      </c>
      <c r="AE288" s="1">
        <f t="shared" si="33"/>
        <v>355.01246274237479</v>
      </c>
      <c r="AF288" s="1">
        <f t="shared" si="33"/>
        <v>287.47470278036786</v>
      </c>
      <c r="AG288" s="1">
        <f t="shared" si="33"/>
        <v>218.61940586082983</v>
      </c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1:48" x14ac:dyDescent="0.45">
      <c r="A289" s="8">
        <v>1175.2574865837441</v>
      </c>
      <c r="Q289" s="9">
        <v>1175.2574865837441</v>
      </c>
      <c r="R289" s="1">
        <f t="shared" si="30"/>
        <v>898.77928422678042</v>
      </c>
      <c r="S289" s="1">
        <f t="shared" si="32"/>
        <v>194.39564368997893</v>
      </c>
      <c r="T289" s="1">
        <f t="shared" si="31"/>
        <v>484.62499695018482</v>
      </c>
      <c r="U289" s="1">
        <f t="shared" si="33"/>
        <v>81.820791783476238</v>
      </c>
      <c r="V289" s="1">
        <f t="shared" si="33"/>
        <v>216.83048561323341</v>
      </c>
      <c r="W289" s="1">
        <f t="shared" si="33"/>
        <v>166.16341596586523</v>
      </c>
      <c r="X289" s="1">
        <f t="shared" si="33"/>
        <v>119.94525731901157</v>
      </c>
      <c r="Y289" s="1">
        <f t="shared" si="33"/>
        <v>166.84843737976666</v>
      </c>
      <c r="Z289" s="1">
        <f t="shared" si="33"/>
        <v>776.85745898782318</v>
      </c>
      <c r="AA289" s="1">
        <f t="shared" si="33"/>
        <v>268.29252853274653</v>
      </c>
      <c r="AB289" s="1">
        <f t="shared" si="33"/>
        <v>100.90005371730453</v>
      </c>
      <c r="AC289" s="1">
        <f t="shared" si="33"/>
        <v>132.23708960717579</v>
      </c>
      <c r="AD289" s="1">
        <f t="shared" si="33"/>
        <v>355.01246274237479</v>
      </c>
      <c r="AE289" s="1">
        <f t="shared" si="33"/>
        <v>287.47470278036786</v>
      </c>
      <c r="AF289" s="1">
        <f t="shared" si="33"/>
        <v>218.61940586082983</v>
      </c>
      <c r="AG289" s="1">
        <f t="shared" si="33"/>
        <v>107.28158389327129</v>
      </c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1:48" x14ac:dyDescent="0.45">
      <c r="A290" s="8">
        <v>194.39564368997893</v>
      </c>
      <c r="Q290" s="9">
        <v>194.39564368997893</v>
      </c>
      <c r="R290" s="1">
        <f t="shared" si="30"/>
        <v>-82.082558666984738</v>
      </c>
      <c r="S290" s="1">
        <f t="shared" si="32"/>
        <v>484.62499695018482</v>
      </c>
      <c r="T290" s="1">
        <f t="shared" si="31"/>
        <v>81.820791783476238</v>
      </c>
      <c r="U290" s="1">
        <f t="shared" si="33"/>
        <v>216.83048561323341</v>
      </c>
      <c r="V290" s="1">
        <f t="shared" si="33"/>
        <v>166.16341596586523</v>
      </c>
      <c r="W290" s="1">
        <f t="shared" si="33"/>
        <v>119.94525731901157</v>
      </c>
      <c r="X290" s="1">
        <f t="shared" si="33"/>
        <v>166.84843737976666</v>
      </c>
      <c r="Y290" s="1">
        <f t="shared" si="33"/>
        <v>776.85745898782318</v>
      </c>
      <c r="Z290" s="1">
        <f t="shared" si="33"/>
        <v>268.29252853274653</v>
      </c>
      <c r="AA290" s="1">
        <f t="shared" si="33"/>
        <v>100.90005371730453</v>
      </c>
      <c r="AB290" s="1">
        <f t="shared" si="33"/>
        <v>132.23708960717579</v>
      </c>
      <c r="AC290" s="1">
        <f t="shared" si="33"/>
        <v>355.01246274237479</v>
      </c>
      <c r="AD290" s="1">
        <f t="shared" si="33"/>
        <v>287.47470278036786</v>
      </c>
      <c r="AE290" s="1">
        <f t="shared" si="33"/>
        <v>218.61940586082983</v>
      </c>
      <c r="AF290" s="1">
        <f t="shared" si="33"/>
        <v>107.28158389327129</v>
      </c>
      <c r="AG290" s="1">
        <f t="shared" si="33"/>
        <v>127.82735370530034</v>
      </c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1:48" x14ac:dyDescent="0.45">
      <c r="A291" s="8">
        <v>484.62499695018482</v>
      </c>
      <c r="Q291" s="9">
        <v>484.62499695018482</v>
      </c>
      <c r="R291" s="1">
        <f t="shared" si="30"/>
        <v>208.14679459322116</v>
      </c>
      <c r="S291" s="1">
        <f t="shared" si="32"/>
        <v>81.820791783476238</v>
      </c>
      <c r="T291" s="1">
        <f t="shared" si="31"/>
        <v>216.83048561323341</v>
      </c>
      <c r="U291" s="1">
        <f t="shared" si="33"/>
        <v>166.16341596586523</v>
      </c>
      <c r="V291" s="1">
        <f t="shared" si="33"/>
        <v>119.94525731901157</v>
      </c>
      <c r="W291" s="1">
        <f t="shared" si="33"/>
        <v>166.84843737976666</v>
      </c>
      <c r="X291" s="1">
        <f t="shared" si="33"/>
        <v>776.85745898782318</v>
      </c>
      <c r="Y291" s="1">
        <f t="shared" si="33"/>
        <v>268.29252853274653</v>
      </c>
      <c r="Z291" s="1">
        <f t="shared" si="33"/>
        <v>100.90005371730453</v>
      </c>
      <c r="AA291" s="1">
        <f t="shared" si="33"/>
        <v>132.23708960717579</v>
      </c>
      <c r="AB291" s="1">
        <f t="shared" si="33"/>
        <v>355.01246274237479</v>
      </c>
      <c r="AC291" s="1">
        <f t="shared" si="33"/>
        <v>287.47470278036786</v>
      </c>
      <c r="AD291" s="1">
        <f t="shared" si="33"/>
        <v>218.61940586082983</v>
      </c>
      <c r="AE291" s="1">
        <f t="shared" si="33"/>
        <v>107.28158389327129</v>
      </c>
      <c r="AF291" s="1">
        <f t="shared" si="33"/>
        <v>127.82735370530034</v>
      </c>
      <c r="AG291" s="1">
        <f t="shared" si="33"/>
        <v>408.3546686385011</v>
      </c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1:48" x14ac:dyDescent="0.45">
      <c r="A292" s="8">
        <v>81.820791783476238</v>
      </c>
      <c r="Q292" s="9">
        <v>81.820791783476238</v>
      </c>
      <c r="R292" s="1">
        <f t="shared" si="30"/>
        <v>-194.65741057348743</v>
      </c>
      <c r="S292" s="1">
        <f t="shared" si="32"/>
        <v>216.83048561323341</v>
      </c>
      <c r="T292" s="1">
        <f t="shared" si="31"/>
        <v>166.16341596586523</v>
      </c>
      <c r="U292" s="1">
        <f t="shared" si="33"/>
        <v>119.94525731901157</v>
      </c>
      <c r="V292" s="1">
        <f t="shared" si="33"/>
        <v>166.84843737976666</v>
      </c>
      <c r="W292" s="1">
        <f t="shared" si="33"/>
        <v>776.85745898782318</v>
      </c>
      <c r="X292" s="1">
        <f t="shared" si="33"/>
        <v>268.29252853274653</v>
      </c>
      <c r="Y292" s="1">
        <f t="shared" si="33"/>
        <v>100.90005371730453</v>
      </c>
      <c r="Z292" s="1">
        <f t="shared" si="33"/>
        <v>132.23708960717579</v>
      </c>
      <c r="AA292" s="1">
        <f t="shared" si="33"/>
        <v>355.01246274237479</v>
      </c>
      <c r="AB292" s="1">
        <f t="shared" si="33"/>
        <v>287.47470278036786</v>
      </c>
      <c r="AC292" s="1">
        <f t="shared" si="33"/>
        <v>218.61940586082983</v>
      </c>
      <c r="AD292" s="1">
        <f t="shared" si="33"/>
        <v>107.28158389327129</v>
      </c>
      <c r="AE292" s="1">
        <f t="shared" si="33"/>
        <v>127.82735370530034</v>
      </c>
      <c r="AF292" s="1">
        <f t="shared" si="33"/>
        <v>408.3546686385011</v>
      </c>
      <c r="AG292" s="1">
        <f t="shared" si="33"/>
        <v>98.890546210211852</v>
      </c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1:48" x14ac:dyDescent="0.45">
      <c r="A293" s="8">
        <v>216.83048561323341</v>
      </c>
      <c r="Q293" s="9">
        <v>216.83048561323341</v>
      </c>
      <c r="R293" s="1">
        <f t="shared" si="30"/>
        <v>-59.647716743730257</v>
      </c>
      <c r="S293" s="1">
        <f t="shared" si="32"/>
        <v>166.16341596586523</v>
      </c>
      <c r="T293" s="1">
        <f t="shared" si="31"/>
        <v>119.94525731901157</v>
      </c>
      <c r="U293" s="1">
        <f t="shared" ref="U293:AG302" si="34">T294</f>
        <v>166.84843737976666</v>
      </c>
      <c r="V293" s="1">
        <f t="shared" si="34"/>
        <v>776.85745898782318</v>
      </c>
      <c r="W293" s="1">
        <f t="shared" si="34"/>
        <v>268.29252853274653</v>
      </c>
      <c r="X293" s="1">
        <f t="shared" si="34"/>
        <v>100.90005371730453</v>
      </c>
      <c r="Y293" s="1">
        <f t="shared" si="34"/>
        <v>132.23708960717579</v>
      </c>
      <c r="Z293" s="1">
        <f t="shared" si="34"/>
        <v>355.01246274237479</v>
      </c>
      <c r="AA293" s="1">
        <f t="shared" si="34"/>
        <v>287.47470278036786</v>
      </c>
      <c r="AB293" s="1">
        <f t="shared" si="34"/>
        <v>218.61940586082983</v>
      </c>
      <c r="AC293" s="1">
        <f t="shared" si="34"/>
        <v>107.28158389327129</v>
      </c>
      <c r="AD293" s="1">
        <f t="shared" si="34"/>
        <v>127.82735370530034</v>
      </c>
      <c r="AE293" s="1">
        <f t="shared" si="34"/>
        <v>408.3546686385011</v>
      </c>
      <c r="AF293" s="1">
        <f t="shared" si="34"/>
        <v>98.890546210211852</v>
      </c>
      <c r="AG293" s="1">
        <f t="shared" si="34"/>
        <v>701.75957763374743</v>
      </c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1:48" x14ac:dyDescent="0.45">
      <c r="A294" s="8">
        <v>166.16341596586523</v>
      </c>
      <c r="Q294" s="9">
        <v>166.16341596586523</v>
      </c>
      <c r="R294" s="1">
        <f t="shared" si="30"/>
        <v>-110.31478639109844</v>
      </c>
      <c r="S294" s="1">
        <f t="shared" si="32"/>
        <v>119.94525731901157</v>
      </c>
      <c r="T294" s="1">
        <f t="shared" si="31"/>
        <v>166.84843737976666</v>
      </c>
      <c r="U294" s="1">
        <f t="shared" si="34"/>
        <v>776.85745898782318</v>
      </c>
      <c r="V294" s="1">
        <f t="shared" si="34"/>
        <v>268.29252853274653</v>
      </c>
      <c r="W294" s="1">
        <f t="shared" si="34"/>
        <v>100.90005371730453</v>
      </c>
      <c r="X294" s="1">
        <f t="shared" si="34"/>
        <v>132.23708960717579</v>
      </c>
      <c r="Y294" s="1">
        <f t="shared" si="34"/>
        <v>355.01246274237479</v>
      </c>
      <c r="Z294" s="1">
        <f t="shared" si="34"/>
        <v>287.47470278036786</v>
      </c>
      <c r="AA294" s="1">
        <f t="shared" si="34"/>
        <v>218.61940586082983</v>
      </c>
      <c r="AB294" s="1">
        <f t="shared" si="34"/>
        <v>107.28158389327129</v>
      </c>
      <c r="AC294" s="1">
        <f t="shared" si="34"/>
        <v>127.82735370530034</v>
      </c>
      <c r="AD294" s="1">
        <f t="shared" si="34"/>
        <v>408.3546686385011</v>
      </c>
      <c r="AE294" s="1">
        <f t="shared" si="34"/>
        <v>98.890546210211852</v>
      </c>
      <c r="AF294" s="1">
        <f t="shared" si="34"/>
        <v>701.75957763374743</v>
      </c>
      <c r="AG294" s="1">
        <f t="shared" si="34"/>
        <v>271.81439391360277</v>
      </c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1:48" x14ac:dyDescent="0.45">
      <c r="A295" s="8">
        <v>119.94525731901157</v>
      </c>
      <c r="Q295" s="9">
        <v>119.94525731901157</v>
      </c>
      <c r="R295" s="1">
        <f t="shared" si="30"/>
        <v>-156.53294503795209</v>
      </c>
      <c r="S295" s="1">
        <f t="shared" si="32"/>
        <v>166.84843737976666</v>
      </c>
      <c r="T295" s="1">
        <f t="shared" si="31"/>
        <v>776.85745898782318</v>
      </c>
      <c r="U295" s="1">
        <f t="shared" si="34"/>
        <v>268.29252853274653</v>
      </c>
      <c r="V295" s="1">
        <f t="shared" si="34"/>
        <v>100.90005371730453</v>
      </c>
      <c r="W295" s="1">
        <f t="shared" si="34"/>
        <v>132.23708960717579</v>
      </c>
      <c r="X295" s="1">
        <f t="shared" si="34"/>
        <v>355.01246274237479</v>
      </c>
      <c r="Y295" s="1">
        <f t="shared" si="34"/>
        <v>287.47470278036786</v>
      </c>
      <c r="Z295" s="1">
        <f t="shared" si="34"/>
        <v>218.61940586082983</v>
      </c>
      <c r="AA295" s="1">
        <f t="shared" si="34"/>
        <v>107.28158389327129</v>
      </c>
      <c r="AB295" s="1">
        <f t="shared" si="34"/>
        <v>127.82735370530034</v>
      </c>
      <c r="AC295" s="1">
        <f t="shared" si="34"/>
        <v>408.3546686385011</v>
      </c>
      <c r="AD295" s="1">
        <f t="shared" si="34"/>
        <v>98.890546210211852</v>
      </c>
      <c r="AE295" s="1">
        <f t="shared" si="34"/>
        <v>701.75957763374743</v>
      </c>
      <c r="AF295" s="1">
        <f t="shared" si="34"/>
        <v>271.81439391360277</v>
      </c>
      <c r="AG295" s="1">
        <f t="shared" si="34"/>
        <v>320.49549343299248</v>
      </c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1:48" x14ac:dyDescent="0.45">
      <c r="A296" s="8">
        <v>166.84843737976666</v>
      </c>
      <c r="Q296" s="9">
        <v>166.84843737976666</v>
      </c>
      <c r="R296" s="1">
        <f t="shared" si="30"/>
        <v>-109.629764977197</v>
      </c>
      <c r="S296" s="1">
        <f t="shared" si="32"/>
        <v>776.85745898782318</v>
      </c>
      <c r="T296" s="1">
        <f t="shared" si="31"/>
        <v>268.29252853274653</v>
      </c>
      <c r="U296" s="1">
        <f t="shared" si="34"/>
        <v>100.90005371730453</v>
      </c>
      <c r="V296" s="1">
        <f t="shared" si="34"/>
        <v>132.23708960717579</v>
      </c>
      <c r="W296" s="1">
        <f t="shared" si="34"/>
        <v>355.01246274237479</v>
      </c>
      <c r="X296" s="1">
        <f t="shared" si="34"/>
        <v>287.47470278036786</v>
      </c>
      <c r="Y296" s="1">
        <f t="shared" si="34"/>
        <v>218.61940586082983</v>
      </c>
      <c r="Z296" s="1">
        <f t="shared" si="34"/>
        <v>107.28158389327129</v>
      </c>
      <c r="AA296" s="1">
        <f t="shared" si="34"/>
        <v>127.82735370530034</v>
      </c>
      <c r="AB296" s="1">
        <f t="shared" si="34"/>
        <v>408.3546686385011</v>
      </c>
      <c r="AC296" s="1">
        <f t="shared" si="34"/>
        <v>98.890546210211852</v>
      </c>
      <c r="AD296" s="1">
        <f t="shared" si="34"/>
        <v>701.75957763374743</v>
      </c>
      <c r="AE296" s="1">
        <f t="shared" si="34"/>
        <v>271.81439391360277</v>
      </c>
      <c r="AF296" s="1">
        <f t="shared" si="34"/>
        <v>320.49549343299248</v>
      </c>
      <c r="AG296" s="1">
        <f t="shared" si="34"/>
        <v>248.02335172534512</v>
      </c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1:48" x14ac:dyDescent="0.45">
      <c r="A297" s="8">
        <v>776.85745898782318</v>
      </c>
      <c r="Q297" s="9">
        <v>776.85745898782318</v>
      </c>
      <c r="R297" s="1">
        <f t="shared" si="30"/>
        <v>500.37925663085952</v>
      </c>
      <c r="S297" s="1">
        <f t="shared" si="32"/>
        <v>268.29252853274653</v>
      </c>
      <c r="T297" s="1">
        <f t="shared" si="31"/>
        <v>100.90005371730453</v>
      </c>
      <c r="U297" s="1">
        <f t="shared" si="34"/>
        <v>132.23708960717579</v>
      </c>
      <c r="V297" s="1">
        <f t="shared" si="34"/>
        <v>355.01246274237479</v>
      </c>
      <c r="W297" s="1">
        <f t="shared" si="34"/>
        <v>287.47470278036786</v>
      </c>
      <c r="X297" s="1">
        <f t="shared" si="34"/>
        <v>218.61940586082983</v>
      </c>
      <c r="Y297" s="1">
        <f t="shared" si="34"/>
        <v>107.28158389327129</v>
      </c>
      <c r="Z297" s="1">
        <f t="shared" si="34"/>
        <v>127.82735370530034</v>
      </c>
      <c r="AA297" s="1">
        <f t="shared" si="34"/>
        <v>408.3546686385011</v>
      </c>
      <c r="AB297" s="1">
        <f t="shared" si="34"/>
        <v>98.890546210211852</v>
      </c>
      <c r="AC297" s="1">
        <f t="shared" si="34"/>
        <v>701.75957763374743</v>
      </c>
      <c r="AD297" s="1">
        <f t="shared" si="34"/>
        <v>271.81439391360277</v>
      </c>
      <c r="AE297" s="1">
        <f t="shared" si="34"/>
        <v>320.49549343299248</v>
      </c>
      <c r="AF297" s="1">
        <f t="shared" si="34"/>
        <v>248.02335172534512</v>
      </c>
      <c r="AG297" s="1">
        <f t="shared" si="34"/>
        <v>224.91195357298182</v>
      </c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1:48" x14ac:dyDescent="0.45">
      <c r="A298" s="8">
        <v>268.29252853274653</v>
      </c>
      <c r="Q298" s="9">
        <v>268.29252853274653</v>
      </c>
      <c r="R298" s="1">
        <f t="shared" si="30"/>
        <v>-8.1856738242171332</v>
      </c>
      <c r="S298" s="1">
        <f t="shared" si="32"/>
        <v>100.90005371730453</v>
      </c>
      <c r="T298" s="1">
        <f t="shared" si="31"/>
        <v>132.23708960717579</v>
      </c>
      <c r="U298" s="1">
        <f t="shared" si="34"/>
        <v>355.01246274237479</v>
      </c>
      <c r="V298" s="1">
        <f t="shared" si="34"/>
        <v>287.47470278036786</v>
      </c>
      <c r="W298" s="1">
        <f t="shared" si="34"/>
        <v>218.61940586082983</v>
      </c>
      <c r="X298" s="1">
        <f t="shared" si="34"/>
        <v>107.28158389327129</v>
      </c>
      <c r="Y298" s="1">
        <f t="shared" si="34"/>
        <v>127.82735370530034</v>
      </c>
      <c r="Z298" s="1">
        <f t="shared" si="34"/>
        <v>408.3546686385011</v>
      </c>
      <c r="AA298" s="1">
        <f t="shared" si="34"/>
        <v>98.890546210211852</v>
      </c>
      <c r="AB298" s="1">
        <f t="shared" si="34"/>
        <v>701.75957763374743</v>
      </c>
      <c r="AC298" s="1">
        <f t="shared" si="34"/>
        <v>271.81439391360277</v>
      </c>
      <c r="AD298" s="1">
        <f t="shared" si="34"/>
        <v>320.49549343299248</v>
      </c>
      <c r="AE298" s="1">
        <f t="shared" si="34"/>
        <v>248.02335172534512</v>
      </c>
      <c r="AF298" s="1">
        <f t="shared" si="34"/>
        <v>224.91195357298182</v>
      </c>
      <c r="AG298" s="1">
        <f t="shared" si="34"/>
        <v>454.21521094440101</v>
      </c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1:48" x14ac:dyDescent="0.45">
      <c r="A299" s="8">
        <v>100.90005371730453</v>
      </c>
      <c r="Q299" s="9">
        <v>100.90005371730453</v>
      </c>
      <c r="R299" s="1">
        <f t="shared" si="30"/>
        <v>-175.57814863965913</v>
      </c>
      <c r="S299" s="1">
        <f t="shared" si="32"/>
        <v>132.23708960717579</v>
      </c>
      <c r="T299" s="1">
        <f t="shared" si="31"/>
        <v>355.01246274237479</v>
      </c>
      <c r="U299" s="1">
        <f t="shared" si="34"/>
        <v>287.47470278036786</v>
      </c>
      <c r="V299" s="1">
        <f t="shared" si="34"/>
        <v>218.61940586082983</v>
      </c>
      <c r="W299" s="1">
        <f t="shared" si="34"/>
        <v>107.28158389327129</v>
      </c>
      <c r="X299" s="1">
        <f t="shared" si="34"/>
        <v>127.82735370530034</v>
      </c>
      <c r="Y299" s="1">
        <f t="shared" si="34"/>
        <v>408.3546686385011</v>
      </c>
      <c r="Z299" s="1">
        <f t="shared" si="34"/>
        <v>98.890546210211852</v>
      </c>
      <c r="AA299" s="1">
        <f t="shared" si="34"/>
        <v>701.75957763374743</v>
      </c>
      <c r="AB299" s="1">
        <f t="shared" si="34"/>
        <v>271.81439391360277</v>
      </c>
      <c r="AC299" s="1">
        <f t="shared" si="34"/>
        <v>320.49549343299248</v>
      </c>
      <c r="AD299" s="1">
        <f t="shared" si="34"/>
        <v>248.02335172534512</v>
      </c>
      <c r="AE299" s="1">
        <f t="shared" si="34"/>
        <v>224.91195357298182</v>
      </c>
      <c r="AF299" s="1">
        <f t="shared" si="34"/>
        <v>454.21521094440101</v>
      </c>
      <c r="AG299" s="1">
        <f t="shared" si="34"/>
        <v>254.47077882330547</v>
      </c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 x14ac:dyDescent="0.45">
      <c r="A300" s="8">
        <v>132.23708960717579</v>
      </c>
      <c r="Q300" s="9">
        <v>132.23708960717579</v>
      </c>
      <c r="R300" s="1">
        <f t="shared" si="30"/>
        <v>-144.24111274978787</v>
      </c>
      <c r="S300" s="1">
        <f t="shared" si="32"/>
        <v>355.01246274237479</v>
      </c>
      <c r="T300" s="1">
        <f t="shared" si="31"/>
        <v>287.47470278036786</v>
      </c>
      <c r="U300" s="1">
        <f t="shared" si="34"/>
        <v>218.61940586082983</v>
      </c>
      <c r="V300" s="1">
        <f t="shared" si="34"/>
        <v>107.28158389327129</v>
      </c>
      <c r="W300" s="1">
        <f t="shared" si="34"/>
        <v>127.82735370530034</v>
      </c>
      <c r="X300" s="1">
        <f t="shared" si="34"/>
        <v>408.3546686385011</v>
      </c>
      <c r="Y300" s="1">
        <f t="shared" si="34"/>
        <v>98.890546210211852</v>
      </c>
      <c r="Z300" s="1">
        <f t="shared" si="34"/>
        <v>701.75957763374743</v>
      </c>
      <c r="AA300" s="1">
        <f t="shared" si="34"/>
        <v>271.81439391360277</v>
      </c>
      <c r="AB300" s="1">
        <f t="shared" si="34"/>
        <v>320.49549343299248</v>
      </c>
      <c r="AC300" s="1">
        <f t="shared" si="34"/>
        <v>248.02335172534512</v>
      </c>
      <c r="AD300" s="1">
        <f t="shared" si="34"/>
        <v>224.91195357298182</v>
      </c>
      <c r="AE300" s="1">
        <f t="shared" si="34"/>
        <v>454.21521094440101</v>
      </c>
      <c r="AF300" s="1">
        <f t="shared" si="34"/>
        <v>254.47077882330547</v>
      </c>
      <c r="AG300" s="1">
        <f t="shared" si="34"/>
        <v>216.90657928262164</v>
      </c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 x14ac:dyDescent="0.45">
      <c r="A301" s="8">
        <v>355.01246274237479</v>
      </c>
      <c r="Q301" s="9">
        <v>355.01246274237479</v>
      </c>
      <c r="R301" s="1">
        <f t="shared" si="30"/>
        <v>78.53426038541113</v>
      </c>
      <c r="S301" s="1">
        <f t="shared" si="32"/>
        <v>287.47470278036786</v>
      </c>
      <c r="T301" s="1">
        <f t="shared" si="31"/>
        <v>218.61940586082983</v>
      </c>
      <c r="U301" s="1">
        <f t="shared" si="34"/>
        <v>107.28158389327129</v>
      </c>
      <c r="V301" s="1">
        <f t="shared" si="34"/>
        <v>127.82735370530034</v>
      </c>
      <c r="W301" s="1">
        <f t="shared" si="34"/>
        <v>408.3546686385011</v>
      </c>
      <c r="X301" s="1">
        <f t="shared" si="34"/>
        <v>98.890546210211852</v>
      </c>
      <c r="Y301" s="1">
        <f t="shared" si="34"/>
        <v>701.75957763374743</v>
      </c>
      <c r="Z301" s="1">
        <f t="shared" si="34"/>
        <v>271.81439391360277</v>
      </c>
      <c r="AA301" s="1">
        <f t="shared" si="34"/>
        <v>320.49549343299248</v>
      </c>
      <c r="AB301" s="1">
        <f t="shared" si="34"/>
        <v>248.02335172534512</v>
      </c>
      <c r="AC301" s="1">
        <f t="shared" si="34"/>
        <v>224.91195357298182</v>
      </c>
      <c r="AD301" s="1">
        <f t="shared" si="34"/>
        <v>454.21521094440101</v>
      </c>
      <c r="AE301" s="1">
        <f t="shared" si="34"/>
        <v>254.47077882330547</v>
      </c>
      <c r="AF301" s="1">
        <f t="shared" si="34"/>
        <v>216.90657928262164</v>
      </c>
      <c r="AG301" s="1">
        <f t="shared" si="34"/>
        <v>797.62537343667645</v>
      </c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 x14ac:dyDescent="0.45">
      <c r="A302" s="8">
        <v>287.47470278036786</v>
      </c>
      <c r="Q302" s="9">
        <v>287.47470278036786</v>
      </c>
      <c r="R302" s="1">
        <f t="shared" si="30"/>
        <v>10.9965004234042</v>
      </c>
      <c r="S302" s="1">
        <f t="shared" si="32"/>
        <v>218.61940586082983</v>
      </c>
      <c r="T302" s="1">
        <f t="shared" si="31"/>
        <v>107.28158389327129</v>
      </c>
      <c r="U302" s="1">
        <f t="shared" si="34"/>
        <v>127.82735370530034</v>
      </c>
      <c r="V302" s="1">
        <f t="shared" si="34"/>
        <v>408.3546686385011</v>
      </c>
      <c r="W302" s="1">
        <f t="shared" si="34"/>
        <v>98.890546210211852</v>
      </c>
      <c r="X302" s="1">
        <f t="shared" si="34"/>
        <v>701.75957763374743</v>
      </c>
      <c r="Y302" s="1">
        <f t="shared" si="34"/>
        <v>271.81439391360277</v>
      </c>
      <c r="Z302" s="1">
        <f t="shared" si="34"/>
        <v>320.49549343299248</v>
      </c>
      <c r="AA302" s="1">
        <f t="shared" si="34"/>
        <v>248.02335172534512</v>
      </c>
      <c r="AB302" s="1">
        <f t="shared" si="34"/>
        <v>224.91195357298182</v>
      </c>
      <c r="AC302" s="1">
        <f t="shared" si="34"/>
        <v>454.21521094440101</v>
      </c>
      <c r="AD302" s="1">
        <f t="shared" si="34"/>
        <v>254.47077882330547</v>
      </c>
      <c r="AE302" s="1">
        <f t="shared" si="34"/>
        <v>216.90657928262164</v>
      </c>
      <c r="AF302" s="1">
        <f t="shared" si="34"/>
        <v>797.62537343667645</v>
      </c>
      <c r="AG302" s="1">
        <f t="shared" si="34"/>
        <v>630.35309829085122</v>
      </c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 x14ac:dyDescent="0.45">
      <c r="A303" s="8">
        <v>218.61940586082983</v>
      </c>
      <c r="Q303" s="9">
        <v>218.61940586082983</v>
      </c>
      <c r="R303" s="1">
        <f t="shared" si="30"/>
        <v>-57.858796496133834</v>
      </c>
      <c r="S303" s="2">
        <f>Q4</f>
        <v>107.28158389327129</v>
      </c>
      <c r="T303" s="2">
        <f>S4</f>
        <v>127.82735370530034</v>
      </c>
      <c r="U303" s="2">
        <f t="shared" ref="U303:AG303" si="35">T4</f>
        <v>408.3546686385011</v>
      </c>
      <c r="V303" s="2">
        <f t="shared" si="35"/>
        <v>98.890546210211852</v>
      </c>
      <c r="W303" s="2">
        <f t="shared" si="35"/>
        <v>701.75957763374743</v>
      </c>
      <c r="X303" s="2">
        <f t="shared" si="35"/>
        <v>271.81439391360277</v>
      </c>
      <c r="Y303" s="2">
        <f t="shared" si="35"/>
        <v>320.49549343299248</v>
      </c>
      <c r="Z303" s="2">
        <f t="shared" si="35"/>
        <v>248.02335172534512</v>
      </c>
      <c r="AA303" s="2">
        <f t="shared" si="35"/>
        <v>224.91195357298182</v>
      </c>
      <c r="AB303" s="2">
        <f t="shared" si="35"/>
        <v>454.21521094440101</v>
      </c>
      <c r="AC303" s="2">
        <f t="shared" si="35"/>
        <v>254.47077882330547</v>
      </c>
      <c r="AD303" s="2">
        <f t="shared" si="35"/>
        <v>216.90657928262164</v>
      </c>
      <c r="AE303" s="2">
        <f t="shared" si="35"/>
        <v>797.62537343667645</v>
      </c>
      <c r="AF303" s="2">
        <f t="shared" si="35"/>
        <v>630.35309829085122</v>
      </c>
      <c r="AG303" s="2">
        <f t="shared" si="35"/>
        <v>187.66933410519863</v>
      </c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1048565" spans="22:33" x14ac:dyDescent="0.45">
      <c r="AG1048565"/>
    </row>
    <row r="1048566" spans="22:33" x14ac:dyDescent="0.45">
      <c r="AF1048566"/>
      <c r="AG1048566"/>
    </row>
    <row r="1048567" spans="22:33" x14ac:dyDescent="0.45">
      <c r="AE1048567"/>
      <c r="AF1048567"/>
      <c r="AG1048567"/>
    </row>
    <row r="1048568" spans="22:33" x14ac:dyDescent="0.45">
      <c r="AD1048568"/>
      <c r="AE1048568"/>
      <c r="AF1048568"/>
      <c r="AG1048568"/>
    </row>
    <row r="1048569" spans="22:33" x14ac:dyDescent="0.45">
      <c r="AC1048569"/>
      <c r="AD1048569"/>
      <c r="AE1048569"/>
      <c r="AF1048569"/>
      <c r="AG1048569"/>
    </row>
    <row r="1048570" spans="22:33" x14ac:dyDescent="0.45">
      <c r="AB1048570"/>
      <c r="AC1048570"/>
      <c r="AD1048570"/>
      <c r="AE1048570"/>
      <c r="AF1048570"/>
      <c r="AG1048570"/>
    </row>
    <row r="1048571" spans="22:33" x14ac:dyDescent="0.45">
      <c r="AA1048571"/>
      <c r="AB1048571"/>
      <c r="AC1048571"/>
      <c r="AD1048571"/>
      <c r="AE1048571"/>
      <c r="AF1048571"/>
      <c r="AG1048571"/>
    </row>
    <row r="1048572" spans="22:33" x14ac:dyDescent="0.45">
      <c r="Z1048572"/>
      <c r="AA1048572"/>
      <c r="AB1048572"/>
      <c r="AC1048572"/>
      <c r="AD1048572"/>
      <c r="AE1048572"/>
      <c r="AF1048572"/>
      <c r="AG1048572"/>
    </row>
    <row r="1048573" spans="22:33" x14ac:dyDescent="0.45">
      <c r="Y1048573"/>
      <c r="Z1048573"/>
      <c r="AA1048573"/>
      <c r="AB1048573"/>
      <c r="AC1048573"/>
      <c r="AD1048573"/>
      <c r="AE1048573"/>
      <c r="AF1048573"/>
      <c r="AG1048573"/>
    </row>
    <row r="1048574" spans="22:33" x14ac:dyDescent="0.45">
      <c r="X1048574"/>
      <c r="Y1048574"/>
      <c r="Z1048574"/>
      <c r="AA1048574"/>
      <c r="AB1048574"/>
      <c r="AC1048574"/>
      <c r="AD1048574"/>
      <c r="AE1048574"/>
      <c r="AF1048574"/>
      <c r="AG1048574"/>
    </row>
    <row r="1048575" spans="22:33" x14ac:dyDescent="0.45">
      <c r="W1048575"/>
      <c r="X1048575"/>
      <c r="Y1048575"/>
      <c r="Z1048575"/>
      <c r="AA1048575"/>
      <c r="AB1048575"/>
      <c r="AC1048575"/>
      <c r="AD1048575"/>
      <c r="AE1048575"/>
      <c r="AF1048575"/>
      <c r="AG1048575"/>
    </row>
    <row r="1048576" spans="22:33" x14ac:dyDescent="0.45">
      <c r="V1048576"/>
      <c r="W1048576"/>
      <c r="X1048576"/>
      <c r="Y1048576"/>
      <c r="Z1048576"/>
      <c r="AA1048576"/>
      <c r="AB1048576"/>
      <c r="AC1048576"/>
      <c r="AD1048576"/>
      <c r="AE1048576"/>
      <c r="AF1048576"/>
      <c r="AG1048576"/>
    </row>
  </sheetData>
  <mergeCells count="1">
    <mergeCell ref="C10:C1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3992-B957-4E96-BE42-94493FC6AD4A}">
  <sheetPr codeName="Лист10"/>
  <dimension ref="A1:U300"/>
  <sheetViews>
    <sheetView tabSelected="1" workbookViewId="0"/>
  </sheetViews>
  <sheetFormatPr defaultRowHeight="14.25" x14ac:dyDescent="0.45"/>
  <cols>
    <col min="1" max="1" width="9.06640625" style="2"/>
  </cols>
  <sheetData>
    <row r="1" spans="1:20" x14ac:dyDescent="0.45">
      <c r="A1" s="1">
        <v>107.28158389327129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</row>
    <row r="2" spans="1:20" x14ac:dyDescent="0.45">
      <c r="A2" s="1">
        <v>127.82735370530034</v>
      </c>
      <c r="B2" t="s">
        <v>13</v>
      </c>
      <c r="C2" s="2">
        <f>C8</f>
        <v>20.670413649223192</v>
      </c>
      <c r="D2" s="2">
        <f>C3</f>
        <v>84.814139923363243</v>
      </c>
      <c r="E2" s="2">
        <f t="shared" ref="E2:T2" si="0">D3</f>
        <v>148.95786619750328</v>
      </c>
      <c r="F2" s="2">
        <f t="shared" si="0"/>
        <v>213.10159247164333</v>
      </c>
      <c r="G2" s="2">
        <f t="shared" si="0"/>
        <v>277.24531874578338</v>
      </c>
      <c r="H2" s="2">
        <f t="shared" si="0"/>
        <v>341.3890450199234</v>
      </c>
      <c r="I2" s="2">
        <f t="shared" si="0"/>
        <v>405.53277129406342</v>
      </c>
      <c r="J2" s="2">
        <f t="shared" si="0"/>
        <v>469.67649756820344</v>
      </c>
      <c r="K2" s="2">
        <f t="shared" si="0"/>
        <v>533.82022384234347</v>
      </c>
      <c r="L2" s="2">
        <f t="shared" si="0"/>
        <v>597.96395011648349</v>
      </c>
      <c r="M2" s="2">
        <f t="shared" si="0"/>
        <v>662.10767639062351</v>
      </c>
      <c r="N2" s="2">
        <f t="shared" si="0"/>
        <v>726.25140266476353</v>
      </c>
      <c r="O2" s="2">
        <f t="shared" si="0"/>
        <v>790.39512893890355</v>
      </c>
      <c r="P2" s="2">
        <f t="shared" si="0"/>
        <v>854.53885521304358</v>
      </c>
      <c r="Q2" s="2">
        <f t="shared" si="0"/>
        <v>918.6825814871836</v>
      </c>
      <c r="R2" s="2">
        <f t="shared" si="0"/>
        <v>982.82630776132362</v>
      </c>
      <c r="S2" s="2">
        <f t="shared" si="0"/>
        <v>1046.9700340354636</v>
      </c>
      <c r="T2" s="2">
        <f t="shared" si="0"/>
        <v>1111.1137603096038</v>
      </c>
    </row>
    <row r="3" spans="1:20" x14ac:dyDescent="0.45">
      <c r="A3" s="1">
        <v>408.3546686385011</v>
      </c>
      <c r="B3" t="s">
        <v>14</v>
      </c>
      <c r="C3" s="2">
        <f>C2+$E$9</f>
        <v>84.814139923363243</v>
      </c>
      <c r="D3" s="2">
        <f>D2+$E$9</f>
        <v>148.95786619750328</v>
      </c>
      <c r="E3" s="2">
        <f t="shared" ref="E3:T3" si="1">E2+$E$9</f>
        <v>213.10159247164333</v>
      </c>
      <c r="F3" s="2">
        <f t="shared" si="1"/>
        <v>277.24531874578338</v>
      </c>
      <c r="G3" s="2">
        <f t="shared" si="1"/>
        <v>341.3890450199234</v>
      </c>
      <c r="H3" s="2">
        <f t="shared" si="1"/>
        <v>405.53277129406342</v>
      </c>
      <c r="I3" s="2">
        <f t="shared" si="1"/>
        <v>469.67649756820344</v>
      </c>
      <c r="J3" s="2">
        <f t="shared" si="1"/>
        <v>533.82022384234347</v>
      </c>
      <c r="K3" s="2">
        <f t="shared" si="1"/>
        <v>597.96395011648349</v>
      </c>
      <c r="L3" s="2">
        <f t="shared" si="1"/>
        <v>662.10767639062351</v>
      </c>
      <c r="M3" s="2">
        <f t="shared" si="1"/>
        <v>726.25140266476353</v>
      </c>
      <c r="N3" s="2">
        <f t="shared" si="1"/>
        <v>790.39512893890355</v>
      </c>
      <c r="O3" s="2">
        <f t="shared" si="1"/>
        <v>854.53885521304358</v>
      </c>
      <c r="P3" s="2">
        <f t="shared" si="1"/>
        <v>918.6825814871836</v>
      </c>
      <c r="Q3" s="2">
        <f t="shared" si="1"/>
        <v>982.82630776132362</v>
      </c>
      <c r="R3" s="2">
        <f t="shared" si="1"/>
        <v>1046.9700340354636</v>
      </c>
      <c r="S3" s="2">
        <f t="shared" si="1"/>
        <v>1111.1137603096038</v>
      </c>
      <c r="T3" s="2">
        <f t="shared" si="1"/>
        <v>1175.2574865837439</v>
      </c>
    </row>
    <row r="4" spans="1:20" x14ac:dyDescent="0.45">
      <c r="A4" s="1">
        <v>98.890546210211852</v>
      </c>
      <c r="B4" t="s">
        <v>15</v>
      </c>
      <c r="C4">
        <f>COUNTIFS($A:$A, "&gt;="&amp;C2, $A:$A, "&lt;="&amp;C3)</f>
        <v>25</v>
      </c>
      <c r="D4">
        <f t="shared" ref="D4:T4" si="2">COUNTIFS($A:$A, "&gt;="&amp;D2, $A:$A, "&lt;="&amp;D3)</f>
        <v>50</v>
      </c>
      <c r="E4">
        <f t="shared" si="2"/>
        <v>55</v>
      </c>
      <c r="F4">
        <f t="shared" si="2"/>
        <v>41</v>
      </c>
      <c r="G4">
        <f t="shared" si="2"/>
        <v>40</v>
      </c>
      <c r="H4">
        <f t="shared" si="2"/>
        <v>28</v>
      </c>
      <c r="I4">
        <f t="shared" si="2"/>
        <v>22</v>
      </c>
      <c r="J4">
        <f t="shared" si="2"/>
        <v>19</v>
      </c>
      <c r="K4">
        <f t="shared" si="2"/>
        <v>6</v>
      </c>
      <c r="L4">
        <f t="shared" si="2"/>
        <v>3</v>
      </c>
      <c r="M4">
        <f t="shared" si="2"/>
        <v>4</v>
      </c>
      <c r="N4">
        <f t="shared" si="2"/>
        <v>3</v>
      </c>
      <c r="O4">
        <f t="shared" si="2"/>
        <v>1</v>
      </c>
      <c r="P4">
        <f t="shared" si="2"/>
        <v>2</v>
      </c>
      <c r="Q4">
        <f t="shared" si="2"/>
        <v>0</v>
      </c>
      <c r="R4">
        <f t="shared" si="2"/>
        <v>0</v>
      </c>
      <c r="S4">
        <f t="shared" si="2"/>
        <v>0</v>
      </c>
      <c r="T4">
        <f t="shared" si="2"/>
        <v>1</v>
      </c>
    </row>
    <row r="5" spans="1:20" x14ac:dyDescent="0.45">
      <c r="A5" s="1">
        <v>701.75957763374743</v>
      </c>
    </row>
    <row r="6" spans="1:20" x14ac:dyDescent="0.45">
      <c r="A6" s="1">
        <v>271.81439391360277</v>
      </c>
    </row>
    <row r="7" spans="1:20" x14ac:dyDescent="0.45">
      <c r="A7" s="1">
        <v>320.49549343299248</v>
      </c>
    </row>
    <row r="8" spans="1:20" x14ac:dyDescent="0.45">
      <c r="A8" s="1">
        <v>248.02335172534512</v>
      </c>
      <c r="C8" s="2">
        <f>MIN(A:A)</f>
        <v>20.670413649223192</v>
      </c>
      <c r="E8" s="2">
        <f>C9-C8</f>
        <v>1154.5870729345208</v>
      </c>
    </row>
    <row r="9" spans="1:20" x14ac:dyDescent="0.45">
      <c r="A9" s="1">
        <v>224.91195357298182</v>
      </c>
      <c r="C9" s="2">
        <f>MAX(A:A)</f>
        <v>1175.2574865837441</v>
      </c>
      <c r="D9" t="s">
        <v>16</v>
      </c>
      <c r="E9">
        <f>E8/18</f>
        <v>64.14372627414005</v>
      </c>
    </row>
    <row r="10" spans="1:20" x14ac:dyDescent="0.45">
      <c r="A10" s="1">
        <v>454.21521094440101</v>
      </c>
    </row>
    <row r="11" spans="1:20" x14ac:dyDescent="0.45">
      <c r="A11" s="1">
        <v>254.47077882330547</v>
      </c>
      <c r="C11" t="str">
        <f>ROUND(C2,2) &amp; "; " &amp; ROUND(C3,2)</f>
        <v>20.67; 84.81</v>
      </c>
      <c r="D11" t="str">
        <f t="shared" ref="D11:T11" si="3">ROUND(D2,2) &amp; "; " &amp; ROUND(D3,2)</f>
        <v>84.81; 148.96</v>
      </c>
      <c r="E11" t="str">
        <f t="shared" si="3"/>
        <v>148.96; 213.1</v>
      </c>
      <c r="F11" t="str">
        <f t="shared" si="3"/>
        <v>213.1; 277.25</v>
      </c>
      <c r="G11" t="str">
        <f t="shared" si="3"/>
        <v>277.25; 341.39</v>
      </c>
      <c r="H11" t="str">
        <f t="shared" si="3"/>
        <v>341.39; 405.53</v>
      </c>
      <c r="I11" t="str">
        <f t="shared" si="3"/>
        <v>405.53; 469.68</v>
      </c>
      <c r="J11" t="str">
        <f t="shared" si="3"/>
        <v>469.68; 533.82</v>
      </c>
      <c r="K11" t="str">
        <f t="shared" si="3"/>
        <v>533.82; 597.96</v>
      </c>
      <c r="L11" t="str">
        <f t="shared" si="3"/>
        <v>597.96; 662.11</v>
      </c>
      <c r="M11" t="str">
        <f t="shared" si="3"/>
        <v>662.11; 726.25</v>
      </c>
      <c r="N11" t="str">
        <f t="shared" si="3"/>
        <v>726.25; 790.4</v>
      </c>
      <c r="O11" t="str">
        <f t="shared" si="3"/>
        <v>790.4; 854.54</v>
      </c>
      <c r="P11" t="str">
        <f t="shared" si="3"/>
        <v>854.54; 918.68</v>
      </c>
      <c r="Q11" t="str">
        <f t="shared" si="3"/>
        <v>918.68; 982.83</v>
      </c>
      <c r="R11" t="str">
        <f t="shared" si="3"/>
        <v>982.83; 1046.97</v>
      </c>
      <c r="S11" t="str">
        <f t="shared" si="3"/>
        <v>1046.97; 1111.11</v>
      </c>
      <c r="T11" t="str">
        <f t="shared" si="3"/>
        <v>1111.11; 1175.26</v>
      </c>
    </row>
    <row r="12" spans="1:20" x14ac:dyDescent="0.45">
      <c r="A12" s="1">
        <v>216.90657928262164</v>
      </c>
      <c r="C12">
        <v>25</v>
      </c>
      <c r="D12">
        <v>50</v>
      </c>
      <c r="E12">
        <v>55</v>
      </c>
      <c r="F12">
        <v>41</v>
      </c>
      <c r="G12">
        <v>40</v>
      </c>
      <c r="H12">
        <v>28</v>
      </c>
      <c r="I12">
        <v>22</v>
      </c>
      <c r="J12">
        <v>19</v>
      </c>
      <c r="K12">
        <v>6</v>
      </c>
      <c r="L12">
        <v>3</v>
      </c>
      <c r="M12">
        <v>4</v>
      </c>
      <c r="N12">
        <v>3</v>
      </c>
      <c r="O12">
        <v>1</v>
      </c>
      <c r="P12">
        <v>2</v>
      </c>
      <c r="Q12">
        <v>0</v>
      </c>
      <c r="R12">
        <v>0</v>
      </c>
      <c r="S12">
        <v>0</v>
      </c>
      <c r="T12">
        <v>1</v>
      </c>
    </row>
    <row r="13" spans="1:20" x14ac:dyDescent="0.45">
      <c r="A13" s="1">
        <v>797.62537343667645</v>
      </c>
    </row>
    <row r="14" spans="1:20" x14ac:dyDescent="0.45">
      <c r="A14" s="1">
        <v>630.35309829085122</v>
      </c>
    </row>
    <row r="15" spans="1:20" x14ac:dyDescent="0.45">
      <c r="A15" s="1">
        <v>187.66933410519863</v>
      </c>
    </row>
    <row r="16" spans="1:20" x14ac:dyDescent="0.45">
      <c r="A16" s="1">
        <v>81.610533594883279</v>
      </c>
    </row>
    <row r="17" spans="1:1" x14ac:dyDescent="0.45">
      <c r="A17" s="1">
        <v>283.24936593557317</v>
      </c>
    </row>
    <row r="18" spans="1:1" x14ac:dyDescent="0.45">
      <c r="A18" s="1">
        <v>151.51033225013779</v>
      </c>
    </row>
    <row r="19" spans="1:1" x14ac:dyDescent="0.45">
      <c r="A19" s="1">
        <v>407.89408014857736</v>
      </c>
    </row>
    <row r="20" spans="1:1" x14ac:dyDescent="0.45">
      <c r="A20" s="1">
        <v>196.50012539926712</v>
      </c>
    </row>
    <row r="21" spans="1:1" x14ac:dyDescent="0.45">
      <c r="A21" s="1">
        <v>226.10190058519862</v>
      </c>
    </row>
    <row r="22" spans="1:1" x14ac:dyDescent="0.45">
      <c r="A22" s="1">
        <v>296.82006676145301</v>
      </c>
    </row>
    <row r="23" spans="1:1" x14ac:dyDescent="0.45">
      <c r="A23" s="1">
        <v>365.89967866417624</v>
      </c>
    </row>
    <row r="24" spans="1:1" x14ac:dyDescent="0.45">
      <c r="A24" s="1">
        <v>126.08793960916096</v>
      </c>
    </row>
    <row r="25" spans="1:1" x14ac:dyDescent="0.45">
      <c r="A25" s="1">
        <v>158.17331398046889</v>
      </c>
    </row>
    <row r="26" spans="1:1" x14ac:dyDescent="0.45">
      <c r="A26" s="1">
        <v>169.31814511084991</v>
      </c>
    </row>
    <row r="27" spans="1:1" x14ac:dyDescent="0.45">
      <c r="A27" s="1">
        <v>356.99176152030975</v>
      </c>
    </row>
    <row r="28" spans="1:1" x14ac:dyDescent="0.45">
      <c r="A28" s="1">
        <v>51.531820594945302</v>
      </c>
    </row>
    <row r="29" spans="1:1" x14ac:dyDescent="0.45">
      <c r="A29" s="1">
        <v>138.94007100937398</v>
      </c>
    </row>
    <row r="30" spans="1:1" x14ac:dyDescent="0.45">
      <c r="A30" s="1">
        <v>122.36436339055496</v>
      </c>
    </row>
    <row r="31" spans="1:1" x14ac:dyDescent="0.45">
      <c r="A31" s="1">
        <v>192.42385978046303</v>
      </c>
    </row>
    <row r="32" spans="1:1" x14ac:dyDescent="0.45">
      <c r="A32" s="1">
        <v>314.19161734563977</v>
      </c>
    </row>
    <row r="33" spans="1:21" x14ac:dyDescent="0.45">
      <c r="A33" s="1">
        <v>224.76623940791234</v>
      </c>
    </row>
    <row r="34" spans="1:21" x14ac:dyDescent="0.45">
      <c r="A34" s="1">
        <v>55.898927187361181</v>
      </c>
      <c r="P34" t="s">
        <v>17</v>
      </c>
    </row>
    <row r="35" spans="1:21" x14ac:dyDescent="0.45">
      <c r="A35" s="1">
        <v>327.76712307497064</v>
      </c>
    </row>
    <row r="36" spans="1:21" x14ac:dyDescent="0.45">
      <c r="A36" s="1">
        <v>375.33573039261597</v>
      </c>
    </row>
    <row r="37" spans="1:21" x14ac:dyDescent="0.45">
      <c r="A37" s="1">
        <v>227.86161586375553</v>
      </c>
    </row>
    <row r="38" spans="1:21" x14ac:dyDescent="0.45">
      <c r="A38" s="1">
        <v>355.13663052220119</v>
      </c>
      <c r="C38">
        <v>20.670413649223192</v>
      </c>
      <c r="D38">
        <v>84.814139923363243</v>
      </c>
      <c r="E38">
        <v>148.95786619750328</v>
      </c>
      <c r="F38">
        <v>213.10159247164333</v>
      </c>
      <c r="G38">
        <v>277.24531874578338</v>
      </c>
      <c r="H38">
        <v>341.3890450199234</v>
      </c>
      <c r="I38">
        <v>405.53277129406342</v>
      </c>
      <c r="J38">
        <v>469.67649756820344</v>
      </c>
      <c r="K38">
        <v>533.82022384234347</v>
      </c>
      <c r="L38">
        <v>597.96395011648349</v>
      </c>
      <c r="M38">
        <v>662.10767639062351</v>
      </c>
      <c r="N38">
        <v>726.25140266476353</v>
      </c>
      <c r="O38">
        <v>790.39512893890355</v>
      </c>
      <c r="P38">
        <v>854.53885521304358</v>
      </c>
      <c r="Q38">
        <v>918.6825814871836</v>
      </c>
      <c r="R38">
        <v>982.82630776132362</v>
      </c>
      <c r="S38">
        <v>1046.9700340354636</v>
      </c>
      <c r="T38">
        <v>1111.1137603096038</v>
      </c>
      <c r="U38">
        <v>1175.2574865837439</v>
      </c>
    </row>
    <row r="39" spans="1:21" x14ac:dyDescent="0.45">
      <c r="A39" s="1">
        <v>286.7413177403497</v>
      </c>
      <c r="C39">
        <f>(POWER(0.00944,2.6099)*C38^(2.6099-1)*EXP(-0.00944*C38))/FACT(2.6099-1)</f>
        <v>5.5939259512751815E-4</v>
      </c>
      <c r="D39">
        <f t="shared" ref="D39:U39" si="4">(POWER(0.00944,2.6099)*D38^(2.6099-1)*EXP(-0.00944*D38))/FACT(2.6099-1)</f>
        <v>2.963497390952237E-3</v>
      </c>
      <c r="E39">
        <f t="shared" si="4"/>
        <v>4.0050296455482965E-3</v>
      </c>
      <c r="F39">
        <f t="shared" si="4"/>
        <v>3.8905412563577861E-3</v>
      </c>
      <c r="G39">
        <f t="shared" si="4"/>
        <v>3.2434919232938722E-3</v>
      </c>
      <c r="H39">
        <f t="shared" si="4"/>
        <v>2.4748655795307052E-3</v>
      </c>
      <c r="I39">
        <f t="shared" si="4"/>
        <v>1.7822207950757341E-3</v>
      </c>
      <c r="J39">
        <f t="shared" si="4"/>
        <v>1.232130933352742E-3</v>
      </c>
      <c r="K39">
        <f t="shared" si="4"/>
        <v>8.2639671001765792E-4</v>
      </c>
      <c r="L39">
        <f t="shared" si="4"/>
        <v>5.4144185302396064E-4</v>
      </c>
      <c r="M39">
        <f t="shared" si="4"/>
        <v>3.481954831888806E-4</v>
      </c>
      <c r="N39">
        <f t="shared" si="4"/>
        <v>2.205471673396451E-4</v>
      </c>
      <c r="O39">
        <f t="shared" si="4"/>
        <v>1.3794450976394881E-4</v>
      </c>
      <c r="P39">
        <f t="shared" si="4"/>
        <v>8.5366486563242315E-5</v>
      </c>
      <c r="Q39">
        <f t="shared" si="4"/>
        <v>5.2350384325547398E-5</v>
      </c>
      <c r="R39">
        <f t="shared" si="4"/>
        <v>3.1851913448155247E-5</v>
      </c>
      <c r="S39">
        <f t="shared" si="4"/>
        <v>1.9247163139208614E-5</v>
      </c>
      <c r="T39">
        <f t="shared" si="4"/>
        <v>1.1560287427150067E-5</v>
      </c>
      <c r="U39">
        <f t="shared" si="4"/>
        <v>6.9061585700231345E-6</v>
      </c>
    </row>
    <row r="40" spans="1:21" x14ac:dyDescent="0.45">
      <c r="A40" s="1">
        <v>133.99561157809518</v>
      </c>
    </row>
    <row r="41" spans="1:21" x14ac:dyDescent="0.45">
      <c r="A41" s="1">
        <v>229.31356051547908</v>
      </c>
    </row>
    <row r="42" spans="1:21" x14ac:dyDescent="0.45">
      <c r="A42" s="1">
        <v>427.5796519704889</v>
      </c>
    </row>
    <row r="43" spans="1:21" x14ac:dyDescent="0.45">
      <c r="A43" s="1">
        <v>379.88380148467013</v>
      </c>
    </row>
    <row r="44" spans="1:21" x14ac:dyDescent="0.45">
      <c r="A44" s="1">
        <v>470.07277475710123</v>
      </c>
    </row>
    <row r="45" spans="1:21" x14ac:dyDescent="0.45">
      <c r="A45" s="1">
        <v>270.68980051071156</v>
      </c>
    </row>
    <row r="46" spans="1:21" x14ac:dyDescent="0.45">
      <c r="A46" s="1">
        <v>151.08022269670758</v>
      </c>
    </row>
    <row r="47" spans="1:21" x14ac:dyDescent="0.45">
      <c r="A47" s="1">
        <v>184.74179118427588</v>
      </c>
    </row>
    <row r="48" spans="1:21" x14ac:dyDescent="0.45">
      <c r="A48" s="1">
        <v>484.80314732117779</v>
      </c>
    </row>
    <row r="49" spans="1:1" x14ac:dyDescent="0.45">
      <c r="A49" s="1">
        <v>130.8094017575973</v>
      </c>
    </row>
    <row r="50" spans="1:1" x14ac:dyDescent="0.45">
      <c r="A50" s="1">
        <v>184.10637657715995</v>
      </c>
    </row>
    <row r="51" spans="1:1" x14ac:dyDescent="0.45">
      <c r="A51" s="1">
        <v>385.10511983287188</v>
      </c>
    </row>
    <row r="52" spans="1:1" x14ac:dyDescent="0.45">
      <c r="A52" s="1">
        <v>83.235214760513699</v>
      </c>
    </row>
    <row r="53" spans="1:1" x14ac:dyDescent="0.45">
      <c r="A53" s="1">
        <v>195.65674454690125</v>
      </c>
    </row>
    <row r="54" spans="1:1" x14ac:dyDescent="0.45">
      <c r="A54" s="1">
        <v>540.52449203860169</v>
      </c>
    </row>
    <row r="55" spans="1:1" x14ac:dyDescent="0.45">
      <c r="A55" s="1">
        <v>343.16788171818587</v>
      </c>
    </row>
    <row r="56" spans="1:1" x14ac:dyDescent="0.45">
      <c r="A56" s="1">
        <v>377.46792019065362</v>
      </c>
    </row>
    <row r="57" spans="1:1" x14ac:dyDescent="0.45">
      <c r="A57" s="1">
        <v>763.05828906878878</v>
      </c>
    </row>
    <row r="58" spans="1:1" x14ac:dyDescent="0.45">
      <c r="A58" s="1">
        <v>114.1957280012459</v>
      </c>
    </row>
    <row r="59" spans="1:1" x14ac:dyDescent="0.45">
      <c r="A59" s="1">
        <v>93.828691587588537</v>
      </c>
    </row>
    <row r="60" spans="1:1" x14ac:dyDescent="0.45">
      <c r="A60" s="1">
        <v>288.55840885143232</v>
      </c>
    </row>
    <row r="61" spans="1:1" x14ac:dyDescent="0.45">
      <c r="A61" s="1">
        <v>527.20635732889855</v>
      </c>
    </row>
    <row r="62" spans="1:1" x14ac:dyDescent="0.45">
      <c r="A62" s="1">
        <v>684.17142200543822</v>
      </c>
    </row>
    <row r="63" spans="1:1" x14ac:dyDescent="0.45">
      <c r="A63" s="1">
        <v>318.45739323918156</v>
      </c>
    </row>
    <row r="64" spans="1:1" x14ac:dyDescent="0.45">
      <c r="A64" s="1">
        <v>208.72149310978941</v>
      </c>
    </row>
    <row r="65" spans="1:1" x14ac:dyDescent="0.45">
      <c r="A65" s="1">
        <v>246.93208789280652</v>
      </c>
    </row>
    <row r="66" spans="1:1" x14ac:dyDescent="0.45">
      <c r="A66" s="1">
        <v>135.05870598078235</v>
      </c>
    </row>
    <row r="67" spans="1:1" x14ac:dyDescent="0.45">
      <c r="A67" s="1">
        <v>212.00109132019526</v>
      </c>
    </row>
    <row r="68" spans="1:1" x14ac:dyDescent="0.45">
      <c r="A68" s="1">
        <v>65.071926371309047</v>
      </c>
    </row>
    <row r="69" spans="1:1" x14ac:dyDescent="0.45">
      <c r="A69" s="1">
        <v>477.48731714154536</v>
      </c>
    </row>
    <row r="70" spans="1:1" x14ac:dyDescent="0.45">
      <c r="A70" s="1">
        <v>379.10072832547741</v>
      </c>
    </row>
    <row r="71" spans="1:1" x14ac:dyDescent="0.45">
      <c r="A71" s="1">
        <v>419.18061229105331</v>
      </c>
    </row>
    <row r="72" spans="1:1" x14ac:dyDescent="0.45">
      <c r="A72" s="1">
        <v>92.051072390415982</v>
      </c>
    </row>
    <row r="73" spans="1:1" x14ac:dyDescent="0.45">
      <c r="A73" s="1">
        <v>505.15934999217063</v>
      </c>
    </row>
    <row r="74" spans="1:1" x14ac:dyDescent="0.45">
      <c r="A74" s="1">
        <v>204.64797660269062</v>
      </c>
    </row>
    <row r="75" spans="1:1" x14ac:dyDescent="0.45">
      <c r="A75" s="1">
        <v>393.69557760716901</v>
      </c>
    </row>
    <row r="76" spans="1:1" x14ac:dyDescent="0.45">
      <c r="A76" s="1">
        <v>208.3377473171555</v>
      </c>
    </row>
    <row r="77" spans="1:1" x14ac:dyDescent="0.45">
      <c r="A77" s="1">
        <v>131.10075713382952</v>
      </c>
    </row>
    <row r="78" spans="1:1" x14ac:dyDescent="0.45">
      <c r="A78" s="1">
        <v>200.34605210648334</v>
      </c>
    </row>
    <row r="79" spans="1:1" x14ac:dyDescent="0.45">
      <c r="A79" s="1">
        <v>220.18785541026077</v>
      </c>
    </row>
    <row r="80" spans="1:1" x14ac:dyDescent="0.45">
      <c r="A80" s="1">
        <v>545.34426792191391</v>
      </c>
    </row>
    <row r="81" spans="1:1" x14ac:dyDescent="0.45">
      <c r="A81" s="1">
        <v>298.21504684333127</v>
      </c>
    </row>
    <row r="82" spans="1:1" x14ac:dyDescent="0.45">
      <c r="A82" s="1">
        <v>35.333966596066375</v>
      </c>
    </row>
    <row r="83" spans="1:1" x14ac:dyDescent="0.45">
      <c r="A83" s="1">
        <v>185.44794327967338</v>
      </c>
    </row>
    <row r="84" spans="1:1" x14ac:dyDescent="0.45">
      <c r="A84" s="1">
        <v>436.56347628770209</v>
      </c>
    </row>
    <row r="85" spans="1:1" x14ac:dyDescent="0.45">
      <c r="A85" s="1">
        <v>162.67977861718344</v>
      </c>
    </row>
    <row r="86" spans="1:1" x14ac:dyDescent="0.45">
      <c r="A86" s="1">
        <v>216.15215722346178</v>
      </c>
    </row>
    <row r="87" spans="1:1" x14ac:dyDescent="0.45">
      <c r="A87" s="1">
        <v>249.61201762606564</v>
      </c>
    </row>
    <row r="88" spans="1:1" x14ac:dyDescent="0.45">
      <c r="A88" s="1">
        <v>341.69175316393586</v>
      </c>
    </row>
    <row r="89" spans="1:1" x14ac:dyDescent="0.45">
      <c r="A89" s="1">
        <v>203.30563183272307</v>
      </c>
    </row>
    <row r="90" spans="1:1" x14ac:dyDescent="0.45">
      <c r="A90" s="1">
        <v>388.73073722723774</v>
      </c>
    </row>
    <row r="91" spans="1:1" x14ac:dyDescent="0.45">
      <c r="A91" s="1">
        <v>158.91079043238744</v>
      </c>
    </row>
    <row r="92" spans="1:1" x14ac:dyDescent="0.45">
      <c r="A92" s="1">
        <v>79.627903538835881</v>
      </c>
    </row>
    <row r="93" spans="1:1" x14ac:dyDescent="0.45">
      <c r="A93" s="1">
        <v>127.99124370748665</v>
      </c>
    </row>
    <row r="94" spans="1:1" x14ac:dyDescent="0.45">
      <c r="A94" s="1">
        <v>395.60937797206873</v>
      </c>
    </row>
    <row r="95" spans="1:1" x14ac:dyDescent="0.45">
      <c r="A95" s="1">
        <v>211.19042812250598</v>
      </c>
    </row>
    <row r="96" spans="1:1" x14ac:dyDescent="0.45">
      <c r="A96" s="1">
        <v>336.1261218728319</v>
      </c>
    </row>
    <row r="97" spans="1:1" x14ac:dyDescent="0.45">
      <c r="A97" s="1">
        <v>283.75273249906081</v>
      </c>
    </row>
    <row r="98" spans="1:1" x14ac:dyDescent="0.45">
      <c r="A98" s="1">
        <v>105.02116918454753</v>
      </c>
    </row>
    <row r="99" spans="1:1" x14ac:dyDescent="0.45">
      <c r="A99" s="1">
        <v>425.36850075864334</v>
      </c>
    </row>
    <row r="100" spans="1:1" x14ac:dyDescent="0.45">
      <c r="A100" s="1">
        <v>102.97001833383734</v>
      </c>
    </row>
    <row r="101" spans="1:1" x14ac:dyDescent="0.45">
      <c r="A101" s="1">
        <v>366.03119660905475</v>
      </c>
    </row>
    <row r="102" spans="1:1" x14ac:dyDescent="0.45">
      <c r="A102" s="1">
        <v>340.31592031699176</v>
      </c>
    </row>
    <row r="103" spans="1:1" x14ac:dyDescent="0.45">
      <c r="A103" s="1">
        <v>89.406776230258188</v>
      </c>
    </row>
    <row r="104" spans="1:1" x14ac:dyDescent="0.45">
      <c r="A104" s="1">
        <v>86.036017111450917</v>
      </c>
    </row>
    <row r="105" spans="1:1" x14ac:dyDescent="0.45">
      <c r="A105" s="1">
        <v>180.52809446994971</v>
      </c>
    </row>
    <row r="106" spans="1:1" x14ac:dyDescent="0.45">
      <c r="A106" s="1">
        <v>156.25047183375975</v>
      </c>
    </row>
    <row r="107" spans="1:1" x14ac:dyDescent="0.45">
      <c r="A107" s="1">
        <v>348.9796212775168</v>
      </c>
    </row>
    <row r="108" spans="1:1" x14ac:dyDescent="0.45">
      <c r="A108" s="1">
        <v>26.25929918955304</v>
      </c>
    </row>
    <row r="109" spans="1:1" x14ac:dyDescent="0.45">
      <c r="A109" s="1">
        <v>203.68345331447091</v>
      </c>
    </row>
    <row r="110" spans="1:1" x14ac:dyDescent="0.45">
      <c r="A110" s="1">
        <v>102.17919882822795</v>
      </c>
    </row>
    <row r="111" spans="1:1" x14ac:dyDescent="0.45">
      <c r="A111" s="1">
        <v>190.51609288178926</v>
      </c>
    </row>
    <row r="112" spans="1:1" x14ac:dyDescent="0.45">
      <c r="A112" s="1">
        <v>235.64677760754643</v>
      </c>
    </row>
    <row r="113" spans="1:1" x14ac:dyDescent="0.45">
      <c r="A113" s="1">
        <v>250.73257522774867</v>
      </c>
    </row>
    <row r="114" spans="1:1" x14ac:dyDescent="0.45">
      <c r="A114" s="1">
        <v>124.48179450312151</v>
      </c>
    </row>
    <row r="115" spans="1:1" x14ac:dyDescent="0.45">
      <c r="A115" s="1">
        <v>87.931068082034301</v>
      </c>
    </row>
    <row r="116" spans="1:1" x14ac:dyDescent="0.45">
      <c r="A116" s="1">
        <v>321.42360626576317</v>
      </c>
    </row>
    <row r="117" spans="1:1" x14ac:dyDescent="0.45">
      <c r="A117" s="1">
        <v>190.79671678950294</v>
      </c>
    </row>
    <row r="118" spans="1:1" x14ac:dyDescent="0.45">
      <c r="A118" s="1">
        <v>86.592257298542492</v>
      </c>
    </row>
    <row r="119" spans="1:1" x14ac:dyDescent="0.45">
      <c r="A119" s="1">
        <v>474.05599626791059</v>
      </c>
    </row>
    <row r="120" spans="1:1" x14ac:dyDescent="0.45">
      <c r="A120" s="1">
        <v>108.43545068003378</v>
      </c>
    </row>
    <row r="121" spans="1:1" x14ac:dyDescent="0.45">
      <c r="A121" s="1">
        <v>442.97592651122511</v>
      </c>
    </row>
    <row r="122" spans="1:1" x14ac:dyDescent="0.45">
      <c r="A122" s="1">
        <v>314.68068213842207</v>
      </c>
    </row>
    <row r="123" spans="1:1" x14ac:dyDescent="0.45">
      <c r="A123" s="1">
        <v>536.39248842962934</v>
      </c>
    </row>
    <row r="124" spans="1:1" x14ac:dyDescent="0.45">
      <c r="A124" s="1">
        <v>220.93049742013136</v>
      </c>
    </row>
    <row r="125" spans="1:1" x14ac:dyDescent="0.45">
      <c r="A125" s="1">
        <v>255.22691671136863</v>
      </c>
    </row>
    <row r="126" spans="1:1" x14ac:dyDescent="0.45">
      <c r="A126" s="1">
        <v>135.59061651296579</v>
      </c>
    </row>
    <row r="127" spans="1:1" x14ac:dyDescent="0.45">
      <c r="A127" s="1">
        <v>472.47974649011212</v>
      </c>
    </row>
    <row r="128" spans="1:1" x14ac:dyDescent="0.45">
      <c r="A128" s="1">
        <v>679.95273325503615</v>
      </c>
    </row>
    <row r="129" spans="1:1" x14ac:dyDescent="0.45">
      <c r="A129" s="1">
        <v>117.46470521298471</v>
      </c>
    </row>
    <row r="130" spans="1:1" x14ac:dyDescent="0.45">
      <c r="A130" s="1">
        <v>59.92031507532073</v>
      </c>
    </row>
    <row r="131" spans="1:1" x14ac:dyDescent="0.45">
      <c r="A131" s="1">
        <v>187.10412979569011</v>
      </c>
    </row>
    <row r="132" spans="1:1" x14ac:dyDescent="0.45">
      <c r="A132" s="1">
        <v>251.00913706758195</v>
      </c>
    </row>
    <row r="133" spans="1:1" x14ac:dyDescent="0.45">
      <c r="A133" s="1">
        <v>218.43906919934599</v>
      </c>
    </row>
    <row r="134" spans="1:1" x14ac:dyDescent="0.45">
      <c r="A134" s="1">
        <v>434.82516443016164</v>
      </c>
    </row>
    <row r="135" spans="1:1" x14ac:dyDescent="0.45">
      <c r="A135" s="1">
        <v>221.11042209559358</v>
      </c>
    </row>
    <row r="136" spans="1:1" x14ac:dyDescent="0.45">
      <c r="A136" s="1">
        <v>172.53484271505926</v>
      </c>
    </row>
    <row r="137" spans="1:1" x14ac:dyDescent="0.45">
      <c r="A137" s="1">
        <v>495.71101325955192</v>
      </c>
    </row>
    <row r="138" spans="1:1" x14ac:dyDescent="0.45">
      <c r="A138" s="1">
        <v>213.86728633348781</v>
      </c>
    </row>
    <row r="139" spans="1:1" x14ac:dyDescent="0.45">
      <c r="A139" s="1">
        <v>511.496427037648</v>
      </c>
    </row>
    <row r="140" spans="1:1" x14ac:dyDescent="0.45">
      <c r="A140" s="1">
        <v>74.011159316182813</v>
      </c>
    </row>
    <row r="141" spans="1:1" x14ac:dyDescent="0.45">
      <c r="A141" s="1">
        <v>206.16605378324252</v>
      </c>
    </row>
    <row r="142" spans="1:1" x14ac:dyDescent="0.45">
      <c r="A142" s="1">
        <v>76.461815482975467</v>
      </c>
    </row>
    <row r="143" spans="1:1" x14ac:dyDescent="0.45">
      <c r="A143" s="1">
        <v>47.67542915595395</v>
      </c>
    </row>
    <row r="144" spans="1:1" x14ac:dyDescent="0.45">
      <c r="A144" s="1">
        <v>291.17677702452175</v>
      </c>
    </row>
    <row r="145" spans="1:1" x14ac:dyDescent="0.45">
      <c r="A145" s="1">
        <v>134.87230332402521</v>
      </c>
    </row>
    <row r="146" spans="1:1" x14ac:dyDescent="0.45">
      <c r="A146" s="1">
        <v>199.11543644843971</v>
      </c>
    </row>
    <row r="147" spans="1:1" x14ac:dyDescent="0.45">
      <c r="A147" s="1">
        <v>530.99578288292787</v>
      </c>
    </row>
    <row r="148" spans="1:1" x14ac:dyDescent="0.45">
      <c r="A148" s="1">
        <v>20.670413649223192</v>
      </c>
    </row>
    <row r="149" spans="1:1" x14ac:dyDescent="0.45">
      <c r="A149" s="1">
        <v>284.26678006048337</v>
      </c>
    </row>
    <row r="150" spans="1:1" x14ac:dyDescent="0.45">
      <c r="A150" s="1">
        <v>82.119068833463558</v>
      </c>
    </row>
    <row r="151" spans="1:1" x14ac:dyDescent="0.45">
      <c r="A151" s="1">
        <v>376.28476153968569</v>
      </c>
    </row>
    <row r="152" spans="1:1" x14ac:dyDescent="0.45">
      <c r="A152" s="1">
        <v>89.209363168845584</v>
      </c>
    </row>
    <row r="153" spans="1:1" x14ac:dyDescent="0.45">
      <c r="A153" s="1">
        <v>422.97353373003557</v>
      </c>
    </row>
    <row r="154" spans="1:1" x14ac:dyDescent="0.45">
      <c r="A154" s="1">
        <v>186.37499794933927</v>
      </c>
    </row>
    <row r="155" spans="1:1" x14ac:dyDescent="0.45">
      <c r="A155" s="1">
        <v>275.58962231740099</v>
      </c>
    </row>
    <row r="156" spans="1:1" x14ac:dyDescent="0.45">
      <c r="A156" s="1">
        <v>279.71092227464675</v>
      </c>
    </row>
    <row r="157" spans="1:1" x14ac:dyDescent="0.45">
      <c r="A157" s="1">
        <v>256.5777260229512</v>
      </c>
    </row>
    <row r="158" spans="1:1" x14ac:dyDescent="0.45">
      <c r="A158" s="1">
        <v>339.84848550874926</v>
      </c>
    </row>
    <row r="159" spans="1:1" x14ac:dyDescent="0.45">
      <c r="A159" s="1">
        <v>91.16298936540359</v>
      </c>
    </row>
    <row r="160" spans="1:1" x14ac:dyDescent="0.45">
      <c r="A160" s="1">
        <v>371.57228795950266</v>
      </c>
    </row>
    <row r="161" spans="1:1" x14ac:dyDescent="0.45">
      <c r="A161" s="1">
        <v>165.73533880031849</v>
      </c>
    </row>
    <row r="162" spans="1:1" x14ac:dyDescent="0.45">
      <c r="A162" s="1">
        <v>431.84785533197737</v>
      </c>
    </row>
    <row r="163" spans="1:1" x14ac:dyDescent="0.45">
      <c r="A163" s="1">
        <v>518.50225693162645</v>
      </c>
    </row>
    <row r="164" spans="1:1" x14ac:dyDescent="0.45">
      <c r="A164" s="1">
        <v>597.67486927964592</v>
      </c>
    </row>
    <row r="165" spans="1:1" x14ac:dyDescent="0.45">
      <c r="A165" s="1">
        <v>70.562148340304248</v>
      </c>
    </row>
    <row r="166" spans="1:1" x14ac:dyDescent="0.45">
      <c r="A166" s="1">
        <v>161.71169634723401</v>
      </c>
    </row>
    <row r="167" spans="1:1" x14ac:dyDescent="0.45">
      <c r="A167" s="1">
        <v>365.92766702071486</v>
      </c>
    </row>
    <row r="168" spans="1:1" x14ac:dyDescent="0.45">
      <c r="A168" s="1">
        <v>377.45761753511613</v>
      </c>
    </row>
    <row r="169" spans="1:1" x14ac:dyDescent="0.45">
      <c r="A169" s="1">
        <v>244.57049680440883</v>
      </c>
    </row>
    <row r="170" spans="1:1" x14ac:dyDescent="0.45">
      <c r="A170" s="1">
        <v>380.53299535209015</v>
      </c>
    </row>
    <row r="171" spans="1:1" x14ac:dyDescent="0.45">
      <c r="A171" s="1">
        <v>119.77504990150319</v>
      </c>
    </row>
    <row r="172" spans="1:1" x14ac:dyDescent="0.45">
      <c r="A172" s="1">
        <v>218.24048797629771</v>
      </c>
    </row>
    <row r="173" spans="1:1" x14ac:dyDescent="0.45">
      <c r="A173" s="1">
        <v>354.80386610839338</v>
      </c>
    </row>
    <row r="174" spans="1:1" x14ac:dyDescent="0.45">
      <c r="A174" s="1">
        <v>200.41425382552194</v>
      </c>
    </row>
    <row r="175" spans="1:1" x14ac:dyDescent="0.45">
      <c r="A175" s="1">
        <v>214.707941943381</v>
      </c>
    </row>
    <row r="176" spans="1:1" x14ac:dyDescent="0.45">
      <c r="A176" s="1">
        <v>128.24713187599914</v>
      </c>
    </row>
    <row r="177" spans="1:1" x14ac:dyDescent="0.45">
      <c r="A177" s="1">
        <v>205.95740635096305</v>
      </c>
    </row>
    <row r="178" spans="1:1" x14ac:dyDescent="0.45">
      <c r="A178" s="1">
        <v>321.52646634498285</v>
      </c>
    </row>
    <row r="179" spans="1:1" x14ac:dyDescent="0.45">
      <c r="A179" s="1">
        <v>288.73933496950207</v>
      </c>
    </row>
    <row r="180" spans="1:1" x14ac:dyDescent="0.45">
      <c r="A180" s="1">
        <v>235.36159506521165</v>
      </c>
    </row>
    <row r="181" spans="1:1" x14ac:dyDescent="0.45">
      <c r="A181" s="1">
        <v>536.03507312259637</v>
      </c>
    </row>
    <row r="182" spans="1:1" x14ac:dyDescent="0.45">
      <c r="A182" s="1">
        <v>228.25600047470829</v>
      </c>
    </row>
    <row r="183" spans="1:1" x14ac:dyDescent="0.45">
      <c r="A183" s="1">
        <v>215.51690149816432</v>
      </c>
    </row>
    <row r="184" spans="1:1" x14ac:dyDescent="0.45">
      <c r="A184" s="1">
        <v>172.97098123856031</v>
      </c>
    </row>
    <row r="185" spans="1:1" x14ac:dyDescent="0.45">
      <c r="A185" s="1">
        <v>298.65735848541505</v>
      </c>
    </row>
    <row r="186" spans="1:1" x14ac:dyDescent="0.45">
      <c r="A186" s="1">
        <v>157.53435581019252</v>
      </c>
    </row>
    <row r="187" spans="1:1" x14ac:dyDescent="0.45">
      <c r="A187" s="1">
        <v>84.03211744007605</v>
      </c>
    </row>
    <row r="188" spans="1:1" x14ac:dyDescent="0.45">
      <c r="A188" s="1">
        <v>188.71752493582289</v>
      </c>
    </row>
    <row r="189" spans="1:1" x14ac:dyDescent="0.45">
      <c r="A189" s="1">
        <v>116.60437593747307</v>
      </c>
    </row>
    <row r="190" spans="1:1" x14ac:dyDescent="0.45">
      <c r="A190" s="1">
        <v>134.94640883037687</v>
      </c>
    </row>
    <row r="191" spans="1:1" x14ac:dyDescent="0.45">
      <c r="A191" s="1">
        <v>435.11415526329688</v>
      </c>
    </row>
    <row r="192" spans="1:1" x14ac:dyDescent="0.45">
      <c r="A192" s="1">
        <v>177.72815000706601</v>
      </c>
    </row>
    <row r="193" spans="1:1" x14ac:dyDescent="0.45">
      <c r="A193" s="1">
        <v>134.98922638929375</v>
      </c>
    </row>
    <row r="194" spans="1:1" x14ac:dyDescent="0.45">
      <c r="A194" s="1">
        <v>726.69771335095948</v>
      </c>
    </row>
    <row r="195" spans="1:1" x14ac:dyDescent="0.45">
      <c r="A195" s="1">
        <v>37.717606599446796</v>
      </c>
    </row>
    <row r="196" spans="1:1" x14ac:dyDescent="0.45">
      <c r="A196" s="1">
        <v>110.9162647661596</v>
      </c>
    </row>
    <row r="197" spans="1:1" x14ac:dyDescent="0.45">
      <c r="A197" s="1">
        <v>416.9380434712856</v>
      </c>
    </row>
    <row r="198" spans="1:1" x14ac:dyDescent="0.45">
      <c r="A198" s="1">
        <v>463.39474499202589</v>
      </c>
    </row>
    <row r="199" spans="1:1" x14ac:dyDescent="0.45">
      <c r="A199" s="1">
        <v>445.64779833094963</v>
      </c>
    </row>
    <row r="200" spans="1:1" x14ac:dyDescent="0.45">
      <c r="A200" s="1">
        <v>90.023263673380285</v>
      </c>
    </row>
    <row r="201" spans="1:1" x14ac:dyDescent="0.45">
      <c r="A201" s="1">
        <v>111.84495600627909</v>
      </c>
    </row>
    <row r="202" spans="1:1" x14ac:dyDescent="0.45">
      <c r="A202" s="1">
        <v>162.30978025416906</v>
      </c>
    </row>
    <row r="203" spans="1:1" x14ac:dyDescent="0.45">
      <c r="A203" s="1">
        <v>234.84640082560213</v>
      </c>
    </row>
    <row r="204" spans="1:1" x14ac:dyDescent="0.45">
      <c r="A204" s="1">
        <v>66.950234133569865</v>
      </c>
    </row>
    <row r="205" spans="1:1" x14ac:dyDescent="0.45">
      <c r="A205" s="1">
        <v>177.5374219583199</v>
      </c>
    </row>
    <row r="206" spans="1:1" x14ac:dyDescent="0.45">
      <c r="A206" s="1">
        <v>239.54245962962358</v>
      </c>
    </row>
    <row r="207" spans="1:1" x14ac:dyDescent="0.45">
      <c r="A207" s="1">
        <v>291.72591184571502</v>
      </c>
    </row>
    <row r="208" spans="1:1" x14ac:dyDescent="0.45">
      <c r="A208" s="1">
        <v>186.39378572164745</v>
      </c>
    </row>
    <row r="209" spans="1:1" x14ac:dyDescent="0.45">
      <c r="A209" s="1">
        <v>392.71613683829855</v>
      </c>
    </row>
    <row r="210" spans="1:1" x14ac:dyDescent="0.45">
      <c r="A210" s="1">
        <v>310.43986982567407</v>
      </c>
    </row>
    <row r="211" spans="1:1" x14ac:dyDescent="0.45">
      <c r="A211" s="1">
        <v>79.840544827341972</v>
      </c>
    </row>
    <row r="212" spans="1:1" x14ac:dyDescent="0.45">
      <c r="A212" s="1">
        <v>119.33915218619305</v>
      </c>
    </row>
    <row r="213" spans="1:1" x14ac:dyDescent="0.45">
      <c r="A213" s="1">
        <v>367.23302635699696</v>
      </c>
    </row>
    <row r="214" spans="1:1" x14ac:dyDescent="0.45">
      <c r="A214" s="1">
        <v>486.35828173205414</v>
      </c>
    </row>
    <row r="215" spans="1:1" x14ac:dyDescent="0.45">
      <c r="A215" s="1">
        <v>256.05518500026949</v>
      </c>
    </row>
    <row r="216" spans="1:1" x14ac:dyDescent="0.45">
      <c r="A216" s="1">
        <v>285.08298599277799</v>
      </c>
    </row>
    <row r="217" spans="1:1" x14ac:dyDescent="0.45">
      <c r="A217" s="1">
        <v>241.71401619990274</v>
      </c>
    </row>
    <row r="218" spans="1:1" x14ac:dyDescent="0.45">
      <c r="A218" s="1">
        <v>193.87040170218972</v>
      </c>
    </row>
    <row r="219" spans="1:1" x14ac:dyDescent="0.45">
      <c r="A219" s="1">
        <v>523.79082837137696</v>
      </c>
    </row>
    <row r="220" spans="1:1" x14ac:dyDescent="0.45">
      <c r="A220" s="1">
        <v>315.01964194717908</v>
      </c>
    </row>
    <row r="221" spans="1:1" x14ac:dyDescent="0.45">
      <c r="A221" s="1">
        <v>865.33275330337858</v>
      </c>
    </row>
    <row r="222" spans="1:1" x14ac:dyDescent="0.45">
      <c r="A222" s="1">
        <v>194.59370822675589</v>
      </c>
    </row>
    <row r="223" spans="1:1" x14ac:dyDescent="0.45">
      <c r="A223" s="1">
        <v>387.39636318795874</v>
      </c>
    </row>
    <row r="224" spans="1:1" x14ac:dyDescent="0.45">
      <c r="A224" s="1">
        <v>271.6269917213491</v>
      </c>
    </row>
    <row r="225" spans="1:1" x14ac:dyDescent="0.45">
      <c r="A225" s="1">
        <v>480.38449609376869</v>
      </c>
    </row>
    <row r="226" spans="1:1" x14ac:dyDescent="0.45">
      <c r="A226" s="1">
        <v>451.21034960551799</v>
      </c>
    </row>
    <row r="227" spans="1:1" x14ac:dyDescent="0.45">
      <c r="A227" s="1">
        <v>332.09111879125544</v>
      </c>
    </row>
    <row r="228" spans="1:1" x14ac:dyDescent="0.45">
      <c r="A228" s="1">
        <v>512.84909718625829</v>
      </c>
    </row>
    <row r="229" spans="1:1" x14ac:dyDescent="0.45">
      <c r="A229" s="1">
        <v>122.96997606972863</v>
      </c>
    </row>
    <row r="230" spans="1:1" x14ac:dyDescent="0.45">
      <c r="A230" s="1">
        <v>480.00664323151329</v>
      </c>
    </row>
    <row r="231" spans="1:1" x14ac:dyDescent="0.45">
      <c r="A231" s="1">
        <v>330.10248607640631</v>
      </c>
    </row>
    <row r="232" spans="1:1" x14ac:dyDescent="0.45">
      <c r="A232" s="1">
        <v>459.81737145887951</v>
      </c>
    </row>
    <row r="233" spans="1:1" x14ac:dyDescent="0.45">
      <c r="A233" s="1">
        <v>184.61188525349203</v>
      </c>
    </row>
    <row r="234" spans="1:1" x14ac:dyDescent="0.45">
      <c r="A234" s="1">
        <v>346.98833471843756</v>
      </c>
    </row>
    <row r="235" spans="1:1" x14ac:dyDescent="0.45">
      <c r="A235" s="1">
        <v>460.73292823690343</v>
      </c>
    </row>
    <row r="236" spans="1:1" x14ac:dyDescent="0.45">
      <c r="A236" s="1">
        <v>467.9847413320195</v>
      </c>
    </row>
    <row r="237" spans="1:1" x14ac:dyDescent="0.45">
      <c r="A237" s="1">
        <v>77.622403875490676</v>
      </c>
    </row>
    <row r="238" spans="1:1" x14ac:dyDescent="0.45">
      <c r="A238" s="1">
        <v>119.58825745841665</v>
      </c>
    </row>
    <row r="239" spans="1:1" x14ac:dyDescent="0.45">
      <c r="A239" s="1">
        <v>309.06163789052243</v>
      </c>
    </row>
    <row r="240" spans="1:1" x14ac:dyDescent="0.45">
      <c r="A240" s="1">
        <v>184.82720896225106</v>
      </c>
    </row>
    <row r="241" spans="1:1" x14ac:dyDescent="0.45">
      <c r="A241" s="1">
        <v>371.43707688508533</v>
      </c>
    </row>
    <row r="242" spans="1:1" x14ac:dyDescent="0.45">
      <c r="A242" s="1">
        <v>200.06010326821254</v>
      </c>
    </row>
    <row r="243" spans="1:1" x14ac:dyDescent="0.45">
      <c r="A243" s="1">
        <v>208.77621431110893</v>
      </c>
    </row>
    <row r="244" spans="1:1" x14ac:dyDescent="0.45">
      <c r="A244" s="1">
        <v>292.37011409145134</v>
      </c>
    </row>
    <row r="245" spans="1:1" x14ac:dyDescent="0.45">
      <c r="A245" s="1">
        <v>264.26874188234132</v>
      </c>
    </row>
    <row r="246" spans="1:1" x14ac:dyDescent="0.45">
      <c r="A246" s="1">
        <v>429.0765170360126</v>
      </c>
    </row>
    <row r="247" spans="1:1" x14ac:dyDescent="0.45">
      <c r="A247" s="1">
        <v>867.77584494766484</v>
      </c>
    </row>
    <row r="248" spans="1:1" x14ac:dyDescent="0.45">
      <c r="A248" s="1">
        <v>130.81690961984725</v>
      </c>
    </row>
    <row r="249" spans="1:1" x14ac:dyDescent="0.45">
      <c r="A249" s="1">
        <v>184.54945804544684</v>
      </c>
    </row>
    <row r="250" spans="1:1" x14ac:dyDescent="0.45">
      <c r="A250" s="1">
        <v>142.39879947909134</v>
      </c>
    </row>
    <row r="251" spans="1:1" x14ac:dyDescent="0.45">
      <c r="A251" s="1">
        <v>291.26399274604813</v>
      </c>
    </row>
    <row r="252" spans="1:1" x14ac:dyDescent="0.45">
      <c r="A252" s="1">
        <v>179.83761527092958</v>
      </c>
    </row>
    <row r="253" spans="1:1" x14ac:dyDescent="0.45">
      <c r="A253" s="1">
        <v>79.013566197284092</v>
      </c>
    </row>
    <row r="254" spans="1:1" x14ac:dyDescent="0.45">
      <c r="A254" s="1">
        <v>424.13906377686402</v>
      </c>
    </row>
    <row r="255" spans="1:1" x14ac:dyDescent="0.45">
      <c r="A255" s="1">
        <v>210.27814426747537</v>
      </c>
    </row>
    <row r="256" spans="1:1" x14ac:dyDescent="0.45">
      <c r="A256" s="1">
        <v>334.75080264001713</v>
      </c>
    </row>
    <row r="257" spans="1:1" x14ac:dyDescent="0.45">
      <c r="A257" s="1">
        <v>518.77563511668131</v>
      </c>
    </row>
    <row r="258" spans="1:1" x14ac:dyDescent="0.45">
      <c r="A258" s="1">
        <v>61.397898222383425</v>
      </c>
    </row>
    <row r="259" spans="1:1" x14ac:dyDescent="0.45">
      <c r="A259" s="1">
        <v>281.6184921872071</v>
      </c>
    </row>
    <row r="260" spans="1:1" x14ac:dyDescent="0.45">
      <c r="A260" s="1">
        <v>290.77485568812358</v>
      </c>
    </row>
    <row r="261" spans="1:1" x14ac:dyDescent="0.45">
      <c r="A261" s="1">
        <v>620.76555402821157</v>
      </c>
    </row>
    <row r="262" spans="1:1" x14ac:dyDescent="0.45">
      <c r="A262" s="1">
        <v>277.16883007229029</v>
      </c>
    </row>
    <row r="263" spans="1:1" x14ac:dyDescent="0.45">
      <c r="A263" s="1">
        <v>130.53417702164145</v>
      </c>
    </row>
    <row r="264" spans="1:1" x14ac:dyDescent="0.45">
      <c r="A264" s="1">
        <v>224.6911762536235</v>
      </c>
    </row>
    <row r="265" spans="1:1" x14ac:dyDescent="0.45">
      <c r="A265" s="1">
        <v>91.293203068559166</v>
      </c>
    </row>
    <row r="266" spans="1:1" x14ac:dyDescent="0.45">
      <c r="A266" s="1">
        <v>489.83729786120944</v>
      </c>
    </row>
    <row r="267" spans="1:1" x14ac:dyDescent="0.45">
      <c r="A267" s="1">
        <v>171.93808248286928</v>
      </c>
    </row>
    <row r="268" spans="1:1" x14ac:dyDescent="0.45">
      <c r="A268" s="1">
        <v>127.74069801309761</v>
      </c>
    </row>
    <row r="269" spans="1:1" x14ac:dyDescent="0.45">
      <c r="A269" s="1">
        <v>662.8111931353335</v>
      </c>
    </row>
    <row r="270" spans="1:1" x14ac:dyDescent="0.45">
      <c r="A270" s="1">
        <v>313.04575332232662</v>
      </c>
    </row>
    <row r="271" spans="1:1" x14ac:dyDescent="0.45">
      <c r="A271" s="1">
        <v>310.21369813644799</v>
      </c>
    </row>
    <row r="272" spans="1:1" x14ac:dyDescent="0.45">
      <c r="A272" s="1">
        <v>92.858391169629328</v>
      </c>
    </row>
    <row r="273" spans="1:1" x14ac:dyDescent="0.45">
      <c r="A273" s="1">
        <v>124.30171322792503</v>
      </c>
    </row>
    <row r="274" spans="1:1" x14ac:dyDescent="0.45">
      <c r="A274" s="1">
        <v>323.14036860304128</v>
      </c>
    </row>
    <row r="275" spans="1:1" x14ac:dyDescent="0.45">
      <c r="A275" s="1">
        <v>149.17970318256215</v>
      </c>
    </row>
    <row r="276" spans="1:1" x14ac:dyDescent="0.45">
      <c r="A276" s="1">
        <v>80.646400483547254</v>
      </c>
    </row>
    <row r="277" spans="1:1" x14ac:dyDescent="0.45">
      <c r="A277" s="1">
        <v>454.99203276299579</v>
      </c>
    </row>
    <row r="278" spans="1:1" x14ac:dyDescent="0.45">
      <c r="A278" s="1">
        <v>332.40057234751691</v>
      </c>
    </row>
    <row r="279" spans="1:1" x14ac:dyDescent="0.45">
      <c r="A279" s="1">
        <v>612.4557931085468</v>
      </c>
    </row>
    <row r="280" spans="1:1" x14ac:dyDescent="0.45">
      <c r="A280" s="1">
        <v>572.58474270260967</v>
      </c>
    </row>
    <row r="281" spans="1:1" x14ac:dyDescent="0.45">
      <c r="A281" s="1">
        <v>56.083659595874558</v>
      </c>
    </row>
    <row r="282" spans="1:1" x14ac:dyDescent="0.45">
      <c r="A282" s="1">
        <v>329.4403542661974</v>
      </c>
    </row>
    <row r="283" spans="1:1" x14ac:dyDescent="0.45">
      <c r="A283" s="1">
        <v>365.64599340118349</v>
      </c>
    </row>
    <row r="284" spans="1:1" x14ac:dyDescent="0.45">
      <c r="A284" s="1">
        <v>126.82603233645506</v>
      </c>
    </row>
    <row r="285" spans="1:1" x14ac:dyDescent="0.45">
      <c r="A285" s="1">
        <v>294.07961924215846</v>
      </c>
    </row>
    <row r="286" spans="1:1" x14ac:dyDescent="0.45">
      <c r="A286" s="1">
        <v>1175.2574865837441</v>
      </c>
    </row>
    <row r="287" spans="1:1" x14ac:dyDescent="0.45">
      <c r="A287" s="1">
        <v>194.39564368997893</v>
      </c>
    </row>
    <row r="288" spans="1:1" x14ac:dyDescent="0.45">
      <c r="A288" s="1">
        <v>484.62499695018482</v>
      </c>
    </row>
    <row r="289" spans="1:1" x14ac:dyDescent="0.45">
      <c r="A289" s="1">
        <v>81.820791783476238</v>
      </c>
    </row>
    <row r="290" spans="1:1" x14ac:dyDescent="0.45">
      <c r="A290" s="1">
        <v>216.83048561323341</v>
      </c>
    </row>
    <row r="291" spans="1:1" x14ac:dyDescent="0.45">
      <c r="A291" s="1">
        <v>166.16341596586523</v>
      </c>
    </row>
    <row r="292" spans="1:1" x14ac:dyDescent="0.45">
      <c r="A292" s="1">
        <v>119.94525731901157</v>
      </c>
    </row>
    <row r="293" spans="1:1" x14ac:dyDescent="0.45">
      <c r="A293" s="1">
        <v>166.84843737976666</v>
      </c>
    </row>
    <row r="294" spans="1:1" x14ac:dyDescent="0.45">
      <c r="A294" s="1">
        <v>776.85745898782318</v>
      </c>
    </row>
    <row r="295" spans="1:1" x14ac:dyDescent="0.45">
      <c r="A295" s="1">
        <v>268.29252853274653</v>
      </c>
    </row>
    <row r="296" spans="1:1" x14ac:dyDescent="0.45">
      <c r="A296" s="1">
        <v>100.90005371730453</v>
      </c>
    </row>
    <row r="297" spans="1:1" x14ac:dyDescent="0.45">
      <c r="A297" s="1">
        <v>132.23708960717579</v>
      </c>
    </row>
    <row r="298" spans="1:1" x14ac:dyDescent="0.45">
      <c r="A298" s="1">
        <v>355.01246274237479</v>
      </c>
    </row>
    <row r="299" spans="1:1" x14ac:dyDescent="0.45">
      <c r="A299" s="1">
        <v>287.47470278036786</v>
      </c>
    </row>
    <row r="300" spans="1:1" x14ac:dyDescent="0.45">
      <c r="A300" s="1">
        <v>218.61940586082983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928C-74BD-4808-89B4-9E3E4AA7B6DE}">
  <sheetPr codeName="Лист11"/>
  <dimension ref="A1:E300"/>
  <sheetViews>
    <sheetView workbookViewId="0">
      <selection activeCell="E1" sqref="E1:E300"/>
    </sheetView>
  </sheetViews>
  <sheetFormatPr defaultRowHeight="14.25" x14ac:dyDescent="0.45"/>
  <sheetData>
    <row r="1" spans="1:5" x14ac:dyDescent="0.45">
      <c r="A1" cm="1">
        <f t="array" aca="1" ref="A1:C300" ca="1">_xlfn.RANDARRAY(300,3)</f>
        <v>0.56887433576728719</v>
      </c>
      <c r="B1">
        <f ca="1"/>
        <v>0.14260990039136434</v>
      </c>
      <c r="C1">
        <f ca="1"/>
        <v>0.36190286501620461</v>
      </c>
      <c r="D1">
        <f ca="1">-LN((A1*B1*C1)/(3*0.0101))</f>
        <v>3.1509931354243424E-2</v>
      </c>
      <c r="E1">
        <f ca="1">-LN(RAND()*RAND()*RAND()) / (3*0.003618)</f>
        <v>318.14091501485183</v>
      </c>
    </row>
    <row r="2" spans="1:5" x14ac:dyDescent="0.45">
      <c r="A2">
        <f ca="1"/>
        <v>0.34046919833086497</v>
      </c>
      <c r="B2">
        <f ca="1"/>
        <v>0.78740105508598823</v>
      </c>
      <c r="C2">
        <f ca="1"/>
        <v>0.19290432648793376</v>
      </c>
      <c r="D2">
        <f t="shared" ref="D2:D65" ca="1" si="0">-LN((A2*B2*C2)/(3*0.0101))</f>
        <v>-0.53459845769105363</v>
      </c>
      <c r="E2">
        <f t="shared" ref="E2:E65" ca="1" si="1">-LN(RAND()*RAND()*RAND()) / (3*0.003618)</f>
        <v>222.52449541452106</v>
      </c>
    </row>
    <row r="3" spans="1:5" x14ac:dyDescent="0.45">
      <c r="A3">
        <f ca="1"/>
        <v>0.26320173985275064</v>
      </c>
      <c r="B3">
        <f ca="1"/>
        <v>0.28539473333515897</v>
      </c>
      <c r="C3">
        <f ca="1"/>
        <v>0.41383155121234316</v>
      </c>
      <c r="D3">
        <f t="shared" ca="1" si="0"/>
        <v>-2.5594800476162433E-2</v>
      </c>
      <c r="E3">
        <f t="shared" ca="1" si="1"/>
        <v>398.11300594674901</v>
      </c>
    </row>
    <row r="4" spans="1:5" x14ac:dyDescent="0.45">
      <c r="A4">
        <f ca="1"/>
        <v>7.4800678192237902E-2</v>
      </c>
      <c r="B4">
        <f ca="1"/>
        <v>0.27979062299097834</v>
      </c>
      <c r="C4">
        <f ca="1"/>
        <v>0.67961663961875129</v>
      </c>
      <c r="D4">
        <f t="shared" ca="1" si="0"/>
        <v>0.75626089645707606</v>
      </c>
      <c r="E4">
        <f t="shared" ca="1" si="1"/>
        <v>148.30624668125287</v>
      </c>
    </row>
    <row r="5" spans="1:5" x14ac:dyDescent="0.45">
      <c r="A5">
        <f ca="1"/>
        <v>0.71158059091840253</v>
      </c>
      <c r="B5">
        <f ca="1"/>
        <v>0.11596192238972569</v>
      </c>
      <c r="C5">
        <f ca="1"/>
        <v>0.3934896907235006</v>
      </c>
      <c r="D5">
        <f t="shared" ca="1" si="0"/>
        <v>-6.9147160219185363E-2</v>
      </c>
      <c r="E5">
        <f t="shared" ca="1" si="1"/>
        <v>440.76540062616209</v>
      </c>
    </row>
    <row r="6" spans="1:5" x14ac:dyDescent="0.45">
      <c r="A6">
        <f ca="1"/>
        <v>0.67120169994371093</v>
      </c>
      <c r="B6">
        <f ca="1"/>
        <v>0.38853434862356351</v>
      </c>
      <c r="C6">
        <f ca="1"/>
        <v>0.12994433235125835</v>
      </c>
      <c r="D6">
        <f t="shared" ca="1" si="0"/>
        <v>-0.11189914277209559</v>
      </c>
      <c r="E6">
        <f t="shared" ca="1" si="1"/>
        <v>447.73253389767746</v>
      </c>
    </row>
    <row r="7" spans="1:5" x14ac:dyDescent="0.45">
      <c r="A7">
        <f ca="1"/>
        <v>0.2886254441110041</v>
      </c>
      <c r="B7">
        <f ca="1"/>
        <v>0.13990401670311758</v>
      </c>
      <c r="C7">
        <f ca="1"/>
        <v>0.46894385566137098</v>
      </c>
      <c r="D7">
        <f t="shared" ca="1" si="0"/>
        <v>0.47008882105235245</v>
      </c>
      <c r="E7">
        <f t="shared" ca="1" si="1"/>
        <v>508.77008433600173</v>
      </c>
    </row>
    <row r="8" spans="1:5" x14ac:dyDescent="0.45">
      <c r="A8">
        <f ca="1"/>
        <v>0.9876491603094284</v>
      </c>
      <c r="B8">
        <f ca="1"/>
        <v>0.26797638657613732</v>
      </c>
      <c r="C8">
        <f ca="1"/>
        <v>3.3198486081032152E-2</v>
      </c>
      <c r="D8">
        <f t="shared" ca="1" si="0"/>
        <v>1.2379275949441226</v>
      </c>
      <c r="E8">
        <f t="shared" ca="1" si="1"/>
        <v>961.04811809436183</v>
      </c>
    </row>
    <row r="9" spans="1:5" x14ac:dyDescent="0.45">
      <c r="A9">
        <f ca="1"/>
        <v>0.7382557186690486</v>
      </c>
      <c r="B9">
        <f ca="1"/>
        <v>0.21252985626413889</v>
      </c>
      <c r="C9">
        <f ca="1"/>
        <v>0.33517903472531763</v>
      </c>
      <c r="D9">
        <f t="shared" ca="1" si="0"/>
        <v>-0.55137929600922186</v>
      </c>
      <c r="E9">
        <f t="shared" ca="1" si="1"/>
        <v>500.86248702004133</v>
      </c>
    </row>
    <row r="10" spans="1:5" x14ac:dyDescent="0.45">
      <c r="A10">
        <f ca="1"/>
        <v>2.3469755135963055E-4</v>
      </c>
      <c r="B10">
        <f ca="1"/>
        <v>0.38469969386810687</v>
      </c>
      <c r="C10">
        <f ca="1"/>
        <v>0.90160203268110473</v>
      </c>
      <c r="D10">
        <f t="shared" ca="1" si="0"/>
        <v>5.9194796484846224</v>
      </c>
      <c r="E10">
        <f t="shared" ca="1" si="1"/>
        <v>239.32820267375268</v>
      </c>
    </row>
    <row r="11" spans="1:5" x14ac:dyDescent="0.45">
      <c r="A11">
        <f ca="1"/>
        <v>7.1584576199018146E-2</v>
      </c>
      <c r="B11">
        <f ca="1"/>
        <v>0.79110337686255838</v>
      </c>
      <c r="C11">
        <f ca="1"/>
        <v>0.71262513460553478</v>
      </c>
      <c r="D11">
        <f t="shared" ca="1" si="0"/>
        <v>-0.28660553888964052</v>
      </c>
      <c r="E11">
        <f t="shared" ca="1" si="1"/>
        <v>310.54368015136572</v>
      </c>
    </row>
    <row r="12" spans="1:5" x14ac:dyDescent="0.45">
      <c r="A12">
        <f ca="1"/>
        <v>0.52656532457638927</v>
      </c>
      <c r="B12">
        <f ca="1"/>
        <v>0.94691098045905187</v>
      </c>
      <c r="C12">
        <f ca="1"/>
        <v>0.41628295198529153</v>
      </c>
      <c r="D12">
        <f t="shared" ca="1" si="0"/>
        <v>-1.9242874158979191</v>
      </c>
      <c r="E12">
        <f t="shared" ca="1" si="1"/>
        <v>161.46755988574841</v>
      </c>
    </row>
    <row r="13" spans="1:5" x14ac:dyDescent="0.45">
      <c r="A13">
        <f ca="1"/>
        <v>0.32548952245880902</v>
      </c>
      <c r="B13">
        <f ca="1"/>
        <v>0.9840188692246179</v>
      </c>
      <c r="C13">
        <f ca="1"/>
        <v>0.76530019391367987</v>
      </c>
      <c r="D13">
        <f t="shared" ca="1" si="0"/>
        <v>-2.0905852416923945</v>
      </c>
      <c r="E13">
        <f t="shared" ca="1" si="1"/>
        <v>160.95686609231939</v>
      </c>
    </row>
    <row r="14" spans="1:5" x14ac:dyDescent="0.45">
      <c r="A14">
        <f ca="1"/>
        <v>3.2118396336744182E-2</v>
      </c>
      <c r="B14">
        <f ca="1"/>
        <v>0.77550215676537992</v>
      </c>
      <c r="C14">
        <f ca="1"/>
        <v>0.40018198375803471</v>
      </c>
      <c r="D14">
        <f t="shared" ca="1" si="0"/>
        <v>1.1117991431150587</v>
      </c>
      <c r="E14">
        <f t="shared" ca="1" si="1"/>
        <v>287.65952871957978</v>
      </c>
    </row>
    <row r="15" spans="1:5" x14ac:dyDescent="0.45">
      <c r="A15">
        <f ca="1"/>
        <v>0.26404163098861866</v>
      </c>
      <c r="B15">
        <f ca="1"/>
        <v>0.44942914199219564</v>
      </c>
      <c r="C15">
        <f ca="1"/>
        <v>0.31696425955473706</v>
      </c>
      <c r="D15">
        <f t="shared" ca="1" si="0"/>
        <v>-0.21621573910341699</v>
      </c>
      <c r="E15">
        <f t="shared" ca="1" si="1"/>
        <v>79.495733846546031</v>
      </c>
    </row>
    <row r="16" spans="1:5" x14ac:dyDescent="0.45">
      <c r="A16">
        <f ca="1"/>
        <v>0.35592617663459092</v>
      </c>
      <c r="B16">
        <f ca="1"/>
        <v>0.45204621481639129</v>
      </c>
      <c r="C16">
        <f ca="1"/>
        <v>0.44803721831870225</v>
      </c>
      <c r="D16">
        <f t="shared" ca="1" si="0"/>
        <v>-0.86672579520766879</v>
      </c>
      <c r="E16">
        <f t="shared" ca="1" si="1"/>
        <v>273.6864635579542</v>
      </c>
    </row>
    <row r="17" spans="1:5" x14ac:dyDescent="0.45">
      <c r="A17">
        <f ca="1"/>
        <v>0.12476056684842018</v>
      </c>
      <c r="B17">
        <f ca="1"/>
        <v>0.10829806389413088</v>
      </c>
      <c r="C17">
        <f ca="1"/>
        <v>0.44372605441012047</v>
      </c>
      <c r="D17">
        <f t="shared" ca="1" si="0"/>
        <v>1.620167181198501</v>
      </c>
      <c r="E17">
        <f t="shared" ca="1" si="1"/>
        <v>246.1828840127144</v>
      </c>
    </row>
    <row r="18" spans="1:5" x14ac:dyDescent="0.45">
      <c r="A18">
        <f ca="1"/>
        <v>0.61184306685525636</v>
      </c>
      <c r="B18">
        <f ca="1"/>
        <v>0.41017519859555063</v>
      </c>
      <c r="C18">
        <f ca="1"/>
        <v>0.30279546683180203</v>
      </c>
      <c r="D18">
        <f t="shared" ca="1" si="0"/>
        <v>-0.91945948513458642</v>
      </c>
      <c r="E18">
        <f t="shared" ca="1" si="1"/>
        <v>511.28874134115864</v>
      </c>
    </row>
    <row r="19" spans="1:5" x14ac:dyDescent="0.45">
      <c r="A19">
        <f ca="1"/>
        <v>0.35373405344097586</v>
      </c>
      <c r="B19">
        <f ca="1"/>
        <v>0.9794630311830308</v>
      </c>
      <c r="C19">
        <f ca="1"/>
        <v>0.88883321568598239</v>
      </c>
      <c r="D19">
        <f t="shared" ca="1" si="0"/>
        <v>-2.3188012019940012</v>
      </c>
      <c r="E19">
        <f t="shared" ca="1" si="1"/>
        <v>430.24020694003104</v>
      </c>
    </row>
    <row r="20" spans="1:5" x14ac:dyDescent="0.45">
      <c r="A20">
        <f ca="1"/>
        <v>0.56246850149087879</v>
      </c>
      <c r="B20">
        <f ca="1"/>
        <v>5.4346619360037263E-3</v>
      </c>
      <c r="C20">
        <f ca="1"/>
        <v>0.49721972374198864</v>
      </c>
      <c r="D20">
        <f t="shared" ca="1" si="0"/>
        <v>2.9924937894834875</v>
      </c>
      <c r="E20">
        <f t="shared" ca="1" si="1"/>
        <v>363.19239812840601</v>
      </c>
    </row>
    <row r="21" spans="1:5" x14ac:dyDescent="0.45">
      <c r="A21">
        <f ca="1"/>
        <v>0.48985140142575423</v>
      </c>
      <c r="B21">
        <f ca="1"/>
        <v>0.19586141893318598</v>
      </c>
      <c r="C21">
        <f ca="1"/>
        <v>0.78167317226132416</v>
      </c>
      <c r="D21">
        <f t="shared" ca="1" si="0"/>
        <v>-0.90628789003150023</v>
      </c>
      <c r="E21">
        <f t="shared" ca="1" si="1"/>
        <v>754.14822183576996</v>
      </c>
    </row>
    <row r="22" spans="1:5" x14ac:dyDescent="0.45">
      <c r="A22">
        <f ca="1"/>
        <v>0.2694618289766304</v>
      </c>
      <c r="B22">
        <f ca="1"/>
        <v>0.33297148657071607</v>
      </c>
      <c r="C22">
        <f ca="1"/>
        <v>0.93079086518319953</v>
      </c>
      <c r="D22">
        <f t="shared" ca="1" si="0"/>
        <v>-1.0138599512267077</v>
      </c>
      <c r="E22">
        <f t="shared" ca="1" si="1"/>
        <v>112.17203817585063</v>
      </c>
    </row>
    <row r="23" spans="1:5" x14ac:dyDescent="0.45">
      <c r="A23">
        <f ca="1"/>
        <v>0.31110430133088851</v>
      </c>
      <c r="B23">
        <f ca="1"/>
        <v>0.58055085651713956</v>
      </c>
      <c r="C23">
        <f ca="1"/>
        <v>0.38194052831996328</v>
      </c>
      <c r="D23">
        <f t="shared" ca="1" si="0"/>
        <v>-0.82271227641533473</v>
      </c>
      <c r="E23">
        <f t="shared" ca="1" si="1"/>
        <v>415.47323334019359</v>
      </c>
    </row>
    <row r="24" spans="1:5" x14ac:dyDescent="0.45">
      <c r="A24">
        <f ca="1"/>
        <v>0.44347605812025725</v>
      </c>
      <c r="B24">
        <f ca="1"/>
        <v>0.9602788985747992</v>
      </c>
      <c r="C24">
        <f ca="1"/>
        <v>0.10846363318298646</v>
      </c>
      <c r="D24">
        <f t="shared" ca="1" si="0"/>
        <v>-0.42162424624441269</v>
      </c>
      <c r="E24">
        <f t="shared" ca="1" si="1"/>
        <v>495.09302676821642</v>
      </c>
    </row>
    <row r="25" spans="1:5" x14ac:dyDescent="0.45">
      <c r="A25">
        <f ca="1"/>
        <v>0.11787771599219266</v>
      </c>
      <c r="B25">
        <f ca="1"/>
        <v>0.62592151446588118</v>
      </c>
      <c r="C25">
        <f ca="1"/>
        <v>0.9298973568176927</v>
      </c>
      <c r="D25">
        <f t="shared" ca="1" si="0"/>
        <v>-0.81728870952992705</v>
      </c>
      <c r="E25">
        <f t="shared" ca="1" si="1"/>
        <v>126.90673878456988</v>
      </c>
    </row>
    <row r="26" spans="1:5" x14ac:dyDescent="0.45">
      <c r="A26">
        <f ca="1"/>
        <v>0.83886291874223207</v>
      </c>
      <c r="B26">
        <f ca="1"/>
        <v>0.5696999434283625</v>
      </c>
      <c r="C26">
        <f ca="1"/>
        <v>0.41044183838304238</v>
      </c>
      <c r="D26">
        <f t="shared" ca="1" si="0"/>
        <v>-1.8677330773811953</v>
      </c>
      <c r="E26">
        <f t="shared" ca="1" si="1"/>
        <v>319.32021098651842</v>
      </c>
    </row>
    <row r="27" spans="1:5" x14ac:dyDescent="0.45">
      <c r="A27">
        <f ca="1"/>
        <v>0.66704949333136709</v>
      </c>
      <c r="B27">
        <f ca="1"/>
        <v>1.0881822339353642E-2</v>
      </c>
      <c r="C27">
        <f ca="1"/>
        <v>0.70550695482485182</v>
      </c>
      <c r="D27">
        <f t="shared" ca="1" si="0"/>
        <v>1.7777836733406389</v>
      </c>
      <c r="E27">
        <f t="shared" ca="1" si="1"/>
        <v>373.09862375771405</v>
      </c>
    </row>
    <row r="28" spans="1:5" x14ac:dyDescent="0.45">
      <c r="A28">
        <f ca="1"/>
        <v>0.83046469161829939</v>
      </c>
      <c r="B28">
        <f ca="1"/>
        <v>0.36131460069276788</v>
      </c>
      <c r="C28">
        <f ca="1"/>
        <v>0.25410990271836509</v>
      </c>
      <c r="D28">
        <f t="shared" ca="1" si="0"/>
        <v>-0.92284305325237348</v>
      </c>
      <c r="E28">
        <f t="shared" ca="1" si="1"/>
        <v>62.763213279021379</v>
      </c>
    </row>
    <row r="29" spans="1:5" x14ac:dyDescent="0.45">
      <c r="A29">
        <f ca="1"/>
        <v>0.75460371001543991</v>
      </c>
      <c r="B29">
        <f ca="1"/>
        <v>0.27365085915822074</v>
      </c>
      <c r="C29">
        <f ca="1"/>
        <v>0.55970865647295875</v>
      </c>
      <c r="D29">
        <f t="shared" ca="1" si="0"/>
        <v>-1.338803902831101</v>
      </c>
      <c r="E29">
        <f t="shared" ca="1" si="1"/>
        <v>425.2774094167778</v>
      </c>
    </row>
    <row r="30" spans="1:5" x14ac:dyDescent="0.45">
      <c r="A30">
        <f ca="1"/>
        <v>0.10822349252492991</v>
      </c>
      <c r="B30">
        <f ca="1"/>
        <v>0.16422573911868543</v>
      </c>
      <c r="C30">
        <f ca="1"/>
        <v>0.80872152230214756</v>
      </c>
      <c r="D30">
        <f t="shared" ca="1" si="0"/>
        <v>0.74576323371315534</v>
      </c>
      <c r="E30">
        <f t="shared" ca="1" si="1"/>
        <v>405.06061915238621</v>
      </c>
    </row>
    <row r="31" spans="1:5" x14ac:dyDescent="0.45">
      <c r="A31">
        <f ca="1"/>
        <v>0.27614058183853052</v>
      </c>
      <c r="B31">
        <f ca="1"/>
        <v>0.34370496750123403</v>
      </c>
      <c r="C31">
        <f ca="1"/>
        <v>0.24273434286278972</v>
      </c>
      <c r="D31">
        <f t="shared" ca="1" si="0"/>
        <v>0.27399693711485135</v>
      </c>
      <c r="E31">
        <f t="shared" ca="1" si="1"/>
        <v>188.84240041705013</v>
      </c>
    </row>
    <row r="32" spans="1:5" x14ac:dyDescent="0.45">
      <c r="A32">
        <f ca="1"/>
        <v>0.86848253195701819</v>
      </c>
      <c r="B32">
        <f ca="1"/>
        <v>0.18153663162691402</v>
      </c>
      <c r="C32">
        <f ca="1"/>
        <v>0.15594246902687536</v>
      </c>
      <c r="D32">
        <f t="shared" ca="1" si="0"/>
        <v>0.20896618646119061</v>
      </c>
      <c r="E32">
        <f t="shared" ca="1" si="1"/>
        <v>424.01252730975023</v>
      </c>
    </row>
    <row r="33" spans="1:5" x14ac:dyDescent="0.45">
      <c r="A33">
        <f ca="1"/>
        <v>0.82974557846262953</v>
      </c>
      <c r="B33">
        <f ca="1"/>
        <v>0.62646030116726337</v>
      </c>
      <c r="C33">
        <f ca="1"/>
        <v>0.34915634606231016</v>
      </c>
      <c r="D33">
        <f t="shared" ca="1" si="0"/>
        <v>-1.7900660624969122</v>
      </c>
      <c r="E33">
        <f t="shared" ca="1" si="1"/>
        <v>186.24615544399506</v>
      </c>
    </row>
    <row r="34" spans="1:5" x14ac:dyDescent="0.45">
      <c r="A34">
        <f ca="1"/>
        <v>0.78404275359910902</v>
      </c>
      <c r="B34">
        <f ca="1"/>
        <v>0.51231554604867302</v>
      </c>
      <c r="C34">
        <f ca="1"/>
        <v>0.6193223187019774</v>
      </c>
      <c r="D34">
        <f t="shared" ca="1" si="0"/>
        <v>-2.1053718630061069</v>
      </c>
      <c r="E34">
        <f t="shared" ca="1" si="1"/>
        <v>258.04968770020423</v>
      </c>
    </row>
    <row r="35" spans="1:5" x14ac:dyDescent="0.45">
      <c r="A35">
        <f ca="1"/>
        <v>0.35654957037640278</v>
      </c>
      <c r="B35">
        <f ca="1"/>
        <v>0.38752533283591539</v>
      </c>
      <c r="C35">
        <f ca="1"/>
        <v>0.1678831553700042</v>
      </c>
      <c r="D35">
        <f t="shared" ca="1" si="0"/>
        <v>0.26713553755697367</v>
      </c>
      <c r="E35">
        <f t="shared" ca="1" si="1"/>
        <v>281.5782036579688</v>
      </c>
    </row>
    <row r="36" spans="1:5" x14ac:dyDescent="0.45">
      <c r="A36">
        <f ca="1"/>
        <v>0.95584873987814234</v>
      </c>
      <c r="B36">
        <f ca="1"/>
        <v>0.98718943332318565</v>
      </c>
      <c r="C36">
        <f ca="1"/>
        <v>0.2046303935088889</v>
      </c>
      <c r="D36">
        <f t="shared" ca="1" si="0"/>
        <v>-1.8520087509377543</v>
      </c>
      <c r="E36">
        <f t="shared" ca="1" si="1"/>
        <v>186.03970983863047</v>
      </c>
    </row>
    <row r="37" spans="1:5" x14ac:dyDescent="0.45">
      <c r="A37">
        <f ca="1"/>
        <v>0.48005649807486206</v>
      </c>
      <c r="B37">
        <f ca="1"/>
        <v>0.35052788042428196</v>
      </c>
      <c r="C37">
        <f ca="1"/>
        <v>0.87769555985123904</v>
      </c>
      <c r="D37">
        <f t="shared" ca="1" si="0"/>
        <v>-1.5839855695889677</v>
      </c>
      <c r="E37">
        <f t="shared" ca="1" si="1"/>
        <v>372.53554715154576</v>
      </c>
    </row>
    <row r="38" spans="1:5" x14ac:dyDescent="0.45">
      <c r="A38">
        <f ca="1"/>
        <v>0.93809122036212278</v>
      </c>
      <c r="B38">
        <f ca="1"/>
        <v>0.18515588067595656</v>
      </c>
      <c r="C38">
        <f ca="1"/>
        <v>0.90212394228756176</v>
      </c>
      <c r="D38">
        <f t="shared" ca="1" si="0"/>
        <v>-1.6431389111153256</v>
      </c>
      <c r="E38">
        <f t="shared" ca="1" si="1"/>
        <v>125.56770361912911</v>
      </c>
    </row>
    <row r="39" spans="1:5" x14ac:dyDescent="0.45">
      <c r="A39">
        <f ca="1"/>
        <v>0.24140290183719149</v>
      </c>
      <c r="B39">
        <f ca="1"/>
        <v>0.17618052822316432</v>
      </c>
      <c r="C39">
        <f ca="1"/>
        <v>0.15700480127395777</v>
      </c>
      <c r="D39">
        <f t="shared" ca="1" si="0"/>
        <v>1.5124053568995526</v>
      </c>
      <c r="E39">
        <f t="shared" ca="1" si="1"/>
        <v>210.71184809154272</v>
      </c>
    </row>
    <row r="40" spans="1:5" x14ac:dyDescent="0.45">
      <c r="A40">
        <f ca="1"/>
        <v>0.47182239601202225</v>
      </c>
      <c r="B40">
        <f ca="1"/>
        <v>0.94988826285578898</v>
      </c>
      <c r="C40">
        <f ca="1"/>
        <v>0.29237242201666969</v>
      </c>
      <c r="D40">
        <f t="shared" ca="1" si="0"/>
        <v>-1.4643171317691022</v>
      </c>
      <c r="E40">
        <f t="shared" ca="1" si="1"/>
        <v>47.859789058829854</v>
      </c>
    </row>
    <row r="41" spans="1:5" x14ac:dyDescent="0.45">
      <c r="A41">
        <f ca="1"/>
        <v>0.51433954361361689</v>
      </c>
      <c r="B41">
        <f ca="1"/>
        <v>0.82612301146110823</v>
      </c>
      <c r="C41">
        <f ca="1"/>
        <v>0.92918626114005076</v>
      </c>
      <c r="D41">
        <f t="shared" ca="1" si="0"/>
        <v>-2.5672782693898522</v>
      </c>
      <c r="E41">
        <f t="shared" ca="1" si="1"/>
        <v>331.32798633236547</v>
      </c>
    </row>
    <row r="42" spans="1:5" x14ac:dyDescent="0.45">
      <c r="A42">
        <f ca="1"/>
        <v>0.8122826802619274</v>
      </c>
      <c r="B42">
        <f ca="1"/>
        <v>0.46186869752547755</v>
      </c>
      <c r="C42">
        <f ca="1"/>
        <v>0.64610995236486435</v>
      </c>
      <c r="D42">
        <f t="shared" ca="1" si="0"/>
        <v>-2.0794404778970796</v>
      </c>
      <c r="E42">
        <f t="shared" ca="1" si="1"/>
        <v>201.55872696505929</v>
      </c>
    </row>
    <row r="43" spans="1:5" x14ac:dyDescent="0.45">
      <c r="A43">
        <f ca="1"/>
        <v>0.61836181145590374</v>
      </c>
      <c r="B43">
        <f ca="1"/>
        <v>0.85931461966607259</v>
      </c>
      <c r="C43">
        <f ca="1"/>
        <v>0.37698782009143206</v>
      </c>
      <c r="D43">
        <f t="shared" ca="1" si="0"/>
        <v>-1.888763468206847</v>
      </c>
      <c r="E43">
        <f t="shared" ca="1" si="1"/>
        <v>142.71994789435098</v>
      </c>
    </row>
    <row r="44" spans="1:5" x14ac:dyDescent="0.45">
      <c r="A44">
        <f ca="1"/>
        <v>0.98227448298536135</v>
      </c>
      <c r="B44">
        <f ca="1"/>
        <v>0.85915658726420441</v>
      </c>
      <c r="C44">
        <f ca="1"/>
        <v>0.6947301311490337</v>
      </c>
      <c r="D44">
        <f t="shared" ca="1" si="0"/>
        <v>-2.9626871782623305</v>
      </c>
      <c r="E44">
        <f t="shared" ca="1" si="1"/>
        <v>216.4361031362711</v>
      </c>
    </row>
    <row r="45" spans="1:5" x14ac:dyDescent="0.45">
      <c r="A45">
        <f ca="1"/>
        <v>0.69335908118233314</v>
      </c>
      <c r="B45">
        <f ca="1"/>
        <v>0.92029945924183143</v>
      </c>
      <c r="C45">
        <f ca="1"/>
        <v>0.30588635877807846</v>
      </c>
      <c r="D45">
        <f t="shared" ca="1" si="0"/>
        <v>-1.8628025218672259</v>
      </c>
      <c r="E45">
        <f t="shared" ca="1" si="1"/>
        <v>561.09287283408594</v>
      </c>
    </row>
    <row r="46" spans="1:5" x14ac:dyDescent="0.45">
      <c r="A46">
        <f ca="1"/>
        <v>5.01891779876662E-2</v>
      </c>
      <c r="B46">
        <f ca="1"/>
        <v>0.32700327603986357</v>
      </c>
      <c r="C46">
        <f ca="1"/>
        <v>0.75806779647067124</v>
      </c>
      <c r="D46">
        <f t="shared" ca="1" si="0"/>
        <v>0.8901158327425891</v>
      </c>
      <c r="E46">
        <f t="shared" ca="1" si="1"/>
        <v>406.41793897758203</v>
      </c>
    </row>
    <row r="47" spans="1:5" x14ac:dyDescent="0.45">
      <c r="A47">
        <f ca="1"/>
        <v>3.2401207388730979E-2</v>
      </c>
      <c r="B47">
        <f ca="1"/>
        <v>0.61859267219421454</v>
      </c>
      <c r="C47">
        <f ca="1"/>
        <v>0.73568848221211147</v>
      </c>
      <c r="D47">
        <f t="shared" ca="1" si="0"/>
        <v>0.72020879763468648</v>
      </c>
      <c r="E47">
        <f t="shared" ca="1" si="1"/>
        <v>112.30698328487085</v>
      </c>
    </row>
    <row r="48" spans="1:5" x14ac:dyDescent="0.45">
      <c r="A48">
        <f ca="1"/>
        <v>0.76513129098112875</v>
      </c>
      <c r="B48">
        <f ca="1"/>
        <v>0.25796483917017632</v>
      </c>
      <c r="C48">
        <f ca="1"/>
        <v>0.32663756376658704</v>
      </c>
      <c r="D48">
        <f t="shared" ca="1" si="0"/>
        <v>-0.755063652684557</v>
      </c>
      <c r="E48">
        <f t="shared" ca="1" si="1"/>
        <v>340.34080549087253</v>
      </c>
    </row>
    <row r="49" spans="1:5" x14ac:dyDescent="0.45">
      <c r="A49">
        <f ca="1"/>
        <v>0.78416145174426388</v>
      </c>
      <c r="B49">
        <f ca="1"/>
        <v>0.1048873089678668</v>
      </c>
      <c r="C49">
        <f ca="1"/>
        <v>0.52570799926467293</v>
      </c>
      <c r="D49">
        <f t="shared" ca="1" si="0"/>
        <v>-0.35558911202191373</v>
      </c>
      <c r="E49">
        <f t="shared" ca="1" si="1"/>
        <v>94.235209157144297</v>
      </c>
    </row>
    <row r="50" spans="1:5" x14ac:dyDescent="0.45">
      <c r="A50">
        <f ca="1"/>
        <v>0.62128198163679516</v>
      </c>
      <c r="B50">
        <f ca="1"/>
        <v>0.25633644090367635</v>
      </c>
      <c r="C50">
        <f ca="1"/>
        <v>0.44969470941142764</v>
      </c>
      <c r="D50">
        <f t="shared" ca="1" si="0"/>
        <v>-0.8601865180282251</v>
      </c>
      <c r="E50">
        <f t="shared" ca="1" si="1"/>
        <v>470.33915777996248</v>
      </c>
    </row>
    <row r="51" spans="1:5" x14ac:dyDescent="0.45">
      <c r="A51">
        <f ca="1"/>
        <v>0.80544485400690657</v>
      </c>
      <c r="B51">
        <f ca="1"/>
        <v>0.8902752405045764</v>
      </c>
      <c r="C51">
        <f ca="1"/>
        <v>0.94354403898032535</v>
      </c>
      <c r="D51">
        <f t="shared" ca="1" si="0"/>
        <v>-3.1059101817908914</v>
      </c>
      <c r="E51">
        <f t="shared" ca="1" si="1"/>
        <v>238.79122310772001</v>
      </c>
    </row>
    <row r="52" spans="1:5" x14ac:dyDescent="0.45">
      <c r="A52">
        <f ca="1"/>
        <v>0.84577853581160123</v>
      </c>
      <c r="B52">
        <f ca="1"/>
        <v>9.7379578481381568E-2</v>
      </c>
      <c r="C52">
        <f ca="1"/>
        <v>0.23074690464946856</v>
      </c>
      <c r="D52">
        <f t="shared" ca="1" si="0"/>
        <v>0.4664627420043902</v>
      </c>
      <c r="E52">
        <f t="shared" ca="1" si="1"/>
        <v>389.37528830061297</v>
      </c>
    </row>
    <row r="53" spans="1:5" x14ac:dyDescent="0.45">
      <c r="A53">
        <f ca="1"/>
        <v>0.61795187775246019</v>
      </c>
      <c r="B53">
        <f ca="1"/>
        <v>0.78172950154599596</v>
      </c>
      <c r="C53">
        <f ca="1"/>
        <v>0.86917117886705331</v>
      </c>
      <c r="D53">
        <f t="shared" ca="1" si="0"/>
        <v>-2.628801180589599</v>
      </c>
      <c r="E53">
        <f t="shared" ca="1" si="1"/>
        <v>307.59061303418747</v>
      </c>
    </row>
    <row r="54" spans="1:5" x14ac:dyDescent="0.45">
      <c r="A54">
        <f ca="1"/>
        <v>0.65233175809106059</v>
      </c>
      <c r="B54">
        <f ca="1"/>
        <v>0.48011573761295323</v>
      </c>
      <c r="C54">
        <f ca="1"/>
        <v>0.57597167501382618</v>
      </c>
      <c r="D54">
        <f t="shared" ca="1" si="0"/>
        <v>-1.783980672491936</v>
      </c>
      <c r="E54">
        <f t="shared" ca="1" si="1"/>
        <v>62.584403745727037</v>
      </c>
    </row>
    <row r="55" spans="1:5" x14ac:dyDescent="0.45">
      <c r="A55">
        <f ca="1"/>
        <v>0.94607205943351835</v>
      </c>
      <c r="B55">
        <f ca="1"/>
        <v>0.37009008350964478</v>
      </c>
      <c r="C55">
        <f ca="1"/>
        <v>0.25960169838018721</v>
      </c>
      <c r="D55">
        <f t="shared" ca="1" si="0"/>
        <v>-1.0985554404885849</v>
      </c>
      <c r="E55">
        <f t="shared" ca="1" si="1"/>
        <v>367.95142048794662</v>
      </c>
    </row>
    <row r="56" spans="1:5" x14ac:dyDescent="0.45">
      <c r="A56">
        <f ca="1"/>
        <v>0.40943972844440579</v>
      </c>
      <c r="B56">
        <f ca="1"/>
        <v>0.87298233651736212</v>
      </c>
      <c r="C56">
        <f ca="1"/>
        <v>0.6452184768450393</v>
      </c>
      <c r="D56">
        <f t="shared" ca="1" si="0"/>
        <v>-2.0296357444781985</v>
      </c>
      <c r="E56">
        <f t="shared" ca="1" si="1"/>
        <v>359.08781654535414</v>
      </c>
    </row>
    <row r="57" spans="1:5" x14ac:dyDescent="0.45">
      <c r="A57">
        <f ca="1"/>
        <v>2.4195086183853132E-2</v>
      </c>
      <c r="B57">
        <f ca="1"/>
        <v>0.1963418112301476</v>
      </c>
      <c r="C57">
        <f ca="1"/>
        <v>0.44509025671108682</v>
      </c>
      <c r="D57">
        <f t="shared" ca="1" si="0"/>
        <v>2.6623745473289047</v>
      </c>
      <c r="E57">
        <f t="shared" ca="1" si="1"/>
        <v>178.97135952333974</v>
      </c>
    </row>
    <row r="58" spans="1:5" x14ac:dyDescent="0.45">
      <c r="A58">
        <f ca="1"/>
        <v>0.5013267506663428</v>
      </c>
      <c r="B58">
        <f ca="1"/>
        <v>0.22736972342865269</v>
      </c>
      <c r="C58">
        <f ca="1"/>
        <v>0.64341164137328843</v>
      </c>
      <c r="D58">
        <f t="shared" ca="1" si="0"/>
        <v>-0.88396195321923265</v>
      </c>
      <c r="E58">
        <f t="shared" ca="1" si="1"/>
        <v>653.03456647008716</v>
      </c>
    </row>
    <row r="59" spans="1:5" x14ac:dyDescent="0.45">
      <c r="A59">
        <f ca="1"/>
        <v>0.57789432180787048</v>
      </c>
      <c r="B59">
        <f ca="1"/>
        <v>0.98614357263745878</v>
      </c>
      <c r="C59">
        <f ca="1"/>
        <v>0.52084803834669025</v>
      </c>
      <c r="D59">
        <f t="shared" ca="1" si="0"/>
        <v>-2.2819930286001862</v>
      </c>
      <c r="E59">
        <f t="shared" ca="1" si="1"/>
        <v>288.12083195447246</v>
      </c>
    </row>
    <row r="60" spans="1:5" x14ac:dyDescent="0.45">
      <c r="A60">
        <f ca="1"/>
        <v>0.72274261389863104</v>
      </c>
      <c r="B60">
        <f ca="1"/>
        <v>0.67360232027055389</v>
      </c>
      <c r="C60">
        <f ca="1"/>
        <v>0.80929228559843169</v>
      </c>
      <c r="D60">
        <f t="shared" ca="1" si="0"/>
        <v>-2.5651949426934411</v>
      </c>
      <c r="E60">
        <f t="shared" ca="1" si="1"/>
        <v>185.72297489830436</v>
      </c>
    </row>
    <row r="61" spans="1:5" x14ac:dyDescent="0.45">
      <c r="A61">
        <f ca="1"/>
        <v>0.59306023894490667</v>
      </c>
      <c r="B61">
        <f ca="1"/>
        <v>0.34891703266922725</v>
      </c>
      <c r="C61">
        <f ca="1"/>
        <v>5.0100781088723068E-2</v>
      </c>
      <c r="D61">
        <f t="shared" ca="1" si="0"/>
        <v>1.0724915294985953</v>
      </c>
      <c r="E61">
        <f t="shared" ca="1" si="1"/>
        <v>503.33697158328818</v>
      </c>
    </row>
    <row r="62" spans="1:5" x14ac:dyDescent="0.45">
      <c r="A62">
        <f ca="1"/>
        <v>0.83326612035280356</v>
      </c>
      <c r="B62">
        <f ca="1"/>
        <v>0.27864366466420365</v>
      </c>
      <c r="C62">
        <f ca="1"/>
        <v>6.8181701338842826E-2</v>
      </c>
      <c r="D62">
        <f t="shared" ca="1" si="0"/>
        <v>0.64919520914865603</v>
      </c>
      <c r="E62">
        <f t="shared" ca="1" si="1"/>
        <v>206.22880140848451</v>
      </c>
    </row>
    <row r="63" spans="1:5" x14ac:dyDescent="0.45">
      <c r="A63">
        <f ca="1"/>
        <v>0.48865744583391346</v>
      </c>
      <c r="B63">
        <f ca="1"/>
        <v>0.68370815183997413</v>
      </c>
      <c r="C63">
        <f ca="1"/>
        <v>0.61741068171171043</v>
      </c>
      <c r="D63">
        <f t="shared" ca="1" si="0"/>
        <v>-1.9180690147611703</v>
      </c>
      <c r="E63">
        <f t="shared" ca="1" si="1"/>
        <v>44.898070472577956</v>
      </c>
    </row>
    <row r="64" spans="1:5" x14ac:dyDescent="0.45">
      <c r="A64">
        <f ca="1"/>
        <v>0.68858505493125954</v>
      </c>
      <c r="B64">
        <f ca="1"/>
        <v>0.87883182017699357</v>
      </c>
      <c r="C64">
        <f ca="1"/>
        <v>0.85273477649053775</v>
      </c>
      <c r="D64">
        <f t="shared" ca="1" si="0"/>
        <v>-2.8350226940411782</v>
      </c>
      <c r="E64">
        <f t="shared" ca="1" si="1"/>
        <v>271.78055475630305</v>
      </c>
    </row>
    <row r="65" spans="1:5" x14ac:dyDescent="0.45">
      <c r="A65">
        <f ca="1"/>
        <v>2.8079301913301435E-2</v>
      </c>
      <c r="B65">
        <f ca="1"/>
        <v>0.67230450682589527</v>
      </c>
      <c r="C65">
        <f ca="1"/>
        <v>0.46356158016241666</v>
      </c>
      <c r="D65">
        <f t="shared" ca="1" si="0"/>
        <v>1.2419749440071608</v>
      </c>
      <c r="E65">
        <f t="shared" ca="1" si="1"/>
        <v>376.86463545527579</v>
      </c>
    </row>
    <row r="66" spans="1:5" x14ac:dyDescent="0.45">
      <c r="A66">
        <f ca="1"/>
        <v>0.36759749838108746</v>
      </c>
      <c r="B66">
        <f ca="1"/>
        <v>0.57039369284497599</v>
      </c>
      <c r="C66">
        <f ca="1"/>
        <v>0.66679754462024876</v>
      </c>
      <c r="D66">
        <f t="shared" ref="D66:D129" ca="1" si="2">-LN((A66*B66*C66)/(3*0.0101))</f>
        <v>-1.5291435948552561</v>
      </c>
      <c r="E66">
        <f t="shared" ref="E66:E129" ca="1" si="3">-LN(RAND()*RAND()*RAND()) / (3*0.003618)</f>
        <v>49.827409211967918</v>
      </c>
    </row>
    <row r="67" spans="1:5" x14ac:dyDescent="0.45">
      <c r="A67">
        <f ca="1"/>
        <v>0.57725779245054332</v>
      </c>
      <c r="B67">
        <f ca="1"/>
        <v>0.35468522165576588</v>
      </c>
      <c r="C67">
        <f ca="1"/>
        <v>0.91866274822494631</v>
      </c>
      <c r="D67">
        <f t="shared" ca="1" si="2"/>
        <v>-1.8257804515910643</v>
      </c>
      <c r="E67">
        <f t="shared" ca="1" si="3"/>
        <v>32.484505065740912</v>
      </c>
    </row>
    <row r="68" spans="1:5" x14ac:dyDescent="0.45">
      <c r="A68">
        <f ca="1"/>
        <v>0.99168311135858622</v>
      </c>
      <c r="B68">
        <f ca="1"/>
        <v>0.24882484818817741</v>
      </c>
      <c r="C68">
        <f ca="1"/>
        <v>0.50863685484819365</v>
      </c>
      <c r="D68">
        <f t="shared" ca="1" si="2"/>
        <v>-1.4212288832840867</v>
      </c>
      <c r="E68">
        <f t="shared" ca="1" si="3"/>
        <v>107.80103947895125</v>
      </c>
    </row>
    <row r="69" spans="1:5" x14ac:dyDescent="0.45">
      <c r="A69">
        <f ca="1"/>
        <v>1.6038776585471481E-2</v>
      </c>
      <c r="B69">
        <f ca="1"/>
        <v>0.44970084052089399</v>
      </c>
      <c r="C69">
        <f ca="1"/>
        <v>0.23169112549783955</v>
      </c>
      <c r="D69">
        <f t="shared" ca="1" si="2"/>
        <v>2.8976612518189211</v>
      </c>
      <c r="E69">
        <f t="shared" ca="1" si="3"/>
        <v>194.71284071373677</v>
      </c>
    </row>
    <row r="70" spans="1:5" x14ac:dyDescent="0.45">
      <c r="A70">
        <f ca="1"/>
        <v>0.61257339786615916</v>
      </c>
      <c r="B70">
        <f ca="1"/>
        <v>0.78463041739000339</v>
      </c>
      <c r="C70">
        <f ca="1"/>
        <v>0.51803466394645703</v>
      </c>
      <c r="D70">
        <f t="shared" ca="1" si="2"/>
        <v>-2.1062654578927176</v>
      </c>
      <c r="E70">
        <f t="shared" ca="1" si="3"/>
        <v>162.88779117802815</v>
      </c>
    </row>
    <row r="71" spans="1:5" x14ac:dyDescent="0.45">
      <c r="A71">
        <f ca="1"/>
        <v>2.4008317547475233E-2</v>
      </c>
      <c r="B71">
        <f ca="1"/>
        <v>0.72563127764004975</v>
      </c>
      <c r="C71">
        <f ca="1"/>
        <v>0.49128478140717502</v>
      </c>
      <c r="D71">
        <f t="shared" ca="1" si="2"/>
        <v>1.2641919693987798</v>
      </c>
      <c r="E71">
        <f t="shared" ca="1" si="3"/>
        <v>312.13721054916249</v>
      </c>
    </row>
    <row r="72" spans="1:5" x14ac:dyDescent="0.45">
      <c r="A72">
        <f ca="1"/>
        <v>0.58461853256745155</v>
      </c>
      <c r="B72">
        <f ca="1"/>
        <v>0.95281621814056616</v>
      </c>
      <c r="C72">
        <f ca="1"/>
        <v>0.16494959118720032</v>
      </c>
      <c r="D72">
        <f t="shared" ca="1" si="2"/>
        <v>-1.1093632416951327</v>
      </c>
      <c r="E72">
        <f t="shared" ca="1" si="3"/>
        <v>408.63355249330061</v>
      </c>
    </row>
    <row r="73" spans="1:5" x14ac:dyDescent="0.45">
      <c r="A73">
        <f ca="1"/>
        <v>0.65678882492893442</v>
      </c>
      <c r="B73">
        <f ca="1"/>
        <v>0.58116643159853587</v>
      </c>
      <c r="C73">
        <f ca="1"/>
        <v>0.34639047952248858</v>
      </c>
      <c r="D73">
        <f t="shared" ca="1" si="2"/>
        <v>-1.4733081383182003</v>
      </c>
      <c r="E73">
        <f t="shared" ca="1" si="3"/>
        <v>160.94272179642681</v>
      </c>
    </row>
    <row r="74" spans="1:5" x14ac:dyDescent="0.45">
      <c r="A74">
        <f ca="1"/>
        <v>0.50449754324675022</v>
      </c>
      <c r="B74">
        <f ca="1"/>
        <v>0.93887956593689403</v>
      </c>
      <c r="C74">
        <f ca="1"/>
        <v>0.59424326588052567</v>
      </c>
      <c r="D74">
        <f t="shared" ca="1" si="2"/>
        <v>-2.2288806868612063</v>
      </c>
      <c r="E74">
        <f t="shared" ca="1" si="3"/>
        <v>172.64332646386538</v>
      </c>
    </row>
    <row r="75" spans="1:5" x14ac:dyDescent="0.45">
      <c r="A75">
        <f ca="1"/>
        <v>0.22598041852953465</v>
      </c>
      <c r="B75">
        <f ca="1"/>
        <v>6.9000703671666441E-2</v>
      </c>
      <c r="C75">
        <f ca="1"/>
        <v>0.66095307941323855</v>
      </c>
      <c r="D75">
        <f t="shared" ca="1" si="2"/>
        <v>1.0784103628644146</v>
      </c>
      <c r="E75">
        <f t="shared" ca="1" si="3"/>
        <v>157.40956805319738</v>
      </c>
    </row>
    <row r="76" spans="1:5" x14ac:dyDescent="0.45">
      <c r="A76">
        <f ca="1"/>
        <v>0.3629825900430157</v>
      </c>
      <c r="B76">
        <f ca="1"/>
        <v>0.87998196480026403</v>
      </c>
      <c r="C76">
        <f ca="1"/>
        <v>0.15577793826102271</v>
      </c>
      <c r="D76">
        <f t="shared" ca="1" si="2"/>
        <v>-0.4960295345022131</v>
      </c>
      <c r="E76">
        <f t="shared" ca="1" si="3"/>
        <v>149.30594332620589</v>
      </c>
    </row>
    <row r="77" spans="1:5" x14ac:dyDescent="0.45">
      <c r="A77">
        <f ca="1"/>
        <v>9.038965340698768E-2</v>
      </c>
      <c r="B77">
        <f ca="1"/>
        <v>7.1037936688144621E-2</v>
      </c>
      <c r="C77">
        <f ca="1"/>
        <v>0.58785714301015179</v>
      </c>
      <c r="D77">
        <f t="shared" ca="1" si="2"/>
        <v>2.0828304448833652</v>
      </c>
      <c r="E77">
        <f t="shared" ca="1" si="3"/>
        <v>190.10103422502596</v>
      </c>
    </row>
    <row r="78" spans="1:5" x14ac:dyDescent="0.45">
      <c r="A78">
        <f ca="1"/>
        <v>0.17138593847104722</v>
      </c>
      <c r="B78">
        <f ca="1"/>
        <v>0.97654563120797766</v>
      </c>
      <c r="C78">
        <f ca="1"/>
        <v>0.77585775644193244</v>
      </c>
      <c r="D78">
        <f t="shared" ca="1" si="2"/>
        <v>-1.4552503714593674</v>
      </c>
      <c r="E78">
        <f t="shared" ca="1" si="3"/>
        <v>267.53385914626938</v>
      </c>
    </row>
    <row r="79" spans="1:5" x14ac:dyDescent="0.45">
      <c r="A79">
        <f ca="1"/>
        <v>0.88954324473895841</v>
      </c>
      <c r="B79">
        <f ca="1"/>
        <v>0.48039754189510653</v>
      </c>
      <c r="C79">
        <f ca="1"/>
        <v>5.3610818002696181E-2</v>
      </c>
      <c r="D79">
        <f t="shared" ca="1" si="2"/>
        <v>0.27958529812274674</v>
      </c>
      <c r="E79">
        <f t="shared" ca="1" si="3"/>
        <v>413.4783467887421</v>
      </c>
    </row>
    <row r="80" spans="1:5" x14ac:dyDescent="0.45">
      <c r="A80">
        <f ca="1"/>
        <v>0.1465388311742668</v>
      </c>
      <c r="B80">
        <f ca="1"/>
        <v>0.1196753147436318</v>
      </c>
      <c r="C80">
        <f ca="1"/>
        <v>2.9551988564630927E-2</v>
      </c>
      <c r="D80">
        <f t="shared" ca="1" si="2"/>
        <v>4.0684344161735826</v>
      </c>
      <c r="E80">
        <f t="shared" ca="1" si="3"/>
        <v>242.42574044553365</v>
      </c>
    </row>
    <row r="81" spans="1:5" x14ac:dyDescent="0.45">
      <c r="A81">
        <f ca="1"/>
        <v>0.12825988812846845</v>
      </c>
      <c r="B81">
        <f ca="1"/>
        <v>0.62492560434228261</v>
      </c>
      <c r="C81">
        <f ca="1"/>
        <v>0.52068541150127845</v>
      </c>
      <c r="D81">
        <f t="shared" ca="1" si="2"/>
        <v>-0.32017896330160955</v>
      </c>
      <c r="E81">
        <f t="shared" ca="1" si="3"/>
        <v>160.54870437156995</v>
      </c>
    </row>
    <row r="82" spans="1:5" x14ac:dyDescent="0.45">
      <c r="A82">
        <f ca="1"/>
        <v>0.91077104274337772</v>
      </c>
      <c r="B82">
        <f ca="1"/>
        <v>0.22446756041067184</v>
      </c>
      <c r="C82">
        <f ca="1"/>
        <v>0.79107759932673405</v>
      </c>
      <c r="D82">
        <f t="shared" ca="1" si="2"/>
        <v>-1.6747605354489614</v>
      </c>
      <c r="E82">
        <f t="shared" ca="1" si="3"/>
        <v>245.43906331374342</v>
      </c>
    </row>
    <row r="83" spans="1:5" x14ac:dyDescent="0.45">
      <c r="A83">
        <f ca="1"/>
        <v>0.42798727266548275</v>
      </c>
      <c r="B83">
        <f ca="1"/>
        <v>0.23967667068420262</v>
      </c>
      <c r="C83">
        <f ca="1"/>
        <v>0.33096292940138694</v>
      </c>
      <c r="D83">
        <f t="shared" ca="1" si="2"/>
        <v>-0.1137323707983576</v>
      </c>
      <c r="E83">
        <f t="shared" ca="1" si="3"/>
        <v>235.88028363402597</v>
      </c>
    </row>
    <row r="84" spans="1:5" x14ac:dyDescent="0.45">
      <c r="A84">
        <f ca="1"/>
        <v>0.45261446347674195</v>
      </c>
      <c r="B84">
        <f ca="1"/>
        <v>9.1113036507716405E-2</v>
      </c>
      <c r="C84">
        <f ca="1"/>
        <v>0.25135585692252449</v>
      </c>
      <c r="D84">
        <f t="shared" ca="1" si="2"/>
        <v>1.0726469945407238</v>
      </c>
      <c r="E84">
        <f t="shared" ca="1" si="3"/>
        <v>436.71545680621182</v>
      </c>
    </row>
    <row r="85" spans="1:5" x14ac:dyDescent="0.45">
      <c r="A85">
        <f ca="1"/>
        <v>0.21991669283347148</v>
      </c>
      <c r="B85">
        <f ca="1"/>
        <v>0.34614980980471599</v>
      </c>
      <c r="C85">
        <f ca="1"/>
        <v>0.76926506154884366</v>
      </c>
      <c r="D85">
        <f t="shared" ca="1" si="2"/>
        <v>-0.65889778642003016</v>
      </c>
      <c r="E85">
        <f t="shared" ca="1" si="3"/>
        <v>149.40293058372433</v>
      </c>
    </row>
    <row r="86" spans="1:5" x14ac:dyDescent="0.45">
      <c r="A86">
        <f ca="1"/>
        <v>0.52632817373390584</v>
      </c>
      <c r="B86">
        <f ca="1"/>
        <v>0.33057223273692538</v>
      </c>
      <c r="C86">
        <f ca="1"/>
        <v>0.53880306105124176</v>
      </c>
      <c r="D86">
        <f t="shared" ca="1" si="2"/>
        <v>-1.1294419692542987</v>
      </c>
      <c r="E86">
        <f t="shared" ca="1" si="3"/>
        <v>190.60045535514831</v>
      </c>
    </row>
    <row r="87" spans="1:5" x14ac:dyDescent="0.45">
      <c r="A87">
        <f ca="1"/>
        <v>0.24436561088003472</v>
      </c>
      <c r="B87">
        <f ca="1"/>
        <v>0.31915491316507993</v>
      </c>
      <c r="C87">
        <f ca="1"/>
        <v>0.88198221344784078</v>
      </c>
      <c r="D87">
        <f t="shared" ca="1" si="2"/>
        <v>-0.81985573433137893</v>
      </c>
      <c r="E87">
        <f t="shared" ca="1" si="3"/>
        <v>315.80878270950348</v>
      </c>
    </row>
    <row r="88" spans="1:5" x14ac:dyDescent="0.45">
      <c r="A88">
        <f ca="1"/>
        <v>0.66859295034279653</v>
      </c>
      <c r="B88">
        <f ca="1"/>
        <v>0.486317649840873</v>
      </c>
      <c r="C88">
        <f ca="1"/>
        <v>0.5222686898401705</v>
      </c>
      <c r="D88">
        <f t="shared" ca="1" si="2"/>
        <v>-1.7235613573830857</v>
      </c>
      <c r="E88">
        <f t="shared" ca="1" si="3"/>
        <v>275.1023260296692</v>
      </c>
    </row>
    <row r="89" spans="1:5" x14ac:dyDescent="0.45">
      <c r="A89">
        <f ca="1"/>
        <v>0.26849243512638354</v>
      </c>
      <c r="B89">
        <f ca="1"/>
        <v>5.8527841728992502E-3</v>
      </c>
      <c r="C89">
        <f ca="1"/>
        <v>0.35419250968625748</v>
      </c>
      <c r="D89">
        <f t="shared" ca="1" si="2"/>
        <v>3.9970774784913892</v>
      </c>
      <c r="E89">
        <f t="shared" ca="1" si="3"/>
        <v>325.91977220214648</v>
      </c>
    </row>
    <row r="90" spans="1:5" x14ac:dyDescent="0.45">
      <c r="A90">
        <f ca="1"/>
        <v>0.22339618404505068</v>
      </c>
      <c r="B90">
        <f ca="1"/>
        <v>0.39900143849458369</v>
      </c>
      <c r="C90">
        <f ca="1"/>
        <v>0.42272462720094395</v>
      </c>
      <c r="D90">
        <f t="shared" ca="1" si="2"/>
        <v>-0.21797452440512727</v>
      </c>
      <c r="E90">
        <f t="shared" ca="1" si="3"/>
        <v>44.954294904158864</v>
      </c>
    </row>
    <row r="91" spans="1:5" x14ac:dyDescent="0.45">
      <c r="A91">
        <f ca="1"/>
        <v>8.1668919526445727E-2</v>
      </c>
      <c r="B91">
        <f ca="1"/>
        <v>0.7022962357180027</v>
      </c>
      <c r="C91">
        <f ca="1"/>
        <v>0.71664614309641106</v>
      </c>
      <c r="D91">
        <f t="shared" ca="1" si="2"/>
        <v>-0.30495273477440121</v>
      </c>
      <c r="E91">
        <f t="shared" ca="1" si="3"/>
        <v>292.40349994414106</v>
      </c>
    </row>
    <row r="92" spans="1:5" x14ac:dyDescent="0.45">
      <c r="A92">
        <f ca="1"/>
        <v>0.87595990077255137</v>
      </c>
      <c r="B92">
        <f ca="1"/>
        <v>0.56642147456594816</v>
      </c>
      <c r="C92">
        <f ca="1"/>
        <v>0.6478486717831573</v>
      </c>
      <c r="D92">
        <f t="shared" ca="1" si="2"/>
        <v>-2.3616576377116396</v>
      </c>
      <c r="E92">
        <f t="shared" ca="1" si="3"/>
        <v>291.11825092406707</v>
      </c>
    </row>
    <row r="93" spans="1:5" x14ac:dyDescent="0.45">
      <c r="A93">
        <f ca="1"/>
        <v>0.22923036099379845</v>
      </c>
      <c r="B93">
        <f ca="1"/>
        <v>9.361870077725376E-2</v>
      </c>
      <c r="C93">
        <f ca="1"/>
        <v>0.78861776886648527</v>
      </c>
      <c r="D93">
        <f t="shared" ca="1" si="2"/>
        <v>0.58241891783060951</v>
      </c>
      <c r="E93">
        <f t="shared" ca="1" si="3"/>
        <v>267.88879241073664</v>
      </c>
    </row>
    <row r="94" spans="1:5" x14ac:dyDescent="0.45">
      <c r="A94">
        <f ca="1"/>
        <v>0.3073991730720802</v>
      </c>
      <c r="B94">
        <f ca="1"/>
        <v>0.12001233797472866</v>
      </c>
      <c r="C94">
        <f ca="1"/>
        <v>0.81573191403637813</v>
      </c>
      <c r="D94">
        <f t="shared" ca="1" si="2"/>
        <v>6.8308112331880852E-3</v>
      </c>
      <c r="E94">
        <f t="shared" ca="1" si="3"/>
        <v>625.50387760548324</v>
      </c>
    </row>
    <row r="95" spans="1:5" x14ac:dyDescent="0.45">
      <c r="A95">
        <f ca="1"/>
        <v>7.174754556930063E-3</v>
      </c>
      <c r="B95">
        <f ca="1"/>
        <v>0.73215077329891831</v>
      </c>
      <c r="C95">
        <f ca="1"/>
        <v>0.52820691999040537</v>
      </c>
      <c r="D95">
        <f t="shared" ca="1" si="2"/>
        <v>2.3906151494517158</v>
      </c>
      <c r="E95">
        <f t="shared" ca="1" si="3"/>
        <v>205.80198403572265</v>
      </c>
    </row>
    <row r="96" spans="1:5" x14ac:dyDescent="0.45">
      <c r="A96">
        <f ca="1"/>
        <v>0.55351415335597731</v>
      </c>
      <c r="B96">
        <f ca="1"/>
        <v>0.11361770589714948</v>
      </c>
      <c r="C96">
        <f ca="1"/>
        <v>0.1421528573676758</v>
      </c>
      <c r="D96">
        <f t="shared" ca="1" si="2"/>
        <v>1.2206286531240762</v>
      </c>
      <c r="E96">
        <f t="shared" ca="1" si="3"/>
        <v>404.95673217308899</v>
      </c>
    </row>
    <row r="97" spans="1:5" x14ac:dyDescent="0.45">
      <c r="A97">
        <f ca="1"/>
        <v>0.22468463311431441</v>
      </c>
      <c r="B97">
        <f ca="1"/>
        <v>8.8057535438836654E-2</v>
      </c>
      <c r="C97">
        <f ca="1"/>
        <v>0.7000490972771074</v>
      </c>
      <c r="D97">
        <f t="shared" ca="1" si="2"/>
        <v>0.78281959788880573</v>
      </c>
      <c r="E97">
        <f t="shared" ca="1" si="3"/>
        <v>316.45986433640235</v>
      </c>
    </row>
    <row r="98" spans="1:5" x14ac:dyDescent="0.45">
      <c r="A98">
        <f ca="1"/>
        <v>0.50073954106449192</v>
      </c>
      <c r="B98">
        <f ca="1"/>
        <v>0.86496721612982275</v>
      </c>
      <c r="C98">
        <f ca="1"/>
        <v>0.31078146450623079</v>
      </c>
      <c r="D98">
        <f t="shared" ca="1" si="2"/>
        <v>-1.4912094017969233</v>
      </c>
      <c r="E98">
        <f t="shared" ca="1" si="3"/>
        <v>520.04750920568802</v>
      </c>
    </row>
    <row r="99" spans="1:5" x14ac:dyDescent="0.45">
      <c r="A99">
        <f ca="1"/>
        <v>0.93364606005895978</v>
      </c>
      <c r="B99">
        <f ca="1"/>
        <v>0.3540621273924609</v>
      </c>
      <c r="C99">
        <f ca="1"/>
        <v>0.53278190678952098</v>
      </c>
      <c r="D99">
        <f t="shared" ca="1" si="2"/>
        <v>-1.7600237040080455</v>
      </c>
      <c r="E99">
        <f t="shared" ca="1" si="3"/>
        <v>246.9368570584094</v>
      </c>
    </row>
    <row r="100" spans="1:5" x14ac:dyDescent="0.45">
      <c r="A100">
        <f ca="1"/>
        <v>0.14978855589580364</v>
      </c>
      <c r="B100">
        <f ca="1"/>
        <v>0.50001158564099257</v>
      </c>
      <c r="C100">
        <f ca="1"/>
        <v>0.89487490804737724</v>
      </c>
      <c r="D100">
        <f t="shared" ca="1" si="2"/>
        <v>-0.79388161219340436</v>
      </c>
      <c r="E100">
        <f t="shared" ca="1" si="3"/>
        <v>31.046988085942285</v>
      </c>
    </row>
    <row r="101" spans="1:5" x14ac:dyDescent="0.45">
      <c r="A101">
        <f ca="1"/>
        <v>0.70061968843250266</v>
      </c>
      <c r="B101">
        <f ca="1"/>
        <v>0.12692415712074689</v>
      </c>
      <c r="C101">
        <f ca="1"/>
        <v>0.88161566697749616</v>
      </c>
      <c r="D101">
        <f t="shared" ca="1" si="2"/>
        <v>-0.95065287149184352</v>
      </c>
      <c r="E101">
        <f t="shared" ca="1" si="3"/>
        <v>205.83069242945709</v>
      </c>
    </row>
    <row r="102" spans="1:5" x14ac:dyDescent="0.45">
      <c r="A102">
        <f ca="1"/>
        <v>0.83906669728459216</v>
      </c>
      <c r="B102">
        <f ca="1"/>
        <v>0.94164819776377207</v>
      </c>
      <c r="C102">
        <f ca="1"/>
        <v>1.8659147221224748E-2</v>
      </c>
      <c r="D102">
        <f t="shared" ca="1" si="2"/>
        <v>0.72039983580271871</v>
      </c>
      <c r="E102">
        <f t="shared" ca="1" si="3"/>
        <v>238.41174944592751</v>
      </c>
    </row>
    <row r="103" spans="1:5" x14ac:dyDescent="0.45">
      <c r="A103">
        <f ca="1"/>
        <v>0.43293324241838893</v>
      </c>
      <c r="B103">
        <f ca="1"/>
        <v>0.4742115553421633</v>
      </c>
      <c r="C103">
        <f ca="1"/>
        <v>0.21998991858391936</v>
      </c>
      <c r="D103">
        <f t="shared" ca="1" si="2"/>
        <v>-0.3991605331787465</v>
      </c>
      <c r="E103">
        <f t="shared" ca="1" si="3"/>
        <v>98.461161470038263</v>
      </c>
    </row>
    <row r="104" spans="1:5" x14ac:dyDescent="0.45">
      <c r="A104">
        <f ca="1"/>
        <v>0.86088534948533746</v>
      </c>
      <c r="B104">
        <f ca="1"/>
        <v>0.41709378827177601</v>
      </c>
      <c r="C104">
        <f ca="1"/>
        <v>0.21194381943156415</v>
      </c>
      <c r="D104">
        <f t="shared" ca="1" si="2"/>
        <v>-0.92093541067046303</v>
      </c>
      <c r="E104">
        <f t="shared" ca="1" si="3"/>
        <v>257.92704607743696</v>
      </c>
    </row>
    <row r="105" spans="1:5" x14ac:dyDescent="0.45">
      <c r="A105">
        <f ca="1"/>
        <v>0.32547680551097891</v>
      </c>
      <c r="B105">
        <f ca="1"/>
        <v>0.65151681017368723</v>
      </c>
      <c r="C105">
        <f ca="1"/>
        <v>0.53049774000876493</v>
      </c>
      <c r="D105">
        <f t="shared" ca="1" si="2"/>
        <v>-1.3117518270228183</v>
      </c>
      <c r="E105">
        <f t="shared" ca="1" si="3"/>
        <v>42.750204791010454</v>
      </c>
    </row>
    <row r="106" spans="1:5" x14ac:dyDescent="0.45">
      <c r="A106">
        <f ca="1"/>
        <v>0.57617491485771333</v>
      </c>
      <c r="B106">
        <f ca="1"/>
        <v>0.50905755458597213</v>
      </c>
      <c r="C106">
        <f ca="1"/>
        <v>0.44624956963252771</v>
      </c>
      <c r="D106">
        <f t="shared" ca="1" si="2"/>
        <v>-1.463192468430786</v>
      </c>
      <c r="E106">
        <f t="shared" ca="1" si="3"/>
        <v>132.61708143661014</v>
      </c>
    </row>
    <row r="107" spans="1:5" x14ac:dyDescent="0.45">
      <c r="A107">
        <f ca="1"/>
        <v>0.51750336276720921</v>
      </c>
      <c r="B107">
        <f ca="1"/>
        <v>0.26284869008333689</v>
      </c>
      <c r="C107">
        <f ca="1"/>
        <v>0.17020371839439741</v>
      </c>
      <c r="D107">
        <f t="shared" ca="1" si="2"/>
        <v>0.2690676404150385</v>
      </c>
      <c r="E107">
        <f t="shared" ca="1" si="3"/>
        <v>688.0989315887233</v>
      </c>
    </row>
    <row r="108" spans="1:5" x14ac:dyDescent="0.45">
      <c r="A108">
        <f ca="1"/>
        <v>0.81319809877932991</v>
      </c>
      <c r="B108">
        <f ca="1"/>
        <v>0.20265243963555335</v>
      </c>
      <c r="C108">
        <f ca="1"/>
        <v>0.42344320276343406</v>
      </c>
      <c r="D108">
        <f t="shared" ca="1" si="2"/>
        <v>-0.83422825618773022</v>
      </c>
      <c r="E108">
        <f t="shared" ca="1" si="3"/>
        <v>320.83774947045538</v>
      </c>
    </row>
    <row r="109" spans="1:5" x14ac:dyDescent="0.45">
      <c r="A109">
        <f ca="1"/>
        <v>0.39213039747404443</v>
      </c>
      <c r="B109">
        <f ca="1"/>
        <v>0.67757703686412896</v>
      </c>
      <c r="C109">
        <f ca="1"/>
        <v>0.3410329147652098</v>
      </c>
      <c r="D109">
        <f t="shared" ca="1" si="2"/>
        <v>-1.0954384113153821</v>
      </c>
      <c r="E109">
        <f t="shared" ca="1" si="3"/>
        <v>77.760884556215686</v>
      </c>
    </row>
    <row r="110" spans="1:5" x14ac:dyDescent="0.45">
      <c r="A110">
        <f ca="1"/>
        <v>0.68720571651917095</v>
      </c>
      <c r="B110">
        <f ca="1"/>
        <v>0.80758304915474843</v>
      </c>
      <c r="C110">
        <f ca="1"/>
        <v>0.14990753482577479</v>
      </c>
      <c r="D110">
        <f t="shared" ca="1" si="2"/>
        <v>-1.0100399853091651</v>
      </c>
      <c r="E110">
        <f t="shared" ca="1" si="3"/>
        <v>414.06638926094433</v>
      </c>
    </row>
    <row r="111" spans="1:5" x14ac:dyDescent="0.45">
      <c r="A111">
        <f ca="1"/>
        <v>0.75584253315661076</v>
      </c>
      <c r="B111">
        <f ca="1"/>
        <v>0.59832737476448949</v>
      </c>
      <c r="C111">
        <f ca="1"/>
        <v>0.95399874718215738</v>
      </c>
      <c r="D111">
        <f t="shared" ca="1" si="2"/>
        <v>-2.6559752063442628</v>
      </c>
      <c r="E111">
        <f t="shared" ca="1" si="3"/>
        <v>122.8259281095773</v>
      </c>
    </row>
    <row r="112" spans="1:5" x14ac:dyDescent="0.45">
      <c r="A112">
        <f ca="1"/>
        <v>4.3922355266752255E-2</v>
      </c>
      <c r="B112">
        <f ca="1"/>
        <v>0.51017880439572783</v>
      </c>
      <c r="C112">
        <f ca="1"/>
        <v>8.2537873897892355E-2</v>
      </c>
      <c r="D112">
        <f t="shared" ca="1" si="2"/>
        <v>2.7962163217489771</v>
      </c>
      <c r="E112">
        <f t="shared" ca="1" si="3"/>
        <v>260.51597552894054</v>
      </c>
    </row>
    <row r="113" spans="1:5" x14ac:dyDescent="0.45">
      <c r="A113">
        <f ca="1"/>
        <v>0.36313794761607299</v>
      </c>
      <c r="B113">
        <f ca="1"/>
        <v>0.78244235986502297</v>
      </c>
      <c r="C113">
        <f ca="1"/>
        <v>0.49304814686103438</v>
      </c>
      <c r="D113">
        <f t="shared" ca="1" si="2"/>
        <v>-1.5311516010132005</v>
      </c>
      <c r="E113">
        <f t="shared" ca="1" si="3"/>
        <v>413.54435497525668</v>
      </c>
    </row>
    <row r="114" spans="1:5" x14ac:dyDescent="0.45">
      <c r="A114">
        <f ca="1"/>
        <v>0.53056559840381401</v>
      </c>
      <c r="B114">
        <f ca="1"/>
        <v>0.68735240823857002</v>
      </c>
      <c r="C114">
        <f ca="1"/>
        <v>0.32028144255709834</v>
      </c>
      <c r="D114">
        <f t="shared" ca="1" si="2"/>
        <v>-1.3493325786608878</v>
      </c>
      <c r="E114">
        <f t="shared" ca="1" si="3"/>
        <v>347.26015711327176</v>
      </c>
    </row>
    <row r="115" spans="1:5" x14ac:dyDescent="0.45">
      <c r="A115">
        <f ca="1"/>
        <v>0.67598450976132107</v>
      </c>
      <c r="B115">
        <f ca="1"/>
        <v>0.65154497229566921</v>
      </c>
      <c r="C115">
        <f ca="1"/>
        <v>0.40548348521949018</v>
      </c>
      <c r="D115">
        <f t="shared" ca="1" si="2"/>
        <v>-1.7739384595493894</v>
      </c>
      <c r="E115">
        <f t="shared" ca="1" si="3"/>
        <v>610.8717161961232</v>
      </c>
    </row>
    <row r="116" spans="1:5" x14ac:dyDescent="0.45">
      <c r="A116">
        <f ca="1"/>
        <v>0.12408596898503377</v>
      </c>
      <c r="B116">
        <f ca="1"/>
        <v>4.6151693641028446E-2</v>
      </c>
      <c r="C116">
        <f ca="1"/>
        <v>0.32368036386531585</v>
      </c>
      <c r="D116">
        <f t="shared" ca="1" si="2"/>
        <v>2.7939934903688868</v>
      </c>
      <c r="E116">
        <f t="shared" ca="1" si="3"/>
        <v>138.55115847057567</v>
      </c>
    </row>
    <row r="117" spans="1:5" x14ac:dyDescent="0.45">
      <c r="A117">
        <f ca="1"/>
        <v>0.98091259942147557</v>
      </c>
      <c r="B117">
        <f ca="1"/>
        <v>0.31254141197449714</v>
      </c>
      <c r="C117">
        <f ca="1"/>
        <v>0.39430484892374107</v>
      </c>
      <c r="D117">
        <f t="shared" ca="1" si="2"/>
        <v>-1.3836864088369702</v>
      </c>
      <c r="E117">
        <f t="shared" ca="1" si="3"/>
        <v>32.770641499157563</v>
      </c>
    </row>
    <row r="118" spans="1:5" x14ac:dyDescent="0.45">
      <c r="A118">
        <f ca="1"/>
        <v>0.67306433436932989</v>
      </c>
      <c r="B118">
        <f ca="1"/>
        <v>0.26501414555363301</v>
      </c>
      <c r="C118">
        <f ca="1"/>
        <v>0.25588390303470376</v>
      </c>
      <c r="D118">
        <f t="shared" ca="1" si="2"/>
        <v>-0.40968968986710858</v>
      </c>
      <c r="E118">
        <f t="shared" ca="1" si="3"/>
        <v>311.70252357480467</v>
      </c>
    </row>
    <row r="119" spans="1:5" x14ac:dyDescent="0.45">
      <c r="A119">
        <f ca="1"/>
        <v>0.7469088391981149</v>
      </c>
      <c r="B119">
        <f ca="1"/>
        <v>5.8429257208017393E-2</v>
      </c>
      <c r="C119">
        <f ca="1"/>
        <v>0.11526340269558655</v>
      </c>
      <c r="D119">
        <f t="shared" ca="1" si="2"/>
        <v>1.795678417213147</v>
      </c>
      <c r="E119">
        <f t="shared" ca="1" si="3"/>
        <v>231.76894074744806</v>
      </c>
    </row>
    <row r="120" spans="1:5" x14ac:dyDescent="0.45">
      <c r="A120">
        <f ca="1"/>
        <v>0.73441848062377968</v>
      </c>
      <c r="B120">
        <f ca="1"/>
        <v>0.71761470084638512</v>
      </c>
      <c r="C120">
        <f ca="1"/>
        <v>0.1369675882631316</v>
      </c>
      <c r="D120">
        <f t="shared" ca="1" si="2"/>
        <v>-0.86809784523942923</v>
      </c>
      <c r="E120">
        <f t="shared" ca="1" si="3"/>
        <v>290.19681979427878</v>
      </c>
    </row>
    <row r="121" spans="1:5" x14ac:dyDescent="0.45">
      <c r="A121">
        <f ca="1"/>
        <v>0.85637104547656495</v>
      </c>
      <c r="B121">
        <f ca="1"/>
        <v>0.20302918397660608</v>
      </c>
      <c r="C121">
        <f ca="1"/>
        <v>0.99295619207636898</v>
      </c>
      <c r="D121">
        <f t="shared" ca="1" si="2"/>
        <v>-1.7400817545569538</v>
      </c>
      <c r="E121">
        <f t="shared" ca="1" si="3"/>
        <v>167.98631508667771</v>
      </c>
    </row>
    <row r="122" spans="1:5" x14ac:dyDescent="0.45">
      <c r="A122">
        <f ca="1"/>
        <v>0.73878188014092006</v>
      </c>
      <c r="B122">
        <f ca="1"/>
        <v>0.7605569555374414</v>
      </c>
      <c r="C122">
        <f ca="1"/>
        <v>0.89899494136904923</v>
      </c>
      <c r="D122">
        <f t="shared" ca="1" si="2"/>
        <v>-2.8136728600997216</v>
      </c>
      <c r="E122">
        <f t="shared" ca="1" si="3"/>
        <v>95.800710665242065</v>
      </c>
    </row>
    <row r="123" spans="1:5" x14ac:dyDescent="0.45">
      <c r="A123">
        <f ca="1"/>
        <v>0.96274530813035519</v>
      </c>
      <c r="B123">
        <f ca="1"/>
        <v>0.78018776845826854</v>
      </c>
      <c r="C123">
        <f ca="1"/>
        <v>0.83601289809829904</v>
      </c>
      <c r="D123">
        <f t="shared" ca="1" si="2"/>
        <v>-3.0313092896183003</v>
      </c>
      <c r="E123">
        <f t="shared" ca="1" si="3"/>
        <v>481.65051562799079</v>
      </c>
    </row>
    <row r="124" spans="1:5" x14ac:dyDescent="0.45">
      <c r="A124">
        <f ca="1"/>
        <v>3.3344757448310336E-2</v>
      </c>
      <c r="B124">
        <f ca="1"/>
        <v>0.50005088707064749</v>
      </c>
      <c r="C124">
        <f ca="1"/>
        <v>0.23804690972579046</v>
      </c>
      <c r="D124">
        <f t="shared" ca="1" si="2"/>
        <v>2.0325800871036432</v>
      </c>
      <c r="E124">
        <f t="shared" ca="1" si="3"/>
        <v>199.0145901670337</v>
      </c>
    </row>
    <row r="125" spans="1:5" x14ac:dyDescent="0.45">
      <c r="A125">
        <f ca="1"/>
        <v>0.58625630173979659</v>
      </c>
      <c r="B125">
        <f ca="1"/>
        <v>0.83950301020299123</v>
      </c>
      <c r="C125">
        <f ca="1"/>
        <v>0.124722979188302</v>
      </c>
      <c r="D125">
        <f t="shared" ca="1" si="2"/>
        <v>-0.70600397215750965</v>
      </c>
      <c r="E125">
        <f t="shared" ca="1" si="3"/>
        <v>297.58205006163087</v>
      </c>
    </row>
    <row r="126" spans="1:5" x14ac:dyDescent="0.45">
      <c r="A126">
        <f ca="1"/>
        <v>0.23145747373793646</v>
      </c>
      <c r="B126">
        <f ca="1"/>
        <v>0.10701287435452334</v>
      </c>
      <c r="C126">
        <f ca="1"/>
        <v>0.73834000763904206</v>
      </c>
      <c r="D126">
        <f t="shared" ca="1" si="2"/>
        <v>0.50490853082801412</v>
      </c>
      <c r="E126">
        <f t="shared" ca="1" si="3"/>
        <v>629.32604124107331</v>
      </c>
    </row>
    <row r="127" spans="1:5" x14ac:dyDescent="0.45">
      <c r="A127">
        <f ca="1"/>
        <v>0.25530799625741807</v>
      </c>
      <c r="B127">
        <f ca="1"/>
        <v>0.4242346812910851</v>
      </c>
      <c r="C127">
        <f ca="1"/>
        <v>0.22823824795390335</v>
      </c>
      <c r="D127">
        <f t="shared" ca="1" si="2"/>
        <v>0.20351079943334446</v>
      </c>
      <c r="E127">
        <f t="shared" ca="1" si="3"/>
        <v>94.887857492653694</v>
      </c>
    </row>
    <row r="128" spans="1:5" x14ac:dyDescent="0.45">
      <c r="A128">
        <f ca="1"/>
        <v>0.31264076328338364</v>
      </c>
      <c r="B128">
        <f ca="1"/>
        <v>0.22399726723594804</v>
      </c>
      <c r="C128">
        <f ca="1"/>
        <v>0.14764056956924709</v>
      </c>
      <c r="D128">
        <f t="shared" ca="1" si="2"/>
        <v>1.0751888722948686</v>
      </c>
      <c r="E128">
        <f t="shared" ca="1" si="3"/>
        <v>556.47212139609212</v>
      </c>
    </row>
    <row r="129" spans="1:5" x14ac:dyDescent="0.45">
      <c r="A129">
        <f ca="1"/>
        <v>0.83552188264090232</v>
      </c>
      <c r="B129">
        <f ca="1"/>
        <v>0.5513648059433125</v>
      </c>
      <c r="C129">
        <f ca="1"/>
        <v>0.40626598506683576</v>
      </c>
      <c r="D129">
        <f t="shared" ca="1" si="2"/>
        <v>-1.8208030188385693</v>
      </c>
      <c r="E129">
        <f t="shared" ca="1" si="3"/>
        <v>563.80946025909589</v>
      </c>
    </row>
    <row r="130" spans="1:5" x14ac:dyDescent="0.45">
      <c r="A130">
        <f ca="1"/>
        <v>0.2577122655337456</v>
      </c>
      <c r="B130">
        <f ca="1"/>
        <v>0.71394778210464138</v>
      </c>
      <c r="C130">
        <f ca="1"/>
        <v>0.15988396714190745</v>
      </c>
      <c r="D130">
        <f t="shared" ref="D130:D193" ca="1" si="4">-LN((A130*B130*C130)/(3*0.0101))</f>
        <v>2.9556385641030171E-2</v>
      </c>
      <c r="E130">
        <f t="shared" ref="E130:E193" ca="1" si="5">-LN(RAND()*RAND()*RAND()) / (3*0.003618)</f>
        <v>133.40583208289206</v>
      </c>
    </row>
    <row r="131" spans="1:5" x14ac:dyDescent="0.45">
      <c r="A131">
        <f ca="1"/>
        <v>0.27613074282874295</v>
      </c>
      <c r="B131">
        <f ca="1"/>
        <v>0.10111877593073948</v>
      </c>
      <c r="C131">
        <f ca="1"/>
        <v>0.87801564450711922</v>
      </c>
      <c r="D131">
        <f t="shared" ca="1" si="4"/>
        <v>0.21182357399284901</v>
      </c>
      <c r="E131">
        <f t="shared" ca="1" si="5"/>
        <v>302.26394393461794</v>
      </c>
    </row>
    <row r="132" spans="1:5" x14ac:dyDescent="0.45">
      <c r="A132">
        <f ca="1"/>
        <v>0.83034731140179008</v>
      </c>
      <c r="B132">
        <f ca="1"/>
        <v>0.81871599750778845</v>
      </c>
      <c r="C132">
        <f ca="1"/>
        <v>0.86139703922918653</v>
      </c>
      <c r="D132">
        <f t="shared" ca="1" si="4"/>
        <v>-2.961478582036674</v>
      </c>
      <c r="E132">
        <f t="shared" ca="1" si="5"/>
        <v>322.81316635735743</v>
      </c>
    </row>
    <row r="133" spans="1:5" x14ac:dyDescent="0.45">
      <c r="A133">
        <f ca="1"/>
        <v>0.84568317818397554</v>
      </c>
      <c r="B133">
        <f ca="1"/>
        <v>0.59038087347903323</v>
      </c>
      <c r="C133">
        <f ca="1"/>
        <v>0.73444138702738626</v>
      </c>
      <c r="D133">
        <f t="shared" ca="1" si="4"/>
        <v>-2.4933645946097625</v>
      </c>
      <c r="E133">
        <f t="shared" ca="1" si="5"/>
        <v>225.11121946292769</v>
      </c>
    </row>
    <row r="134" spans="1:5" x14ac:dyDescent="0.45">
      <c r="A134">
        <f ca="1"/>
        <v>4.8438110623841402E-2</v>
      </c>
      <c r="B134">
        <f ca="1"/>
        <v>0.24739611593797561</v>
      </c>
      <c r="C134">
        <f ca="1"/>
        <v>0.13542306595855913</v>
      </c>
      <c r="D134">
        <f t="shared" ca="1" si="4"/>
        <v>2.926976896537135</v>
      </c>
      <c r="E134">
        <f t="shared" ca="1" si="5"/>
        <v>243.04641331643052</v>
      </c>
    </row>
    <row r="135" spans="1:5" x14ac:dyDescent="0.45">
      <c r="A135">
        <f ca="1"/>
        <v>0.6938370842712076</v>
      </c>
      <c r="B135">
        <f ca="1"/>
        <v>0.14120502435708548</v>
      </c>
      <c r="C135">
        <f ca="1"/>
        <v>1.6221056263223232E-2</v>
      </c>
      <c r="D135">
        <f t="shared" ca="1" si="4"/>
        <v>2.9478980111236512</v>
      </c>
      <c r="E135">
        <f t="shared" ca="1" si="5"/>
        <v>436.10794965773556</v>
      </c>
    </row>
    <row r="136" spans="1:5" x14ac:dyDescent="0.45">
      <c r="A136">
        <f ca="1"/>
        <v>0.48860759732452341</v>
      </c>
      <c r="B136">
        <f ca="1"/>
        <v>0.41281225052588577</v>
      </c>
      <c r="C136">
        <f ca="1"/>
        <v>0.76674926342340188</v>
      </c>
      <c r="D136">
        <f t="shared" ca="1" si="4"/>
        <v>-1.6300541701280689</v>
      </c>
      <c r="E136">
        <f t="shared" ca="1" si="5"/>
        <v>92.222550641470917</v>
      </c>
    </row>
    <row r="137" spans="1:5" x14ac:dyDescent="0.45">
      <c r="A137">
        <f ca="1"/>
        <v>0.71301514343689165</v>
      </c>
      <c r="B137">
        <f ca="1"/>
        <v>0.72203680820131844</v>
      </c>
      <c r="C137">
        <f ca="1"/>
        <v>4.6067765267662653E-2</v>
      </c>
      <c r="D137">
        <f t="shared" ca="1" si="4"/>
        <v>0.2449660223182962</v>
      </c>
      <c r="E137">
        <f t="shared" ca="1" si="5"/>
        <v>86.012196653372357</v>
      </c>
    </row>
    <row r="138" spans="1:5" x14ac:dyDescent="0.45">
      <c r="A138">
        <f ca="1"/>
        <v>0.82659534835448389</v>
      </c>
      <c r="B138">
        <f ca="1"/>
        <v>0.66473541500436162</v>
      </c>
      <c r="C138">
        <f ca="1"/>
        <v>0.23257941808874572</v>
      </c>
      <c r="D138">
        <f t="shared" ca="1" si="4"/>
        <v>-1.4392778433262181</v>
      </c>
      <c r="E138">
        <f t="shared" ca="1" si="5"/>
        <v>415.84829930492765</v>
      </c>
    </row>
    <row r="139" spans="1:5" x14ac:dyDescent="0.45">
      <c r="A139">
        <f ca="1"/>
        <v>5.5684774507931412E-2</v>
      </c>
      <c r="B139">
        <f ca="1"/>
        <v>0.97008957957649655</v>
      </c>
      <c r="C139">
        <f ca="1"/>
        <v>0.55809743602159689</v>
      </c>
      <c r="D139">
        <f t="shared" ca="1" si="4"/>
        <v>5.0295280887500335E-3</v>
      </c>
      <c r="E139">
        <f t="shared" ca="1" si="5"/>
        <v>200.07086661925061</v>
      </c>
    </row>
    <row r="140" spans="1:5" x14ac:dyDescent="0.45">
      <c r="A140">
        <f ca="1"/>
        <v>0.17474150672561573</v>
      </c>
      <c r="B140">
        <f ca="1"/>
        <v>0.12927187966007092</v>
      </c>
      <c r="C140">
        <f ca="1"/>
        <v>0.53545521374204275</v>
      </c>
      <c r="D140">
        <f t="shared" ca="1" si="4"/>
        <v>0.91831546028904709</v>
      </c>
      <c r="E140">
        <f t="shared" ca="1" si="5"/>
        <v>175.40055115573585</v>
      </c>
    </row>
    <row r="141" spans="1:5" x14ac:dyDescent="0.45">
      <c r="A141">
        <f ca="1"/>
        <v>0.13209775791260192</v>
      </c>
      <c r="B141">
        <f ca="1"/>
        <v>0.62464420760702088</v>
      </c>
      <c r="C141">
        <f ca="1"/>
        <v>0.50793825432284367</v>
      </c>
      <c r="D141">
        <f t="shared" ca="1" si="4"/>
        <v>-0.32442608164782716</v>
      </c>
      <c r="E141">
        <f t="shared" ca="1" si="5"/>
        <v>405.26487559245112</v>
      </c>
    </row>
    <row r="142" spans="1:5" x14ac:dyDescent="0.45">
      <c r="A142">
        <f ca="1"/>
        <v>0.997356417599226</v>
      </c>
      <c r="B142">
        <f ca="1"/>
        <v>0.15781675753930946</v>
      </c>
      <c r="C142">
        <f ca="1"/>
        <v>0.78357760119067255</v>
      </c>
      <c r="D142">
        <f t="shared" ca="1" si="4"/>
        <v>-1.4037546244080625</v>
      </c>
      <c r="E142">
        <f t="shared" ca="1" si="5"/>
        <v>353.31284739507737</v>
      </c>
    </row>
    <row r="143" spans="1:5" x14ac:dyDescent="0.45">
      <c r="A143">
        <f ca="1"/>
        <v>0.52272935503393358</v>
      </c>
      <c r="B143">
        <f ca="1"/>
        <v>0.61102912898778028</v>
      </c>
      <c r="C143">
        <f ca="1"/>
        <v>0.65659831593961071</v>
      </c>
      <c r="D143">
        <f t="shared" ca="1" si="4"/>
        <v>-1.93462264661315</v>
      </c>
      <c r="E143">
        <f t="shared" ca="1" si="5"/>
        <v>391.43810346477477</v>
      </c>
    </row>
    <row r="144" spans="1:5" x14ac:dyDescent="0.45">
      <c r="A144">
        <f ca="1"/>
        <v>0.1390267179589133</v>
      </c>
      <c r="B144">
        <f ca="1"/>
        <v>0.10089152705380711</v>
      </c>
      <c r="C144">
        <f ca="1"/>
        <v>0.90441659568961419</v>
      </c>
      <c r="D144">
        <f t="shared" ca="1" si="4"/>
        <v>0.87065609997351545</v>
      </c>
      <c r="E144">
        <f t="shared" ca="1" si="5"/>
        <v>95.642380539511706</v>
      </c>
    </row>
    <row r="145" spans="1:5" x14ac:dyDescent="0.45">
      <c r="A145">
        <f ca="1"/>
        <v>0.60063276201009708</v>
      </c>
      <c r="B145">
        <f ca="1"/>
        <v>5.9730747741415957E-2</v>
      </c>
      <c r="C145">
        <f ca="1"/>
        <v>0.17840374338738241</v>
      </c>
      <c r="D145">
        <f t="shared" ca="1" si="4"/>
        <v>1.5547784392209434</v>
      </c>
      <c r="E145">
        <f t="shared" ca="1" si="5"/>
        <v>192.41976885232802</v>
      </c>
    </row>
    <row r="146" spans="1:5" x14ac:dyDescent="0.45">
      <c r="A146">
        <f ca="1"/>
        <v>0.31055992145945166</v>
      </c>
      <c r="B146">
        <f ca="1"/>
        <v>0.18449021587573178</v>
      </c>
      <c r="C146">
        <f ca="1"/>
        <v>0.87060706553856892</v>
      </c>
      <c r="D146">
        <f t="shared" ca="1" si="4"/>
        <v>-0.49850577242881394</v>
      </c>
      <c r="E146">
        <f t="shared" ca="1" si="5"/>
        <v>91.329286689036437</v>
      </c>
    </row>
    <row r="147" spans="1:5" x14ac:dyDescent="0.45">
      <c r="A147">
        <f ca="1"/>
        <v>0.85564155496541816</v>
      </c>
      <c r="B147">
        <f ca="1"/>
        <v>8.6094418516504012E-2</v>
      </c>
      <c r="C147">
        <f ca="1"/>
        <v>9.1516589967790107E-2</v>
      </c>
      <c r="D147">
        <f t="shared" ca="1" si="4"/>
        <v>1.5028418755248512</v>
      </c>
      <c r="E147">
        <f t="shared" ca="1" si="5"/>
        <v>73.682569725606754</v>
      </c>
    </row>
    <row r="148" spans="1:5" x14ac:dyDescent="0.45">
      <c r="A148">
        <f ca="1"/>
        <v>0.68972254403064026</v>
      </c>
      <c r="B148">
        <f ca="1"/>
        <v>0.90267081021862738</v>
      </c>
      <c r="C148">
        <f ca="1"/>
        <v>0.25100243267459543</v>
      </c>
      <c r="D148">
        <f t="shared" ca="1" si="4"/>
        <v>-1.6404517028578363</v>
      </c>
      <c r="E148">
        <f t="shared" ca="1" si="5"/>
        <v>259.14675948664058</v>
      </c>
    </row>
    <row r="149" spans="1:5" x14ac:dyDescent="0.45">
      <c r="A149">
        <f ca="1"/>
        <v>0.79136513351118376</v>
      </c>
      <c r="B149">
        <f ca="1"/>
        <v>0.98830387108988282</v>
      </c>
      <c r="C149">
        <f ca="1"/>
        <v>6.0282536698135436E-2</v>
      </c>
      <c r="D149">
        <f t="shared" ca="1" si="4"/>
        <v>-0.44213386786556003</v>
      </c>
      <c r="E149">
        <f t="shared" ca="1" si="5"/>
        <v>360.0022012846419</v>
      </c>
    </row>
    <row r="150" spans="1:5" x14ac:dyDescent="0.45">
      <c r="A150">
        <f ca="1"/>
        <v>0.93028573694778616</v>
      </c>
      <c r="B150">
        <f ca="1"/>
        <v>0.36907535081134957</v>
      </c>
      <c r="C150">
        <f ca="1"/>
        <v>0.22471181636681203</v>
      </c>
      <c r="D150">
        <f t="shared" ca="1" si="4"/>
        <v>-0.93465310355342446</v>
      </c>
      <c r="E150">
        <f t="shared" ca="1" si="5"/>
        <v>101.34023668655202</v>
      </c>
    </row>
    <row r="151" spans="1:5" x14ac:dyDescent="0.45">
      <c r="A151">
        <f ca="1"/>
        <v>0.31471897512604907</v>
      </c>
      <c r="B151">
        <f ca="1"/>
        <v>0.71154658238402835</v>
      </c>
      <c r="C151">
        <f ca="1"/>
        <v>0.53658355390139745</v>
      </c>
      <c r="D151">
        <f t="shared" ca="1" si="4"/>
        <v>-1.3776850025634995</v>
      </c>
      <c r="E151">
        <f t="shared" ca="1" si="5"/>
        <v>155.93193375913981</v>
      </c>
    </row>
    <row r="152" spans="1:5" x14ac:dyDescent="0.45">
      <c r="A152">
        <f ca="1"/>
        <v>2.0533322173407864E-2</v>
      </c>
      <c r="B152">
        <f ca="1"/>
        <v>0.41854997631096835</v>
      </c>
      <c r="C152">
        <f ca="1"/>
        <v>0.15864541724106451</v>
      </c>
      <c r="D152">
        <f t="shared" ca="1" si="4"/>
        <v>3.1011412999597452</v>
      </c>
      <c r="E152">
        <f t="shared" ca="1" si="5"/>
        <v>267.04045647653618</v>
      </c>
    </row>
    <row r="153" spans="1:5" x14ac:dyDescent="0.45">
      <c r="A153">
        <f ca="1"/>
        <v>0.15717758086512323</v>
      </c>
      <c r="B153">
        <f ca="1"/>
        <v>0.78479650320893057</v>
      </c>
      <c r="C153">
        <f ca="1"/>
        <v>0.57990003493996056</v>
      </c>
      <c r="D153">
        <f t="shared" ca="1" si="4"/>
        <v>-0.85899817171236603</v>
      </c>
      <c r="E153">
        <f t="shared" ca="1" si="5"/>
        <v>111.7191318169143</v>
      </c>
    </row>
    <row r="154" spans="1:5" x14ac:dyDescent="0.45">
      <c r="A154">
        <f ca="1"/>
        <v>9.7355463020730726E-2</v>
      </c>
      <c r="B154">
        <f ca="1"/>
        <v>0.96377394581661813</v>
      </c>
      <c r="C154">
        <f ca="1"/>
        <v>0.80282739308154638</v>
      </c>
      <c r="D154">
        <f t="shared" ca="1" si="4"/>
        <v>-0.91070708641671527</v>
      </c>
      <c r="E154">
        <f t="shared" ca="1" si="5"/>
        <v>389.74639089018791</v>
      </c>
    </row>
    <row r="155" spans="1:5" x14ac:dyDescent="0.45">
      <c r="A155">
        <f ca="1"/>
        <v>0.33554265156707874</v>
      </c>
      <c r="B155">
        <f ca="1"/>
        <v>0.67260844124577002</v>
      </c>
      <c r="C155">
        <f ca="1"/>
        <v>0.25716414686358813</v>
      </c>
      <c r="D155">
        <f t="shared" ca="1" si="4"/>
        <v>-0.64996874037856422</v>
      </c>
      <c r="E155">
        <f t="shared" ca="1" si="5"/>
        <v>349.14664275095339</v>
      </c>
    </row>
    <row r="156" spans="1:5" x14ac:dyDescent="0.45">
      <c r="A156">
        <f ca="1"/>
        <v>0.59980954305480694</v>
      </c>
      <c r="B156">
        <f ca="1"/>
        <v>0.60062488576945228</v>
      </c>
      <c r="C156">
        <f ca="1"/>
        <v>0.82419024487235282</v>
      </c>
      <c r="D156">
        <f t="shared" ca="1" si="4"/>
        <v>-2.282325878602268</v>
      </c>
      <c r="E156">
        <f t="shared" ca="1" si="5"/>
        <v>140.44992520739356</v>
      </c>
    </row>
    <row r="157" spans="1:5" x14ac:dyDescent="0.45">
      <c r="A157">
        <f ca="1"/>
        <v>0.1685339735116258</v>
      </c>
      <c r="B157">
        <f ca="1"/>
        <v>0.16691455423667834</v>
      </c>
      <c r="C157">
        <f ca="1"/>
        <v>0.88749265655009912</v>
      </c>
      <c r="D157">
        <f t="shared" ca="1" si="4"/>
        <v>0.19363864058922228</v>
      </c>
      <c r="E157">
        <f t="shared" ca="1" si="5"/>
        <v>171.13241879674607</v>
      </c>
    </row>
    <row r="158" spans="1:5" x14ac:dyDescent="0.45">
      <c r="A158">
        <f ca="1"/>
        <v>0.70793679371151663</v>
      </c>
      <c r="B158">
        <f ca="1"/>
        <v>0.52339280591036008</v>
      </c>
      <c r="C158">
        <f ca="1"/>
        <v>0.93557225238895469</v>
      </c>
      <c r="D158">
        <f t="shared" ca="1" si="4"/>
        <v>-2.4371871666070533</v>
      </c>
      <c r="E158">
        <f t="shared" ca="1" si="5"/>
        <v>31.415673590356718</v>
      </c>
    </row>
    <row r="159" spans="1:5" x14ac:dyDescent="0.45">
      <c r="A159">
        <f ca="1"/>
        <v>0.87884027591943781</v>
      </c>
      <c r="B159">
        <f ca="1"/>
        <v>0.99535298289463481</v>
      </c>
      <c r="C159">
        <f ca="1"/>
        <v>0.39859707081045448</v>
      </c>
      <c r="D159">
        <f t="shared" ca="1" si="4"/>
        <v>-2.4429933895499372</v>
      </c>
      <c r="E159">
        <f t="shared" ca="1" si="5"/>
        <v>210.10793753596747</v>
      </c>
    </row>
    <row r="160" spans="1:5" x14ac:dyDescent="0.45">
      <c r="A160">
        <f ca="1"/>
        <v>0.86650658258112578</v>
      </c>
      <c r="B160">
        <f ca="1"/>
        <v>0.56175469060910399</v>
      </c>
      <c r="C160">
        <f ca="1"/>
        <v>0.84948157601055163</v>
      </c>
      <c r="D160">
        <f t="shared" ca="1" si="4"/>
        <v>-2.6135029492559911</v>
      </c>
      <c r="E160">
        <f t="shared" ca="1" si="5"/>
        <v>253.76643370595187</v>
      </c>
    </row>
    <row r="161" spans="1:5" x14ac:dyDescent="0.45">
      <c r="A161">
        <f ca="1"/>
        <v>0.59874770182873216</v>
      </c>
      <c r="B161">
        <f ca="1"/>
        <v>0.80972588478228391</v>
      </c>
      <c r="C161">
        <f ca="1"/>
        <v>0.39174765995094352</v>
      </c>
      <c r="D161">
        <f t="shared" ca="1" si="4"/>
        <v>-1.8354957243947316</v>
      </c>
      <c r="E161">
        <f t="shared" ca="1" si="5"/>
        <v>101.80992643128586</v>
      </c>
    </row>
    <row r="162" spans="1:5" x14ac:dyDescent="0.45">
      <c r="A162">
        <f ca="1"/>
        <v>0.15242498088097389</v>
      </c>
      <c r="B162">
        <f ca="1"/>
        <v>0.61807882532159875</v>
      </c>
      <c r="C162">
        <f ca="1"/>
        <v>0.4253823878223304</v>
      </c>
      <c r="D162">
        <f t="shared" ca="1" si="4"/>
        <v>-0.27961877472709901</v>
      </c>
      <c r="E162">
        <f t="shared" ca="1" si="5"/>
        <v>343.35709771965469</v>
      </c>
    </row>
    <row r="163" spans="1:5" x14ac:dyDescent="0.45">
      <c r="A163">
        <f ca="1"/>
        <v>0.99115020367538409</v>
      </c>
      <c r="B163">
        <f ca="1"/>
        <v>0.24184082730526124</v>
      </c>
      <c r="C163">
        <f ca="1"/>
        <v>0.59466007166426271</v>
      </c>
      <c r="D163">
        <f t="shared" ca="1" si="4"/>
        <v>-1.548477525654147</v>
      </c>
      <c r="E163">
        <f t="shared" ca="1" si="5"/>
        <v>249.34354763487426</v>
      </c>
    </row>
    <row r="164" spans="1:5" x14ac:dyDescent="0.45">
      <c r="A164">
        <f ca="1"/>
        <v>0.78921629452541864</v>
      </c>
      <c r="B164">
        <f ca="1"/>
        <v>0.54895304821019342</v>
      </c>
      <c r="C164">
        <f ca="1"/>
        <v>0.98477036997194167</v>
      </c>
      <c r="D164">
        <f t="shared" ca="1" si="4"/>
        <v>-2.644803552873725</v>
      </c>
      <c r="E164">
        <f t="shared" ca="1" si="5"/>
        <v>179.45735293005899</v>
      </c>
    </row>
    <row r="165" spans="1:5" x14ac:dyDescent="0.45">
      <c r="A165">
        <f ca="1"/>
        <v>0.89485900249343042</v>
      </c>
      <c r="B165">
        <f ca="1"/>
        <v>5.5817485759839025E-2</v>
      </c>
      <c r="C165">
        <f ca="1"/>
        <v>0.3575662533361923</v>
      </c>
      <c r="D165">
        <f t="shared" ca="1" si="4"/>
        <v>0.52858424957739258</v>
      </c>
      <c r="E165">
        <f t="shared" ca="1" si="5"/>
        <v>151.91064160095834</v>
      </c>
    </row>
    <row r="166" spans="1:5" x14ac:dyDescent="0.45">
      <c r="A166">
        <f ca="1"/>
        <v>0.81828267966811996</v>
      </c>
      <c r="B166">
        <f ca="1"/>
        <v>0.24642681022751889</v>
      </c>
      <c r="C166">
        <f ca="1"/>
        <v>1.6597968599296742E-2</v>
      </c>
      <c r="D166">
        <f t="shared" ca="1" si="4"/>
        <v>2.2031050715877538</v>
      </c>
      <c r="E166">
        <f t="shared" ca="1" si="5"/>
        <v>445.68393502292702</v>
      </c>
    </row>
    <row r="167" spans="1:5" x14ac:dyDescent="0.45">
      <c r="A167">
        <f ca="1"/>
        <v>7.5608523662864746E-2</v>
      </c>
      <c r="B167">
        <f ca="1"/>
        <v>0.32551094369272393</v>
      </c>
      <c r="C167">
        <f ca="1"/>
        <v>0.20041798738906125</v>
      </c>
      <c r="D167">
        <f t="shared" ca="1" si="4"/>
        <v>1.815288041913824</v>
      </c>
      <c r="E167">
        <f t="shared" ca="1" si="5"/>
        <v>279.04601748230493</v>
      </c>
    </row>
    <row r="168" spans="1:5" x14ac:dyDescent="0.45">
      <c r="A168">
        <f ca="1"/>
        <v>0.48392825078315571</v>
      </c>
      <c r="B168">
        <f ca="1"/>
        <v>0.1613401145564306</v>
      </c>
      <c r="C168">
        <f ca="1"/>
        <v>0.35124715710977839</v>
      </c>
      <c r="D168">
        <f t="shared" ca="1" si="4"/>
        <v>9.9716840418170402E-2</v>
      </c>
      <c r="E168">
        <f t="shared" ca="1" si="5"/>
        <v>132.00507939326314</v>
      </c>
    </row>
    <row r="169" spans="1:5" x14ac:dyDescent="0.45">
      <c r="A169">
        <f ca="1"/>
        <v>0.26601420021562694</v>
      </c>
      <c r="B169">
        <f ca="1"/>
        <v>0.17995278202016207</v>
      </c>
      <c r="C169">
        <f ca="1"/>
        <v>0.65712545460154503</v>
      </c>
      <c r="D169">
        <f t="shared" ca="1" si="4"/>
        <v>-3.7460866457154553E-2</v>
      </c>
      <c r="E169">
        <f t="shared" ca="1" si="5"/>
        <v>109.40319281978844</v>
      </c>
    </row>
    <row r="170" spans="1:5" x14ac:dyDescent="0.45">
      <c r="A170">
        <f ca="1"/>
        <v>0.56693623320640563</v>
      </c>
      <c r="B170">
        <f ca="1"/>
        <v>0.53435992538504151</v>
      </c>
      <c r="C170">
        <f ca="1"/>
        <v>0.84410013538823114</v>
      </c>
      <c r="D170">
        <f t="shared" ca="1" si="4"/>
        <v>-2.1329293243135008</v>
      </c>
      <c r="E170">
        <f t="shared" ca="1" si="5"/>
        <v>183.30514464389228</v>
      </c>
    </row>
    <row r="171" spans="1:5" x14ac:dyDescent="0.45">
      <c r="A171">
        <f ca="1"/>
        <v>0.87818536266258396</v>
      </c>
      <c r="B171">
        <f ca="1"/>
        <v>0.6540030455556487</v>
      </c>
      <c r="C171">
        <f ca="1"/>
        <v>0.51446617717336318</v>
      </c>
      <c r="D171">
        <f t="shared" ca="1" si="4"/>
        <v>-2.2774412422351245</v>
      </c>
      <c r="E171">
        <f t="shared" ca="1" si="5"/>
        <v>249.63473207795042</v>
      </c>
    </row>
    <row r="172" spans="1:5" x14ac:dyDescent="0.45">
      <c r="A172">
        <f ca="1"/>
        <v>0.5800063099792645</v>
      </c>
      <c r="B172">
        <f ca="1"/>
        <v>0.32242422508703839</v>
      </c>
      <c r="C172">
        <f ca="1"/>
        <v>0.12063300855285441</v>
      </c>
      <c r="D172">
        <f t="shared" ca="1" si="4"/>
        <v>0.2949981904626624</v>
      </c>
      <c r="E172">
        <f t="shared" ca="1" si="5"/>
        <v>276.16712617695771</v>
      </c>
    </row>
    <row r="173" spans="1:5" x14ac:dyDescent="0.45">
      <c r="A173">
        <f ca="1"/>
        <v>0.55301273039258403</v>
      </c>
      <c r="B173">
        <f ca="1"/>
        <v>0.43797824334231872</v>
      </c>
      <c r="C173">
        <f ca="1"/>
        <v>0.30802946627651506</v>
      </c>
      <c r="D173">
        <f t="shared" ca="1" si="4"/>
        <v>-0.9010874359139307</v>
      </c>
      <c r="E173">
        <f t="shared" ca="1" si="5"/>
        <v>308.68234363381077</v>
      </c>
    </row>
    <row r="174" spans="1:5" x14ac:dyDescent="0.45">
      <c r="A174">
        <f ca="1"/>
        <v>4.8190926054765271E-2</v>
      </c>
      <c r="B174">
        <f ca="1"/>
        <v>0.72850845556638077</v>
      </c>
      <c r="C174">
        <f ca="1"/>
        <v>0.84387459882232885</v>
      </c>
      <c r="D174">
        <f t="shared" ca="1" si="4"/>
        <v>2.2484386922964405E-2</v>
      </c>
      <c r="E174">
        <f t="shared" ca="1" si="5"/>
        <v>199.12811571440722</v>
      </c>
    </row>
    <row r="175" spans="1:5" x14ac:dyDescent="0.45">
      <c r="A175">
        <f ca="1"/>
        <v>0.78650822622562488</v>
      </c>
      <c r="B175">
        <f ca="1"/>
        <v>0.57326726912620862</v>
      </c>
      <c r="C175">
        <f ca="1"/>
        <v>5.7810838442593493E-3</v>
      </c>
      <c r="D175">
        <f t="shared" ca="1" si="4"/>
        <v>2.4531118611085332</v>
      </c>
      <c r="E175">
        <f t="shared" ca="1" si="5"/>
        <v>306.36586625813879</v>
      </c>
    </row>
    <row r="176" spans="1:5" x14ac:dyDescent="0.45">
      <c r="A176">
        <f ca="1"/>
        <v>0.46823259258583705</v>
      </c>
      <c r="B176">
        <f ca="1"/>
        <v>0.85365680144774303</v>
      </c>
      <c r="C176">
        <f ca="1"/>
        <v>0.13303369457485559</v>
      </c>
      <c r="D176">
        <f t="shared" ca="1" si="4"/>
        <v>-0.56243857466225555</v>
      </c>
      <c r="E176">
        <f t="shared" ca="1" si="5"/>
        <v>305.96975955407152</v>
      </c>
    </row>
    <row r="177" spans="1:5" x14ac:dyDescent="0.45">
      <c r="A177">
        <f ca="1"/>
        <v>0.3824068691918443</v>
      </c>
      <c r="B177">
        <f ca="1"/>
        <v>0.32565567033089349</v>
      </c>
      <c r="C177">
        <f ca="1"/>
        <v>0.14922687965995252</v>
      </c>
      <c r="D177">
        <f t="shared" ca="1" si="4"/>
        <v>0.48886469878597133</v>
      </c>
      <c r="E177">
        <f t="shared" ca="1" si="5"/>
        <v>527.4447937205797</v>
      </c>
    </row>
    <row r="178" spans="1:5" x14ac:dyDescent="0.45">
      <c r="A178">
        <f ca="1"/>
        <v>0.23898184731448291</v>
      </c>
      <c r="B178">
        <f ca="1"/>
        <v>0.44055275802335903</v>
      </c>
      <c r="C178">
        <f ca="1"/>
        <v>0.27416160634816666</v>
      </c>
      <c r="D178">
        <f t="shared" ca="1" si="4"/>
        <v>4.8522730676836476E-2</v>
      </c>
      <c r="E178">
        <f t="shared" ca="1" si="5"/>
        <v>311.94841197227578</v>
      </c>
    </row>
    <row r="179" spans="1:5" x14ac:dyDescent="0.45">
      <c r="A179">
        <f ca="1"/>
        <v>0.54996028791211105</v>
      </c>
      <c r="B179">
        <f ca="1"/>
        <v>0.92457471891724752</v>
      </c>
      <c r="C179">
        <f ca="1"/>
        <v>0.80507069358368333</v>
      </c>
      <c r="D179">
        <f t="shared" ca="1" si="4"/>
        <v>-2.6034517614792452</v>
      </c>
      <c r="E179">
        <f t="shared" ca="1" si="5"/>
        <v>378.63065232683999</v>
      </c>
    </row>
    <row r="180" spans="1:5" x14ac:dyDescent="0.45">
      <c r="A180">
        <f ca="1"/>
        <v>0.36534232212352258</v>
      </c>
      <c r="B180">
        <f ca="1"/>
        <v>9.2347449730145748E-2</v>
      </c>
      <c r="C180">
        <f ca="1"/>
        <v>4.0279126249305852E-2</v>
      </c>
      <c r="D180">
        <f t="shared" ca="1" si="4"/>
        <v>3.1044320209010023</v>
      </c>
      <c r="E180">
        <f t="shared" ca="1" si="5"/>
        <v>874.09146856186112</v>
      </c>
    </row>
    <row r="181" spans="1:5" x14ac:dyDescent="0.45">
      <c r="A181">
        <f ca="1"/>
        <v>0.21580235677597481</v>
      </c>
      <c r="B181">
        <f ca="1"/>
        <v>0.83435058028771025</v>
      </c>
      <c r="C181">
        <f ca="1"/>
        <v>0.21873641479545647</v>
      </c>
      <c r="D181">
        <f t="shared" ca="1" si="4"/>
        <v>-0.26222579700324666</v>
      </c>
      <c r="E181">
        <f t="shared" ca="1" si="5"/>
        <v>419.58989267399107</v>
      </c>
    </row>
    <row r="182" spans="1:5" x14ac:dyDescent="0.45">
      <c r="A182">
        <f ca="1"/>
        <v>0.92795227381971768</v>
      </c>
      <c r="B182">
        <f ca="1"/>
        <v>0.73064358710197164</v>
      </c>
      <c r="C182">
        <f ca="1"/>
        <v>0.38797306246072982</v>
      </c>
      <c r="D182">
        <f t="shared" ca="1" si="4"/>
        <v>-2.1611837143814716</v>
      </c>
      <c r="E182">
        <f t="shared" ca="1" si="5"/>
        <v>190.06899718377679</v>
      </c>
    </row>
    <row r="183" spans="1:5" x14ac:dyDescent="0.45">
      <c r="A183">
        <f ca="1"/>
        <v>0.65994944449315174</v>
      </c>
      <c r="B183">
        <f ca="1"/>
        <v>0.28211741903572007</v>
      </c>
      <c r="C183">
        <f ca="1"/>
        <v>7.421873192868178E-2</v>
      </c>
      <c r="D183">
        <f t="shared" ca="1" si="4"/>
        <v>0.78515510362855756</v>
      </c>
      <c r="E183">
        <f t="shared" ca="1" si="5"/>
        <v>129.16851633123972</v>
      </c>
    </row>
    <row r="184" spans="1:5" x14ac:dyDescent="0.45">
      <c r="A184">
        <f ca="1"/>
        <v>0.23140241416442064</v>
      </c>
      <c r="B184">
        <f ca="1"/>
        <v>0.5418508643324802</v>
      </c>
      <c r="C184">
        <f ca="1"/>
        <v>0.15389160154074077</v>
      </c>
      <c r="D184">
        <f t="shared" ca="1" si="4"/>
        <v>0.45126074892279749</v>
      </c>
      <c r="E184">
        <f t="shared" ca="1" si="5"/>
        <v>175.62679745313193</v>
      </c>
    </row>
    <row r="185" spans="1:5" x14ac:dyDescent="0.45">
      <c r="A185">
        <f ca="1"/>
        <v>0.85607177883387409</v>
      </c>
      <c r="B185">
        <f ca="1"/>
        <v>0.33878612161361699</v>
      </c>
      <c r="C185">
        <f ca="1"/>
        <v>0.92347265765958775</v>
      </c>
      <c r="D185">
        <f t="shared" ca="1" si="4"/>
        <v>-2.179206146405559</v>
      </c>
      <c r="E185">
        <f t="shared" ca="1" si="5"/>
        <v>468.79046089101854</v>
      </c>
    </row>
    <row r="186" spans="1:5" x14ac:dyDescent="0.45">
      <c r="A186">
        <f ca="1"/>
        <v>0.55874950983826621</v>
      </c>
      <c r="B186">
        <f ca="1"/>
        <v>0.22895223701327394</v>
      </c>
      <c r="C186">
        <f ca="1"/>
        <v>0.48194587994964388</v>
      </c>
      <c r="D186">
        <f t="shared" ca="1" si="4"/>
        <v>-0.71038823349081037</v>
      </c>
      <c r="E186">
        <f t="shared" ca="1" si="5"/>
        <v>164.63350198169533</v>
      </c>
    </row>
    <row r="187" spans="1:5" x14ac:dyDescent="0.45">
      <c r="A187">
        <f ca="1"/>
        <v>0.79511984449835316</v>
      </c>
      <c r="B187">
        <f ca="1"/>
        <v>2.9338910563373455E-2</v>
      </c>
      <c r="C187">
        <f ca="1"/>
        <v>8.4781774695645851E-2</v>
      </c>
      <c r="D187">
        <f t="shared" ca="1" si="4"/>
        <v>2.7291701801533783</v>
      </c>
      <c r="E187">
        <f t="shared" ca="1" si="5"/>
        <v>179.15024644930043</v>
      </c>
    </row>
    <row r="188" spans="1:5" x14ac:dyDescent="0.45">
      <c r="A188">
        <f ca="1"/>
        <v>0.63552685262421993</v>
      </c>
      <c r="B188">
        <f ca="1"/>
        <v>0.81564932332222462</v>
      </c>
      <c r="C188">
        <f ca="1"/>
        <v>6.2970572324893448E-2</v>
      </c>
      <c r="D188">
        <f t="shared" ca="1" si="4"/>
        <v>-7.4448096656932944E-2</v>
      </c>
      <c r="E188">
        <f t="shared" ca="1" si="5"/>
        <v>322.93423666708975</v>
      </c>
    </row>
    <row r="189" spans="1:5" x14ac:dyDescent="0.45">
      <c r="A189">
        <f ca="1"/>
        <v>0.31576344535624901</v>
      </c>
      <c r="B189">
        <f ca="1"/>
        <v>0.84949644330981644</v>
      </c>
      <c r="C189">
        <f ca="1"/>
        <v>0.51310026290316535</v>
      </c>
      <c r="D189">
        <f t="shared" ca="1" si="4"/>
        <v>-1.5134500967573594</v>
      </c>
      <c r="E189">
        <f t="shared" ca="1" si="5"/>
        <v>283.16431381936059</v>
      </c>
    </row>
    <row r="190" spans="1:5" x14ac:dyDescent="0.45">
      <c r="A190">
        <f ca="1"/>
        <v>0.53678467687749198</v>
      </c>
      <c r="B190">
        <f ca="1"/>
        <v>0.15367826316724087</v>
      </c>
      <c r="C190">
        <f ca="1"/>
        <v>0.40533081710497365</v>
      </c>
      <c r="D190">
        <f t="shared" ca="1" si="4"/>
        <v>-9.8503552276522577E-2</v>
      </c>
      <c r="E190">
        <f t="shared" ca="1" si="5"/>
        <v>387.52294009148414</v>
      </c>
    </row>
    <row r="191" spans="1:5" x14ac:dyDescent="0.45">
      <c r="A191">
        <f ca="1"/>
        <v>0.43646868891472224</v>
      </c>
      <c r="B191">
        <f ca="1"/>
        <v>0.37715894846937159</v>
      </c>
      <c r="C191">
        <f ca="1"/>
        <v>0.71346259575435655</v>
      </c>
      <c r="D191">
        <f t="shared" ca="1" si="4"/>
        <v>-1.3548550945768341</v>
      </c>
      <c r="E191">
        <f t="shared" ca="1" si="5"/>
        <v>63.130875190511631</v>
      </c>
    </row>
    <row r="192" spans="1:5" x14ac:dyDescent="0.45">
      <c r="A192">
        <f ca="1"/>
        <v>4.8600935443511739E-2</v>
      </c>
      <c r="B192">
        <f ca="1"/>
        <v>0.98496257639701135</v>
      </c>
      <c r="C192">
        <f ca="1"/>
        <v>0.96479891643362214</v>
      </c>
      <c r="D192">
        <f t="shared" ca="1" si="4"/>
        <v>-0.42150785786805312</v>
      </c>
      <c r="E192">
        <f t="shared" ca="1" si="5"/>
        <v>184.65387820429271</v>
      </c>
    </row>
    <row r="193" spans="1:5" x14ac:dyDescent="0.45">
      <c r="A193">
        <f ca="1"/>
        <v>0.33217068555495</v>
      </c>
      <c r="B193">
        <f ca="1"/>
        <v>0.39890437331548667</v>
      </c>
      <c r="C193">
        <f ca="1"/>
        <v>0.84846762012029542</v>
      </c>
      <c r="D193">
        <f t="shared" ca="1" si="4"/>
        <v>-1.3111443243592651</v>
      </c>
      <c r="E193">
        <f t="shared" ca="1" si="5"/>
        <v>194.92347528784896</v>
      </c>
    </row>
    <row r="194" spans="1:5" x14ac:dyDescent="0.45">
      <c r="A194">
        <f ca="1"/>
        <v>0.43616922749478726</v>
      </c>
      <c r="B194">
        <f ca="1"/>
        <v>0.93391906745401898</v>
      </c>
      <c r="C194">
        <f ca="1"/>
        <v>0.32135907813825226</v>
      </c>
      <c r="D194">
        <f t="shared" ref="D194:D257" ca="1" si="6">-LN((A194*B194*C194)/(3*0.0101))</f>
        <v>-1.4633209383667349</v>
      </c>
      <c r="E194">
        <f t="shared" ref="E194:E257" ca="1" si="7">-LN(RAND()*RAND()*RAND()) / (3*0.003618)</f>
        <v>75.587001565290521</v>
      </c>
    </row>
    <row r="195" spans="1:5" x14ac:dyDescent="0.45">
      <c r="A195">
        <f ca="1"/>
        <v>0.55565055667873353</v>
      </c>
      <c r="B195">
        <f ca="1"/>
        <v>0.48395836568483497</v>
      </c>
      <c r="C195">
        <f ca="1"/>
        <v>0.88789809746036652</v>
      </c>
      <c r="D195">
        <f t="shared" ca="1" si="6"/>
        <v>-2.0643371940023223</v>
      </c>
      <c r="E195">
        <f t="shared" ca="1" si="7"/>
        <v>175.36100058719111</v>
      </c>
    </row>
    <row r="196" spans="1:5" x14ac:dyDescent="0.45">
      <c r="A196">
        <f ca="1"/>
        <v>6.9839094085375253E-2</v>
      </c>
      <c r="B196">
        <f ca="1"/>
        <v>0.61191021562097325</v>
      </c>
      <c r="C196">
        <f ca="1"/>
        <v>0.55563408775610923</v>
      </c>
      <c r="D196">
        <f t="shared" ca="1" si="6"/>
        <v>0.24376880301941273</v>
      </c>
      <c r="E196">
        <f t="shared" ca="1" si="7"/>
        <v>291.06493287135305</v>
      </c>
    </row>
    <row r="197" spans="1:5" x14ac:dyDescent="0.45">
      <c r="A197">
        <f ca="1"/>
        <v>0.60789856648608587</v>
      </c>
      <c r="B197">
        <f ca="1"/>
        <v>4.1822015565271098E-2</v>
      </c>
      <c r="C197">
        <f ca="1"/>
        <v>0.17804134715371034</v>
      </c>
      <c r="D197">
        <f t="shared" ca="1" si="6"/>
        <v>1.901211534127196</v>
      </c>
      <c r="E197">
        <f t="shared" ca="1" si="7"/>
        <v>189.32953969849805</v>
      </c>
    </row>
    <row r="198" spans="1:5" x14ac:dyDescent="0.45">
      <c r="A198">
        <f ca="1"/>
        <v>0.53677064477675307</v>
      </c>
      <c r="B198">
        <f ca="1"/>
        <v>0.29249210766845968</v>
      </c>
      <c r="C198">
        <f ca="1"/>
        <v>0.35332978388151237</v>
      </c>
      <c r="D198">
        <f t="shared" ca="1" si="6"/>
        <v>-0.60475216484230621</v>
      </c>
      <c r="E198">
        <f t="shared" ca="1" si="7"/>
        <v>591.71385295649611</v>
      </c>
    </row>
    <row r="199" spans="1:5" x14ac:dyDescent="0.45">
      <c r="A199">
        <f ca="1"/>
        <v>0.74586351523500038</v>
      </c>
      <c r="B199">
        <f ca="1"/>
        <v>4.7004173048375453E-2</v>
      </c>
      <c r="C199">
        <f ca="1"/>
        <v>0.40622978349812677</v>
      </c>
      <c r="D199">
        <f t="shared" ca="1" si="6"/>
        <v>0.75496028772259138</v>
      </c>
      <c r="E199">
        <f t="shared" ca="1" si="7"/>
        <v>54.385440172227931</v>
      </c>
    </row>
    <row r="200" spans="1:5" x14ac:dyDescent="0.45">
      <c r="A200">
        <f ca="1"/>
        <v>0.92051727147732731</v>
      </c>
      <c r="B200">
        <f ca="1"/>
        <v>5.9327020088544069E-2</v>
      </c>
      <c r="C200">
        <f ca="1"/>
        <v>0.15049942476182077</v>
      </c>
      <c r="D200">
        <f t="shared" ca="1" si="6"/>
        <v>1.3046983918731914</v>
      </c>
      <c r="E200">
        <f t="shared" ca="1" si="7"/>
        <v>222.2100181976505</v>
      </c>
    </row>
    <row r="201" spans="1:5" x14ac:dyDescent="0.45">
      <c r="A201">
        <f ca="1"/>
        <v>0.53090214620370468</v>
      </c>
      <c r="B201">
        <f ca="1"/>
        <v>0.36973867216317013</v>
      </c>
      <c r="C201">
        <f ca="1"/>
        <v>0.71365640775480599</v>
      </c>
      <c r="D201">
        <f t="shared" ca="1" si="6"/>
        <v>-1.5311175412074938</v>
      </c>
      <c r="E201">
        <f t="shared" ca="1" si="7"/>
        <v>352.73647360896786</v>
      </c>
    </row>
    <row r="202" spans="1:5" x14ac:dyDescent="0.45">
      <c r="A202">
        <f ca="1"/>
        <v>0.45087238666772111</v>
      </c>
      <c r="B202">
        <f ca="1"/>
        <v>0.6694449505758624</v>
      </c>
      <c r="C202">
        <f ca="1"/>
        <v>0.2250774276206764</v>
      </c>
      <c r="D202">
        <f t="shared" ca="1" si="6"/>
        <v>-0.80741947542811321</v>
      </c>
      <c r="E202">
        <f t="shared" ca="1" si="7"/>
        <v>45.569675861919762</v>
      </c>
    </row>
    <row r="203" spans="1:5" x14ac:dyDescent="0.45">
      <c r="A203">
        <f ca="1"/>
        <v>7.7132823645322812E-2</v>
      </c>
      <c r="B203">
        <f ca="1"/>
        <v>0.60814589230930083</v>
      </c>
      <c r="C203">
        <f ca="1"/>
        <v>0.12305915267201706</v>
      </c>
      <c r="D203">
        <f t="shared" ca="1" si="6"/>
        <v>1.658049388852743</v>
      </c>
      <c r="E203">
        <f t="shared" ca="1" si="7"/>
        <v>120.86112452630879</v>
      </c>
    </row>
    <row r="204" spans="1:5" x14ac:dyDescent="0.45">
      <c r="A204">
        <f ca="1"/>
        <v>0.8806397390599614</v>
      </c>
      <c r="B204">
        <f ca="1"/>
        <v>5.5818989443922273E-2</v>
      </c>
      <c r="C204">
        <f ca="1"/>
        <v>0.99817501530979502</v>
      </c>
      <c r="D204">
        <f t="shared" ca="1" si="6"/>
        <v>-0.48203310016562489</v>
      </c>
      <c r="E204">
        <f t="shared" ca="1" si="7"/>
        <v>252.90981447558272</v>
      </c>
    </row>
    <row r="205" spans="1:5" x14ac:dyDescent="0.45">
      <c r="A205">
        <f ca="1"/>
        <v>5.1682617325202074E-2</v>
      </c>
      <c r="B205">
        <f ca="1"/>
        <v>6.9326827741384101E-2</v>
      </c>
      <c r="C205">
        <f ca="1"/>
        <v>0.85646455356995577</v>
      </c>
      <c r="D205">
        <f t="shared" ca="1" si="6"/>
        <v>2.2898918797719401</v>
      </c>
      <c r="E205">
        <f t="shared" ca="1" si="7"/>
        <v>70.503304942031392</v>
      </c>
    </row>
    <row r="206" spans="1:5" x14ac:dyDescent="0.45">
      <c r="A206">
        <f ca="1"/>
        <v>0.4069714894277594</v>
      </c>
      <c r="B206">
        <f ca="1"/>
        <v>0.59285860716677297</v>
      </c>
      <c r="C206">
        <f ca="1"/>
        <v>0.29124382237243207</v>
      </c>
      <c r="D206">
        <f t="shared" ca="1" si="6"/>
        <v>-0.84120158996606487</v>
      </c>
      <c r="E206">
        <f t="shared" ca="1" si="7"/>
        <v>113.73852829156969</v>
      </c>
    </row>
    <row r="207" spans="1:5" x14ac:dyDescent="0.45">
      <c r="A207">
        <f ca="1"/>
        <v>0.9102957336387012</v>
      </c>
      <c r="B207">
        <f ca="1"/>
        <v>0.72002741895767275</v>
      </c>
      <c r="C207">
        <f ca="1"/>
        <v>0.7400324771086475</v>
      </c>
      <c r="D207">
        <f t="shared" ca="1" si="6"/>
        <v>-2.7730946246471158</v>
      </c>
      <c r="E207">
        <f t="shared" ca="1" si="7"/>
        <v>205.91891927351458</v>
      </c>
    </row>
    <row r="208" spans="1:5" x14ac:dyDescent="0.45">
      <c r="A208">
        <f ca="1"/>
        <v>0.71345484669399162</v>
      </c>
      <c r="B208">
        <f ca="1"/>
        <v>0.25116849053347856</v>
      </c>
      <c r="C208">
        <f ca="1"/>
        <v>4.5765701040203499E-3</v>
      </c>
      <c r="D208">
        <f t="shared" ca="1" si="6"/>
        <v>3.6094652968682355</v>
      </c>
      <c r="E208">
        <f t="shared" ca="1" si="7"/>
        <v>170.26887924819951</v>
      </c>
    </row>
    <row r="209" spans="1:5" x14ac:dyDescent="0.45">
      <c r="A209">
        <f ca="1"/>
        <v>0.51796233979064965</v>
      </c>
      <c r="B209">
        <f ca="1"/>
        <v>0.62750862432805765</v>
      </c>
      <c r="C209">
        <f ca="1"/>
        <v>0.89059971439754393</v>
      </c>
      <c r="D209">
        <f t="shared" ca="1" si="6"/>
        <v>-2.2568967530927271</v>
      </c>
      <c r="E209">
        <f t="shared" ca="1" si="7"/>
        <v>161.15249774795245</v>
      </c>
    </row>
    <row r="210" spans="1:5" x14ac:dyDescent="0.45">
      <c r="A210">
        <f ca="1"/>
        <v>0.70741360872324965</v>
      </c>
      <c r="B210">
        <f ca="1"/>
        <v>0.68679014272283867</v>
      </c>
      <c r="C210">
        <f ca="1"/>
        <v>0.34309887373789727</v>
      </c>
      <c r="D210">
        <f t="shared" ca="1" si="6"/>
        <v>-1.7050046874726392</v>
      </c>
      <c r="E210">
        <f t="shared" ca="1" si="7"/>
        <v>206.82999151442772</v>
      </c>
    </row>
    <row r="211" spans="1:5" x14ac:dyDescent="0.45">
      <c r="A211">
        <f ca="1"/>
        <v>0.18777283778899934</v>
      </c>
      <c r="B211">
        <f ca="1"/>
        <v>0.44647389992678255</v>
      </c>
      <c r="C211">
        <f ca="1"/>
        <v>5.2100158795944651E-3</v>
      </c>
      <c r="D211">
        <f t="shared" ca="1" si="6"/>
        <v>4.2394615004130927</v>
      </c>
      <c r="E211">
        <f t="shared" ca="1" si="7"/>
        <v>297.60931840334678</v>
      </c>
    </row>
    <row r="212" spans="1:5" x14ac:dyDescent="0.45">
      <c r="A212">
        <f ca="1"/>
        <v>0.25447807349760665</v>
      </c>
      <c r="B212">
        <f ca="1"/>
        <v>0.12003650543920164</v>
      </c>
      <c r="C212">
        <f ca="1"/>
        <v>0.20277312170943396</v>
      </c>
      <c r="D212">
        <f t="shared" ca="1" si="6"/>
        <v>1.5875599579201518</v>
      </c>
      <c r="E212">
        <f t="shared" ca="1" si="7"/>
        <v>196.96141596597425</v>
      </c>
    </row>
    <row r="213" spans="1:5" x14ac:dyDescent="0.45">
      <c r="A213">
        <f ca="1"/>
        <v>0.5090338927608975</v>
      </c>
      <c r="B213">
        <f ca="1"/>
        <v>0.77323318475029557</v>
      </c>
      <c r="C213">
        <f ca="1"/>
        <v>0.45180499260311491</v>
      </c>
      <c r="D213">
        <f t="shared" ca="1" si="6"/>
        <v>-1.7696876503832475</v>
      </c>
      <c r="E213">
        <f t="shared" ca="1" si="7"/>
        <v>134.78656777174407</v>
      </c>
    </row>
    <row r="214" spans="1:5" x14ac:dyDescent="0.45">
      <c r="A214">
        <f ca="1"/>
        <v>0.23807882514553613</v>
      </c>
      <c r="B214">
        <f ca="1"/>
        <v>0.32925198262633448</v>
      </c>
      <c r="C214">
        <f ca="1"/>
        <v>0.46326485094964442</v>
      </c>
      <c r="D214">
        <f t="shared" ca="1" si="6"/>
        <v>-0.18106583152456909</v>
      </c>
      <c r="E214">
        <f t="shared" ca="1" si="7"/>
        <v>81.884677242110513</v>
      </c>
    </row>
    <row r="215" spans="1:5" x14ac:dyDescent="0.45">
      <c r="A215">
        <f ca="1"/>
        <v>0.4782552077926443</v>
      </c>
      <c r="B215">
        <f ca="1"/>
        <v>0.59378494089306955</v>
      </c>
      <c r="C215">
        <f ca="1"/>
        <v>0.84971569618626197</v>
      </c>
      <c r="D215">
        <f t="shared" ca="1" si="6"/>
        <v>-2.0749052469473486</v>
      </c>
      <c r="E215">
        <f t="shared" ca="1" si="7"/>
        <v>203.5089887154117</v>
      </c>
    </row>
    <row r="216" spans="1:5" x14ac:dyDescent="0.45">
      <c r="A216">
        <f ca="1"/>
        <v>0.13802576563268043</v>
      </c>
      <c r="B216">
        <f ca="1"/>
        <v>0.13876450275396746</v>
      </c>
      <c r="C216">
        <f ca="1"/>
        <v>9.2999907075317356E-2</v>
      </c>
      <c r="D216">
        <f t="shared" ca="1" si="6"/>
        <v>2.8338411297870807</v>
      </c>
      <c r="E216">
        <f t="shared" ca="1" si="7"/>
        <v>610.35752384787361</v>
      </c>
    </row>
    <row r="217" spans="1:5" x14ac:dyDescent="0.45">
      <c r="A217">
        <f ca="1"/>
        <v>0.14644032272452745</v>
      </c>
      <c r="B217">
        <f ca="1"/>
        <v>8.2522342503321466E-2</v>
      </c>
      <c r="C217">
        <f ca="1"/>
        <v>0.50369638300605946</v>
      </c>
      <c r="D217">
        <f t="shared" ca="1" si="6"/>
        <v>1.6049975316553051</v>
      </c>
      <c r="E217">
        <f t="shared" ca="1" si="7"/>
        <v>275.90162306547631</v>
      </c>
    </row>
    <row r="218" spans="1:5" x14ac:dyDescent="0.45">
      <c r="A218">
        <f ca="1"/>
        <v>0.35231285595397899</v>
      </c>
      <c r="B218">
        <f ca="1"/>
        <v>0.87847250526133736</v>
      </c>
      <c r="C218">
        <f ca="1"/>
        <v>0.38791033840650857</v>
      </c>
      <c r="D218">
        <f t="shared" ca="1" si="6"/>
        <v>-1.3768201418034958</v>
      </c>
      <c r="E218">
        <f t="shared" ca="1" si="7"/>
        <v>133.21164685528376</v>
      </c>
    </row>
    <row r="219" spans="1:5" x14ac:dyDescent="0.45">
      <c r="A219">
        <f ca="1"/>
        <v>1.242937075561179E-2</v>
      </c>
      <c r="B219">
        <f ca="1"/>
        <v>0.8180094459580558</v>
      </c>
      <c r="C219">
        <f ca="1"/>
        <v>0.48077425269612184</v>
      </c>
      <c r="D219">
        <f t="shared" ca="1" si="6"/>
        <v>1.8243242742941008</v>
      </c>
      <c r="E219">
        <f t="shared" ca="1" si="7"/>
        <v>23.397559146099677</v>
      </c>
    </row>
    <row r="220" spans="1:5" x14ac:dyDescent="0.45">
      <c r="A220">
        <f ca="1"/>
        <v>0.97988930912552563</v>
      </c>
      <c r="B220">
        <f ca="1"/>
        <v>0.56924085049467932</v>
      </c>
      <c r="C220">
        <f ca="1"/>
        <v>0.43381009292673856</v>
      </c>
      <c r="D220">
        <f t="shared" ca="1" si="6"/>
        <v>-2.0776918412716636</v>
      </c>
      <c r="E220">
        <f t="shared" ca="1" si="7"/>
        <v>448.71323354082296</v>
      </c>
    </row>
    <row r="221" spans="1:5" x14ac:dyDescent="0.45">
      <c r="A221">
        <f ca="1"/>
        <v>0.6560692366665799</v>
      </c>
      <c r="B221">
        <f ca="1"/>
        <v>0.67824922442564395</v>
      </c>
      <c r="C221">
        <f ca="1"/>
        <v>0.51507403309153821</v>
      </c>
      <c r="D221">
        <f t="shared" ca="1" si="6"/>
        <v>-2.0234335085472352</v>
      </c>
      <c r="E221">
        <f t="shared" ca="1" si="7"/>
        <v>219.46464826249971</v>
      </c>
    </row>
    <row r="222" spans="1:5" x14ac:dyDescent="0.45">
      <c r="A222">
        <f ca="1"/>
        <v>2.09183472011365E-2</v>
      </c>
      <c r="B222">
        <f ca="1"/>
        <v>0.27739420268940251</v>
      </c>
      <c r="C222">
        <f ca="1"/>
        <v>0.81421326173338349</v>
      </c>
      <c r="D222">
        <f t="shared" ca="1" si="6"/>
        <v>1.8583697071738843</v>
      </c>
      <c r="E222">
        <f t="shared" ca="1" si="7"/>
        <v>196.17136508321062</v>
      </c>
    </row>
    <row r="223" spans="1:5" x14ac:dyDescent="0.45">
      <c r="A223">
        <f ca="1"/>
        <v>9.5755034473403056E-2</v>
      </c>
      <c r="B223">
        <f ca="1"/>
        <v>0.31052005426202633</v>
      </c>
      <c r="C223">
        <f ca="1"/>
        <v>0.74245481544549552</v>
      </c>
      <c r="D223">
        <f t="shared" ca="1" si="6"/>
        <v>0.31665456395498492</v>
      </c>
      <c r="E223">
        <f t="shared" ca="1" si="7"/>
        <v>211.68267178264455</v>
      </c>
    </row>
    <row r="224" spans="1:5" x14ac:dyDescent="0.45">
      <c r="A224">
        <f ca="1"/>
        <v>0.51114087537718311</v>
      </c>
      <c r="B224">
        <f ca="1"/>
        <v>0.53166018632765466</v>
      </c>
      <c r="C224">
        <f ca="1"/>
        <v>0.43386157398616443</v>
      </c>
      <c r="D224">
        <f t="shared" ca="1" si="6"/>
        <v>-1.3587170344254134</v>
      </c>
      <c r="E224">
        <f t="shared" ca="1" si="7"/>
        <v>558.80800544541194</v>
      </c>
    </row>
    <row r="225" spans="1:5" x14ac:dyDescent="0.45">
      <c r="A225">
        <f ca="1"/>
        <v>0.62063284524211859</v>
      </c>
      <c r="B225">
        <f ca="1"/>
        <v>0.10089164545416041</v>
      </c>
      <c r="C225">
        <f ca="1"/>
        <v>0.16936817393763803</v>
      </c>
      <c r="D225">
        <f t="shared" ca="1" si="6"/>
        <v>1.0497965818645705</v>
      </c>
      <c r="E225">
        <f t="shared" ca="1" si="7"/>
        <v>405.85674196518926</v>
      </c>
    </row>
    <row r="226" spans="1:5" x14ac:dyDescent="0.45">
      <c r="A226">
        <f ca="1"/>
        <v>0.13348398714508636</v>
      </c>
      <c r="B226">
        <f ca="1"/>
        <v>2.2649946152514033E-2</v>
      </c>
      <c r="C226">
        <f ca="1"/>
        <v>4.2040998181532396E-2</v>
      </c>
      <c r="D226">
        <f t="shared" ca="1" si="6"/>
        <v>5.4738739824175617</v>
      </c>
      <c r="E226">
        <f t="shared" ca="1" si="7"/>
        <v>407.19442748855511</v>
      </c>
    </row>
    <row r="227" spans="1:5" x14ac:dyDescent="0.45">
      <c r="A227">
        <f ca="1"/>
        <v>3.7090193841406993E-3</v>
      </c>
      <c r="B227">
        <f ca="1"/>
        <v>0.15622272360967826</v>
      </c>
      <c r="C227">
        <f ca="1"/>
        <v>0.43331329293304566</v>
      </c>
      <c r="D227">
        <f t="shared" ca="1" si="6"/>
        <v>4.7931470346273111</v>
      </c>
      <c r="E227">
        <f t="shared" ca="1" si="7"/>
        <v>262.4393438111432</v>
      </c>
    </row>
    <row r="228" spans="1:5" x14ac:dyDescent="0.45">
      <c r="A228">
        <f ca="1"/>
        <v>0.99531416639839554</v>
      </c>
      <c r="B228">
        <f ca="1"/>
        <v>3.1892226585644723E-2</v>
      </c>
      <c r="C228">
        <f ca="1"/>
        <v>0.8273110429054582</v>
      </c>
      <c r="D228">
        <f t="shared" ca="1" si="6"/>
        <v>0.14305680440490917</v>
      </c>
      <c r="E228">
        <f t="shared" ca="1" si="7"/>
        <v>143.31151921606997</v>
      </c>
    </row>
    <row r="229" spans="1:5" x14ac:dyDescent="0.45">
      <c r="A229">
        <f ca="1"/>
        <v>0.75092250944372019</v>
      </c>
      <c r="B229">
        <f ca="1"/>
        <v>0.67566423944327014</v>
      </c>
      <c r="C229">
        <f ca="1"/>
        <v>0.46584151287579711</v>
      </c>
      <c r="D229">
        <f t="shared" ca="1" si="6"/>
        <v>-2.0541859333887902</v>
      </c>
      <c r="E229">
        <f t="shared" ca="1" si="7"/>
        <v>289.33387980820089</v>
      </c>
    </row>
    <row r="230" spans="1:5" x14ac:dyDescent="0.45">
      <c r="A230">
        <f ca="1"/>
        <v>0.59827350253205136</v>
      </c>
      <c r="B230">
        <f ca="1"/>
        <v>0.80078316084148238</v>
      </c>
      <c r="C230">
        <f ca="1"/>
        <v>5.210438215457236E-2</v>
      </c>
      <c r="D230">
        <f t="shared" ca="1" si="6"/>
        <v>0.19377100345902332</v>
      </c>
      <c r="E230">
        <f t="shared" ca="1" si="7"/>
        <v>390.85470468271234</v>
      </c>
    </row>
    <row r="231" spans="1:5" x14ac:dyDescent="0.45">
      <c r="A231">
        <f ca="1"/>
        <v>0.39560108132855043</v>
      </c>
      <c r="B231">
        <f ca="1"/>
        <v>0.13732235388673208</v>
      </c>
      <c r="C231">
        <f ca="1"/>
        <v>0.2976697387625078</v>
      </c>
      <c r="D231">
        <f t="shared" ca="1" si="6"/>
        <v>0.62793621454151805</v>
      </c>
      <c r="E231">
        <f t="shared" ca="1" si="7"/>
        <v>43.645595790229656</v>
      </c>
    </row>
    <row r="232" spans="1:5" x14ac:dyDescent="0.45">
      <c r="A232">
        <f ca="1"/>
        <v>0.56535571762493753</v>
      </c>
      <c r="B232">
        <f ca="1"/>
        <v>8.9912635983906863E-2</v>
      </c>
      <c r="C232">
        <f ca="1"/>
        <v>0.29848043933029489</v>
      </c>
      <c r="D232">
        <f t="shared" ca="1" si="6"/>
        <v>0.6916602603255404</v>
      </c>
      <c r="E232">
        <f t="shared" ca="1" si="7"/>
        <v>225.09045371133334</v>
      </c>
    </row>
    <row r="233" spans="1:5" x14ac:dyDescent="0.45">
      <c r="A233">
        <f ca="1"/>
        <v>1.5338995768140906E-2</v>
      </c>
      <c r="B233">
        <f ca="1"/>
        <v>0.79366647858028849</v>
      </c>
      <c r="C233">
        <f ca="1"/>
        <v>0.8463992924746071</v>
      </c>
      <c r="D233">
        <f t="shared" ca="1" si="6"/>
        <v>1.0786053955873973</v>
      </c>
      <c r="E233">
        <f t="shared" ca="1" si="7"/>
        <v>390.08169775072679</v>
      </c>
    </row>
    <row r="234" spans="1:5" x14ac:dyDescent="0.45">
      <c r="A234">
        <f ca="1"/>
        <v>0.31522304635216525</v>
      </c>
      <c r="B234">
        <f ca="1"/>
        <v>0.91356771642051293</v>
      </c>
      <c r="C234">
        <f ca="1"/>
        <v>0.78646309804693204</v>
      </c>
      <c r="D234">
        <f t="shared" ca="1" si="6"/>
        <v>-2.0115255052352823</v>
      </c>
      <c r="E234">
        <f t="shared" ca="1" si="7"/>
        <v>270.56551172176768</v>
      </c>
    </row>
    <row r="235" spans="1:5" x14ac:dyDescent="0.45">
      <c r="A235">
        <f ca="1"/>
        <v>0.93225582855597189</v>
      </c>
      <c r="B235">
        <f ca="1"/>
        <v>0.37823071721426849</v>
      </c>
      <c r="C235">
        <f ca="1"/>
        <v>0.99898528888767513</v>
      </c>
      <c r="D235">
        <f t="shared" ca="1" si="6"/>
        <v>-2.4531934258246597</v>
      </c>
      <c r="E235">
        <f t="shared" ca="1" si="7"/>
        <v>86.334784511945955</v>
      </c>
    </row>
    <row r="236" spans="1:5" x14ac:dyDescent="0.45">
      <c r="A236">
        <f ca="1"/>
        <v>4.3299558822756268E-2</v>
      </c>
      <c r="B236">
        <f ca="1"/>
        <v>0.51938629492345201</v>
      </c>
      <c r="C236">
        <f ca="1"/>
        <v>0.95046254079384673</v>
      </c>
      <c r="D236">
        <f t="shared" ca="1" si="6"/>
        <v>0.34891916070499779</v>
      </c>
      <c r="E236">
        <f t="shared" ca="1" si="7"/>
        <v>145.09853867841531</v>
      </c>
    </row>
    <row r="237" spans="1:5" x14ac:dyDescent="0.45">
      <c r="A237">
        <f ca="1"/>
        <v>0.96864297669276289</v>
      </c>
      <c r="B237">
        <f ca="1"/>
        <v>0.79712211122255994</v>
      </c>
      <c r="C237">
        <f ca="1"/>
        <v>0.90516565304626728</v>
      </c>
      <c r="D237">
        <f t="shared" ca="1" si="6"/>
        <v>-3.1383636780362711</v>
      </c>
      <c r="E237">
        <f t="shared" ca="1" si="7"/>
        <v>179.25364855568699</v>
      </c>
    </row>
    <row r="238" spans="1:5" x14ac:dyDescent="0.45">
      <c r="A238">
        <f ca="1"/>
        <v>0.87112680932879138</v>
      </c>
      <c r="B238">
        <f ca="1"/>
        <v>0.69197738838519363</v>
      </c>
      <c r="C238">
        <f ca="1"/>
        <v>0.47104238228887163</v>
      </c>
      <c r="D238">
        <f t="shared" ca="1" si="6"/>
        <v>-2.2376306392155927</v>
      </c>
      <c r="E238">
        <f t="shared" ca="1" si="7"/>
        <v>353.9392876610176</v>
      </c>
    </row>
    <row r="239" spans="1:5" x14ac:dyDescent="0.45">
      <c r="A239">
        <f ca="1"/>
        <v>0.94890704734743792</v>
      </c>
      <c r="B239">
        <f ca="1"/>
        <v>0.69934658765630253</v>
      </c>
      <c r="C239">
        <f ca="1"/>
        <v>0.98706505605767214</v>
      </c>
      <c r="D239">
        <f t="shared" ca="1" si="6"/>
        <v>-3.0735349784254589</v>
      </c>
      <c r="E239">
        <f t="shared" ca="1" si="7"/>
        <v>337.21892796426488</v>
      </c>
    </row>
    <row r="240" spans="1:5" x14ac:dyDescent="0.45">
      <c r="A240">
        <f ca="1"/>
        <v>0.55977119957745991</v>
      </c>
      <c r="B240">
        <f ca="1"/>
        <v>9.7712670138335067E-2</v>
      </c>
      <c r="C240">
        <f ca="1"/>
        <v>0.20603556588879113</v>
      </c>
      <c r="D240">
        <f t="shared" ca="1" si="6"/>
        <v>0.98905010383043857</v>
      </c>
      <c r="E240">
        <f t="shared" ca="1" si="7"/>
        <v>347.83038739981805</v>
      </c>
    </row>
    <row r="241" spans="1:5" x14ac:dyDescent="0.45">
      <c r="A241">
        <f ca="1"/>
        <v>0.84411063698645128</v>
      </c>
      <c r="B241">
        <f ca="1"/>
        <v>0.57575492580645249</v>
      </c>
      <c r="C241">
        <f ca="1"/>
        <v>0.6031603115940154</v>
      </c>
      <c r="D241">
        <f t="shared" ca="1" si="6"/>
        <v>-2.2694904142269805</v>
      </c>
      <c r="E241">
        <f t="shared" ca="1" si="7"/>
        <v>201.40358416049364</v>
      </c>
    </row>
    <row r="242" spans="1:5" x14ac:dyDescent="0.45">
      <c r="A242">
        <f ca="1"/>
        <v>0.5015578454861509</v>
      </c>
      <c r="B242">
        <f ca="1"/>
        <v>1.7327735910364073E-3</v>
      </c>
      <c r="C242">
        <f ca="1"/>
        <v>0.79237384289858204</v>
      </c>
      <c r="D242">
        <f t="shared" ca="1" si="6"/>
        <v>3.7841826639652902</v>
      </c>
      <c r="E242">
        <f t="shared" ca="1" si="7"/>
        <v>214.64106353605922</v>
      </c>
    </row>
    <row r="243" spans="1:5" x14ac:dyDescent="0.45">
      <c r="A243">
        <f ca="1"/>
        <v>0.68939949709884418</v>
      </c>
      <c r="B243">
        <f ca="1"/>
        <v>0.52324139298428096</v>
      </c>
      <c r="C243">
        <f ca="1"/>
        <v>0.30013427388427716</v>
      </c>
      <c r="D243">
        <f t="shared" ca="1" si="6"/>
        <v>-1.2734355203075773</v>
      </c>
      <c r="E243">
        <f t="shared" ca="1" si="7"/>
        <v>263.45317912482699</v>
      </c>
    </row>
    <row r="244" spans="1:5" x14ac:dyDescent="0.45">
      <c r="A244">
        <f ca="1"/>
        <v>0.30009400884396609</v>
      </c>
      <c r="B244">
        <f ca="1"/>
        <v>0.72474265851820929</v>
      </c>
      <c r="C244">
        <f ca="1"/>
        <v>0.15586975674714432</v>
      </c>
      <c r="D244">
        <f t="shared" ca="1" si="6"/>
        <v>-0.11227492186369283</v>
      </c>
      <c r="E244">
        <f t="shared" ca="1" si="7"/>
        <v>486.79980079909649</v>
      </c>
    </row>
    <row r="245" spans="1:5" x14ac:dyDescent="0.45">
      <c r="A245">
        <f ca="1"/>
        <v>0.50149433213959504</v>
      </c>
      <c r="B245">
        <f ca="1"/>
        <v>0.93874127098133853</v>
      </c>
      <c r="C245">
        <f ca="1"/>
        <v>0.33646597067128647</v>
      </c>
      <c r="D245">
        <f t="shared" ca="1" si="6"/>
        <v>-1.6539709562171758</v>
      </c>
      <c r="E245">
        <f t="shared" ca="1" si="7"/>
        <v>339.03413532079787</v>
      </c>
    </row>
    <row r="246" spans="1:5" x14ac:dyDescent="0.45">
      <c r="A246">
        <f ca="1"/>
        <v>0.26725017402290829</v>
      </c>
      <c r="B246">
        <f ca="1"/>
        <v>0.98276900591077765</v>
      </c>
      <c r="C246">
        <f ca="1"/>
        <v>0.55737775298552594</v>
      </c>
      <c r="D246">
        <f t="shared" ca="1" si="6"/>
        <v>-1.5751442363527686</v>
      </c>
      <c r="E246">
        <f t="shared" ca="1" si="7"/>
        <v>269.80653613263019</v>
      </c>
    </row>
    <row r="247" spans="1:5" x14ac:dyDescent="0.45">
      <c r="A247">
        <f ca="1"/>
        <v>0.49792524684415485</v>
      </c>
      <c r="B247">
        <f ca="1"/>
        <v>0.89037549157621743</v>
      </c>
      <c r="C247">
        <f ca="1"/>
        <v>0.52191826412364462</v>
      </c>
      <c r="D247">
        <f t="shared" ca="1" si="6"/>
        <v>-2.0329459564215981</v>
      </c>
      <c r="E247">
        <f t="shared" ca="1" si="7"/>
        <v>231.30910909500139</v>
      </c>
    </row>
    <row r="248" spans="1:5" x14ac:dyDescent="0.45">
      <c r="A248">
        <f ca="1"/>
        <v>0.64578801655986395</v>
      </c>
      <c r="B248">
        <f ca="1"/>
        <v>0.93602521528084259</v>
      </c>
      <c r="C248">
        <f ca="1"/>
        <v>0.65856006034196879</v>
      </c>
      <c r="D248">
        <f t="shared" ca="1" si="6"/>
        <v>-2.575511172060712</v>
      </c>
      <c r="E248">
        <f t="shared" ca="1" si="7"/>
        <v>244.11021717438018</v>
      </c>
    </row>
    <row r="249" spans="1:5" x14ac:dyDescent="0.45">
      <c r="A249">
        <f ca="1"/>
        <v>0.84795199595286608</v>
      </c>
      <c r="B249">
        <f ca="1"/>
        <v>0.12071552295919985</v>
      </c>
      <c r="C249">
        <f ca="1"/>
        <v>0.84823919977260309</v>
      </c>
      <c r="D249">
        <f t="shared" ca="1" si="6"/>
        <v>-1.0527651539990355</v>
      </c>
      <c r="E249">
        <f t="shared" ca="1" si="7"/>
        <v>670.82023126414481</v>
      </c>
    </row>
    <row r="250" spans="1:5" x14ac:dyDescent="0.45">
      <c r="A250">
        <f ca="1"/>
        <v>0.30485414958206203</v>
      </c>
      <c r="B250">
        <f ca="1"/>
        <v>5.26469950540287E-3</v>
      </c>
      <c r="C250">
        <f ca="1"/>
        <v>3.2987984389996949E-2</v>
      </c>
      <c r="D250">
        <f t="shared" ca="1" si="6"/>
        <v>6.3496573506088279</v>
      </c>
      <c r="E250">
        <f t="shared" ca="1" si="7"/>
        <v>166.62122233121238</v>
      </c>
    </row>
    <row r="251" spans="1:5" x14ac:dyDescent="0.45">
      <c r="A251">
        <f ca="1"/>
        <v>0.75754665251420827</v>
      </c>
      <c r="B251">
        <f ca="1"/>
        <v>0.33558055333646264</v>
      </c>
      <c r="C251">
        <f ca="1"/>
        <v>0.96569741917268037</v>
      </c>
      <c r="D251">
        <f t="shared" ca="1" si="6"/>
        <v>-2.0921394339164627</v>
      </c>
      <c r="E251">
        <f t="shared" ca="1" si="7"/>
        <v>526.74174345972438</v>
      </c>
    </row>
    <row r="252" spans="1:5" x14ac:dyDescent="0.45">
      <c r="A252">
        <f ca="1"/>
        <v>0.10553297810595019</v>
      </c>
      <c r="B252">
        <f ca="1"/>
        <v>5.4206027065346163E-2</v>
      </c>
      <c r="C252">
        <f ca="1"/>
        <v>0.52927342925974408</v>
      </c>
      <c r="D252">
        <f t="shared" ca="1" si="6"/>
        <v>2.3033374971660971</v>
      </c>
      <c r="E252">
        <f t="shared" ca="1" si="7"/>
        <v>166.85146110818056</v>
      </c>
    </row>
    <row r="253" spans="1:5" x14ac:dyDescent="0.45">
      <c r="A253">
        <f ca="1"/>
        <v>0.87293565643287097</v>
      </c>
      <c r="B253">
        <f ca="1"/>
        <v>0.65718100357666343</v>
      </c>
      <c r="C253">
        <f ca="1"/>
        <v>0.79903061759501748</v>
      </c>
      <c r="D253">
        <f t="shared" ca="1" si="6"/>
        <v>-2.7165623242560568</v>
      </c>
      <c r="E253">
        <f t="shared" ca="1" si="7"/>
        <v>116.19092126602173</v>
      </c>
    </row>
    <row r="254" spans="1:5" x14ac:dyDescent="0.45">
      <c r="A254">
        <f ca="1"/>
        <v>0.44430731364684117</v>
      </c>
      <c r="B254">
        <f ca="1"/>
        <v>0.76897582137528575</v>
      </c>
      <c r="C254">
        <f ca="1"/>
        <v>0.93296298829754187</v>
      </c>
      <c r="D254">
        <f t="shared" ca="1" si="6"/>
        <v>-2.3532832582460359</v>
      </c>
      <c r="E254">
        <f t="shared" ca="1" si="7"/>
        <v>221.29656907100804</v>
      </c>
    </row>
    <row r="255" spans="1:5" x14ac:dyDescent="0.45">
      <c r="A255">
        <f ca="1"/>
        <v>0.14641322761671205</v>
      </c>
      <c r="B255">
        <f ca="1"/>
        <v>0.56413129900227488</v>
      </c>
      <c r="C255">
        <f ca="1"/>
        <v>0.83370238140049047</v>
      </c>
      <c r="D255">
        <f t="shared" ca="1" si="6"/>
        <v>-0.8209381854293345</v>
      </c>
      <c r="E255">
        <f t="shared" ca="1" si="7"/>
        <v>198.9867547209698</v>
      </c>
    </row>
    <row r="256" spans="1:5" x14ac:dyDescent="0.45">
      <c r="A256">
        <f ca="1"/>
        <v>0.43312400313589694</v>
      </c>
      <c r="B256">
        <f ca="1"/>
        <v>0.43542664104731732</v>
      </c>
      <c r="C256">
        <f ca="1"/>
        <v>0.3961870991533778</v>
      </c>
      <c r="D256">
        <f t="shared" ca="1" si="6"/>
        <v>-0.902578704634875</v>
      </c>
      <c r="E256">
        <f t="shared" ca="1" si="7"/>
        <v>156.08063335949268</v>
      </c>
    </row>
    <row r="257" spans="1:5" x14ac:dyDescent="0.45">
      <c r="A257">
        <f ca="1"/>
        <v>0.97880828533047426</v>
      </c>
      <c r="B257">
        <f ca="1"/>
        <v>0.76029054929608386</v>
      </c>
      <c r="C257">
        <f ca="1"/>
        <v>0.60083488589057676</v>
      </c>
      <c r="D257">
        <f t="shared" ca="1" si="6"/>
        <v>-2.6916983522582227</v>
      </c>
      <c r="E257">
        <f t="shared" ca="1" si="7"/>
        <v>167.24472035826713</v>
      </c>
    </row>
    <row r="258" spans="1:5" x14ac:dyDescent="0.45">
      <c r="A258">
        <f ca="1"/>
        <v>0.16480151637131368</v>
      </c>
      <c r="B258">
        <f ca="1"/>
        <v>0.27260840540466003</v>
      </c>
      <c r="C258">
        <f ca="1"/>
        <v>0.77376058619358257</v>
      </c>
      <c r="D258">
        <f t="shared" ref="D258:D300" ca="1" si="8">-LN((A258*B258*C258)/(3*0.0101))</f>
        <v>-0.1373824068061843</v>
      </c>
      <c r="E258">
        <f t="shared" ref="E258:E300" ca="1" si="9">-LN(RAND()*RAND()*RAND()) / (3*0.003618)</f>
        <v>167.75911065116389</v>
      </c>
    </row>
    <row r="259" spans="1:5" x14ac:dyDescent="0.45">
      <c r="A259">
        <f ca="1"/>
        <v>0.20422103889477783</v>
      </c>
      <c r="B259">
        <f ca="1"/>
        <v>9.9028623183971654E-2</v>
      </c>
      <c r="C259">
        <f ca="1"/>
        <v>0.83540434009493003</v>
      </c>
      <c r="D259">
        <f t="shared" ca="1" si="8"/>
        <v>0.5841305605334951</v>
      </c>
      <c r="E259">
        <f t="shared" ca="1" si="9"/>
        <v>251.56133571568768</v>
      </c>
    </row>
    <row r="260" spans="1:5" x14ac:dyDescent="0.45">
      <c r="A260">
        <f ca="1"/>
        <v>0.78545618231431025</v>
      </c>
      <c r="B260">
        <f ca="1"/>
        <v>0.79206882621104047</v>
      </c>
      <c r="C260">
        <f ca="1"/>
        <v>0.13628700706929897</v>
      </c>
      <c r="D260">
        <f t="shared" ca="1" si="8"/>
        <v>-1.029017700484655</v>
      </c>
      <c r="E260">
        <f t="shared" ca="1" si="9"/>
        <v>316.88470674057407</v>
      </c>
    </row>
    <row r="261" spans="1:5" x14ac:dyDescent="0.45">
      <c r="A261">
        <f ca="1"/>
        <v>0.79051876109984431</v>
      </c>
      <c r="B261">
        <f ca="1"/>
        <v>0.79410872620675121</v>
      </c>
      <c r="C261">
        <f ca="1"/>
        <v>0.9597793020866332</v>
      </c>
      <c r="D261">
        <f t="shared" ca="1" si="8"/>
        <v>-2.9899548701090963</v>
      </c>
      <c r="E261">
        <f t="shared" ca="1" si="9"/>
        <v>164.89565533334556</v>
      </c>
    </row>
    <row r="262" spans="1:5" x14ac:dyDescent="0.45">
      <c r="A262">
        <f ca="1"/>
        <v>0.29593414355930925</v>
      </c>
      <c r="B262">
        <f ca="1"/>
        <v>0.40674289738094904</v>
      </c>
      <c r="C262">
        <f ca="1"/>
        <v>0.89057352190210204</v>
      </c>
      <c r="D262">
        <f t="shared" ca="1" si="8"/>
        <v>-1.263525617000256</v>
      </c>
      <c r="E262">
        <f t="shared" ca="1" si="9"/>
        <v>197.32489299531889</v>
      </c>
    </row>
    <row r="263" spans="1:5" x14ac:dyDescent="0.45">
      <c r="A263">
        <f ca="1"/>
        <v>0.20161053020155828</v>
      </c>
      <c r="B263">
        <f ca="1"/>
        <v>0.63214306068115</v>
      </c>
      <c r="C263">
        <f ca="1"/>
        <v>0.27610881125150311</v>
      </c>
      <c r="D263">
        <f t="shared" ca="1" si="8"/>
        <v>-0.14959025955271035</v>
      </c>
      <c r="E263">
        <f t="shared" ca="1" si="9"/>
        <v>560.97015470541032</v>
      </c>
    </row>
    <row r="264" spans="1:5" x14ac:dyDescent="0.45">
      <c r="A264">
        <f ca="1"/>
        <v>0.21525346681189128</v>
      </c>
      <c r="B264">
        <f ca="1"/>
        <v>0.40303927496950465</v>
      </c>
      <c r="C264">
        <f ca="1"/>
        <v>9.1685322066891839E-2</v>
      </c>
      <c r="D264">
        <f t="shared" ca="1" si="8"/>
        <v>1.3374457058753408</v>
      </c>
      <c r="E264">
        <f t="shared" ca="1" si="9"/>
        <v>209.70424663805971</v>
      </c>
    </row>
    <row r="265" spans="1:5" x14ac:dyDescent="0.45">
      <c r="A265">
        <f ca="1"/>
        <v>0.93135088524963416</v>
      </c>
      <c r="B265">
        <f ca="1"/>
        <v>8.8255265719876963E-2</v>
      </c>
      <c r="C265">
        <f ca="1"/>
        <v>0.20477345332691432</v>
      </c>
      <c r="D265">
        <f t="shared" ca="1" si="8"/>
        <v>0.58788454891577502</v>
      </c>
      <c r="E265">
        <f t="shared" ca="1" si="9"/>
        <v>102.56127679904914</v>
      </c>
    </row>
    <row r="266" spans="1:5" x14ac:dyDescent="0.45">
      <c r="A266">
        <f ca="1"/>
        <v>0.5547389124812141</v>
      </c>
      <c r="B266">
        <f ca="1"/>
        <v>0.9203270416989322</v>
      </c>
      <c r="C266">
        <f ca="1"/>
        <v>0.38754558002056561</v>
      </c>
      <c r="D266">
        <f t="shared" ca="1" si="8"/>
        <v>-1.8764018593371963</v>
      </c>
      <c r="E266">
        <f t="shared" ca="1" si="9"/>
        <v>142.21425518351083</v>
      </c>
    </row>
    <row r="267" spans="1:5" x14ac:dyDescent="0.45">
      <c r="A267">
        <f ca="1"/>
        <v>0.56570341685778347</v>
      </c>
      <c r="B267">
        <f ca="1"/>
        <v>0.62044012666495552</v>
      </c>
      <c r="C267">
        <f ca="1"/>
        <v>0.74771936111425719</v>
      </c>
      <c r="D267">
        <f t="shared" ca="1" si="8"/>
        <v>-2.1588685017124774</v>
      </c>
      <c r="E267">
        <f t="shared" ca="1" si="9"/>
        <v>148.55745569235461</v>
      </c>
    </row>
    <row r="268" spans="1:5" x14ac:dyDescent="0.45">
      <c r="A268">
        <f ca="1"/>
        <v>0.66781864929268431</v>
      </c>
      <c r="B268">
        <f ca="1"/>
        <v>0.89123549118877365</v>
      </c>
      <c r="C268">
        <f ca="1"/>
        <v>0.96731658345000704</v>
      </c>
      <c r="D268">
        <f t="shared" ca="1" si="8"/>
        <v>-2.9444929046313133</v>
      </c>
      <c r="E268">
        <f t="shared" ca="1" si="9"/>
        <v>126.54908630793726</v>
      </c>
    </row>
    <row r="269" spans="1:5" x14ac:dyDescent="0.45">
      <c r="A269">
        <f ca="1"/>
        <v>0.21427418358789674</v>
      </c>
      <c r="B269">
        <f ca="1"/>
        <v>0.31503275853190837</v>
      </c>
      <c r="C269">
        <f ca="1"/>
        <v>9.5185014400192003E-3</v>
      </c>
      <c r="D269">
        <f t="shared" ca="1" si="8"/>
        <v>3.8534877904076268</v>
      </c>
      <c r="E269">
        <f t="shared" ca="1" si="9"/>
        <v>447.04889685646828</v>
      </c>
    </row>
    <row r="270" spans="1:5" x14ac:dyDescent="0.45">
      <c r="A270">
        <f ca="1"/>
        <v>0.92877005487293696</v>
      </c>
      <c r="B270">
        <f ca="1"/>
        <v>0.4483036009544108</v>
      </c>
      <c r="C270">
        <f ca="1"/>
        <v>0.70914175022839965</v>
      </c>
      <c r="D270">
        <f t="shared" ca="1" si="8"/>
        <v>-2.2767290386661578</v>
      </c>
      <c r="E270">
        <f t="shared" ca="1" si="9"/>
        <v>395.96718871373275</v>
      </c>
    </row>
    <row r="271" spans="1:5" x14ac:dyDescent="0.45">
      <c r="A271">
        <f ca="1"/>
        <v>0.19203519567190086</v>
      </c>
      <c r="B271">
        <f ca="1"/>
        <v>0.95501299737324685</v>
      </c>
      <c r="C271">
        <f ca="1"/>
        <v>5.0338220872734096E-2</v>
      </c>
      <c r="D271">
        <f t="shared" ca="1" si="8"/>
        <v>1.1884900073926152</v>
      </c>
      <c r="E271">
        <f t="shared" ca="1" si="9"/>
        <v>342.01786880923186</v>
      </c>
    </row>
    <row r="272" spans="1:5" x14ac:dyDescent="0.45">
      <c r="A272">
        <f ca="1"/>
        <v>7.9039863729748028E-2</v>
      </c>
      <c r="B272">
        <f ca="1"/>
        <v>0.32367625668052713</v>
      </c>
      <c r="C272">
        <f ca="1"/>
        <v>0.20799137258367129</v>
      </c>
      <c r="D272">
        <f t="shared" ca="1" si="8"/>
        <v>1.7394655317551624</v>
      </c>
      <c r="E272">
        <f t="shared" ca="1" si="9"/>
        <v>35.552878629416135</v>
      </c>
    </row>
    <row r="273" spans="1:5" x14ac:dyDescent="0.45">
      <c r="A273">
        <f ca="1"/>
        <v>4.4418911797266647E-2</v>
      </c>
      <c r="B273">
        <f ca="1"/>
        <v>0.73645523586073902</v>
      </c>
      <c r="C273">
        <f ca="1"/>
        <v>0.5758207840968439</v>
      </c>
      <c r="D273">
        <f t="shared" ca="1" si="8"/>
        <v>0.47534802228277623</v>
      </c>
      <c r="E273">
        <f t="shared" ca="1" si="9"/>
        <v>252.64344160501787</v>
      </c>
    </row>
    <row r="274" spans="1:5" x14ac:dyDescent="0.45">
      <c r="A274">
        <f ca="1"/>
        <v>0.10512389935115007</v>
      </c>
      <c r="B274">
        <f ca="1"/>
        <v>0.34693735561877115</v>
      </c>
      <c r="C274">
        <f ca="1"/>
        <v>0.21550904342824229</v>
      </c>
      <c r="D274">
        <f t="shared" ca="1" si="8"/>
        <v>1.3493715163284816</v>
      </c>
      <c r="E274">
        <f t="shared" ca="1" si="9"/>
        <v>531.72374636825316</v>
      </c>
    </row>
    <row r="275" spans="1:5" x14ac:dyDescent="0.45">
      <c r="A275">
        <f ca="1"/>
        <v>0.49305439127140627</v>
      </c>
      <c r="B275">
        <f ca="1"/>
        <v>0.55022164311763921</v>
      </c>
      <c r="C275">
        <f ca="1"/>
        <v>0.66340920550531424</v>
      </c>
      <c r="D275">
        <f t="shared" ca="1" si="8"/>
        <v>-1.7816744118037973</v>
      </c>
      <c r="E275">
        <f t="shared" ca="1" si="9"/>
        <v>271.24220823386906</v>
      </c>
    </row>
    <row r="276" spans="1:5" x14ac:dyDescent="0.45">
      <c r="A276">
        <f ca="1"/>
        <v>0.54515153669551397</v>
      </c>
      <c r="B276">
        <f ca="1"/>
        <v>0.34317220348823674</v>
      </c>
      <c r="C276">
        <f ca="1"/>
        <v>0.84363718554755329</v>
      </c>
      <c r="D276">
        <f t="shared" ca="1" si="8"/>
        <v>-1.6503604339139872</v>
      </c>
      <c r="E276">
        <f t="shared" ca="1" si="9"/>
        <v>165.51902350442694</v>
      </c>
    </row>
    <row r="277" spans="1:5" x14ac:dyDescent="0.45">
      <c r="A277">
        <f ca="1"/>
        <v>0.62793644153220196</v>
      </c>
      <c r="B277">
        <f ca="1"/>
        <v>0.25048457822644754</v>
      </c>
      <c r="C277">
        <f ca="1"/>
        <v>0.44226281039740756</v>
      </c>
      <c r="D277">
        <f t="shared" ca="1" si="8"/>
        <v>-0.83108233681520505</v>
      </c>
      <c r="E277">
        <f t="shared" ca="1" si="9"/>
        <v>460.54379250084628</v>
      </c>
    </row>
    <row r="278" spans="1:5" x14ac:dyDescent="0.45">
      <c r="A278">
        <f ca="1"/>
        <v>0.31660653234967251</v>
      </c>
      <c r="B278">
        <f ca="1"/>
        <v>0.55722167872453476</v>
      </c>
      <c r="C278">
        <f ca="1"/>
        <v>0.1853157589775758</v>
      </c>
      <c r="D278">
        <f t="shared" ca="1" si="8"/>
        <v>-7.6025832686147141E-2</v>
      </c>
      <c r="E278">
        <f t="shared" ca="1" si="9"/>
        <v>152.64952315490004</v>
      </c>
    </row>
    <row r="279" spans="1:5" x14ac:dyDescent="0.45">
      <c r="A279">
        <f ca="1"/>
        <v>0.69737026161095717</v>
      </c>
      <c r="B279">
        <f ca="1"/>
        <v>0.40129501704935855</v>
      </c>
      <c r="C279">
        <f ca="1"/>
        <v>0.12356414683763584</v>
      </c>
      <c r="D279">
        <f t="shared" ca="1" si="8"/>
        <v>-0.13211551004531841</v>
      </c>
      <c r="E279">
        <f t="shared" ca="1" si="9"/>
        <v>94.640626011202059</v>
      </c>
    </row>
    <row r="280" spans="1:5" x14ac:dyDescent="0.45">
      <c r="A280">
        <f ca="1"/>
        <v>0.1216679650477035</v>
      </c>
      <c r="B280">
        <f ca="1"/>
        <v>0.73704074160607602</v>
      </c>
      <c r="C280">
        <f ca="1"/>
        <v>1.5821838789667808E-2</v>
      </c>
      <c r="D280">
        <f t="shared" ca="1" si="8"/>
        <v>3.0613281754529456</v>
      </c>
      <c r="E280">
        <f t="shared" ca="1" si="9"/>
        <v>400.75539725308573</v>
      </c>
    </row>
    <row r="281" spans="1:5" x14ac:dyDescent="0.45">
      <c r="A281">
        <f ca="1"/>
        <v>0.55780713938431337</v>
      </c>
      <c r="B281">
        <f ca="1"/>
        <v>0.74111135620085866</v>
      </c>
      <c r="C281">
        <f ca="1"/>
        <v>0.30824155462121627</v>
      </c>
      <c r="D281">
        <f t="shared" ca="1" si="8"/>
        <v>-1.4363896399407807</v>
      </c>
      <c r="E281">
        <f t="shared" ca="1" si="9"/>
        <v>380.75005726738175</v>
      </c>
    </row>
    <row r="282" spans="1:5" x14ac:dyDescent="0.45">
      <c r="A282">
        <f ca="1"/>
        <v>3.6017983967806755E-2</v>
      </c>
      <c r="B282">
        <f ca="1"/>
        <v>0.27760977959253275</v>
      </c>
      <c r="C282">
        <f ca="1"/>
        <v>0.88941996615214403</v>
      </c>
      <c r="D282">
        <f t="shared" ca="1" si="8"/>
        <v>1.2258539181686294</v>
      </c>
      <c r="E282">
        <f t="shared" ca="1" si="9"/>
        <v>255.3513197662877</v>
      </c>
    </row>
    <row r="283" spans="1:5" x14ac:dyDescent="0.45">
      <c r="A283">
        <f ca="1"/>
        <v>0.48827573255355605</v>
      </c>
      <c r="B283">
        <f ca="1"/>
        <v>8.2514958035359243E-2</v>
      </c>
      <c r="C283">
        <f ca="1"/>
        <v>0.86766701706097327</v>
      </c>
      <c r="D283">
        <f t="shared" ca="1" si="8"/>
        <v>-0.1430096081182087</v>
      </c>
      <c r="E283">
        <f t="shared" ca="1" si="9"/>
        <v>319.39724992905684</v>
      </c>
    </row>
    <row r="284" spans="1:5" x14ac:dyDescent="0.45">
      <c r="A284">
        <f ca="1"/>
        <v>0.12187163875569174</v>
      </c>
      <c r="B284">
        <f ca="1"/>
        <v>0.42686097639582399</v>
      </c>
      <c r="C284">
        <f ca="1"/>
        <v>0.41023555615065521</v>
      </c>
      <c r="D284">
        <f t="shared" ca="1" si="8"/>
        <v>0.35050002106082995</v>
      </c>
      <c r="E284">
        <f t="shared" ca="1" si="9"/>
        <v>201.60839272541045</v>
      </c>
    </row>
    <row r="285" spans="1:5" x14ac:dyDescent="0.45">
      <c r="A285">
        <f ca="1"/>
        <v>0.71233716168273031</v>
      </c>
      <c r="B285">
        <f ca="1"/>
        <v>0.58512259818611811</v>
      </c>
      <c r="C285">
        <f ca="1"/>
        <v>0.45823459834855762</v>
      </c>
      <c r="D285">
        <f t="shared" ca="1" si="8"/>
        <v>-1.841095741801261</v>
      </c>
      <c r="E285">
        <f t="shared" ca="1" si="9"/>
        <v>613.93110616679246</v>
      </c>
    </row>
    <row r="286" spans="1:5" x14ac:dyDescent="0.45">
      <c r="A286">
        <f ca="1"/>
        <v>0.74531605599071349</v>
      </c>
      <c r="B286">
        <f ca="1"/>
        <v>0.66079383977292871</v>
      </c>
      <c r="C286">
        <f ca="1"/>
        <v>0.23290287421590761</v>
      </c>
      <c r="D286">
        <f t="shared" ca="1" si="8"/>
        <v>-1.3312135117534445</v>
      </c>
      <c r="E286">
        <f t="shared" ca="1" si="9"/>
        <v>292.51649010346932</v>
      </c>
    </row>
    <row r="287" spans="1:5" x14ac:dyDescent="0.45">
      <c r="A287">
        <f ca="1"/>
        <v>0.57062316039056249</v>
      </c>
      <c r="B287">
        <f ca="1"/>
        <v>0.8537522820320822</v>
      </c>
      <c r="C287">
        <f ca="1"/>
        <v>0.77581456076825583</v>
      </c>
      <c r="D287">
        <f t="shared" ca="1" si="8"/>
        <v>-2.5236253643906581</v>
      </c>
      <c r="E287">
        <f t="shared" ca="1" si="9"/>
        <v>318.6176239777231</v>
      </c>
    </row>
    <row r="288" spans="1:5" x14ac:dyDescent="0.45">
      <c r="A288">
        <f ca="1"/>
        <v>0.4172907022218173</v>
      </c>
      <c r="B288">
        <f ca="1"/>
        <v>0.91049926392558156</v>
      </c>
      <c r="C288">
        <f ca="1"/>
        <v>0.73326187363820128</v>
      </c>
      <c r="D288">
        <f t="shared" ca="1" si="8"/>
        <v>-2.2186208276988126</v>
      </c>
      <c r="E288">
        <f t="shared" ca="1" si="9"/>
        <v>73.041953305842938</v>
      </c>
    </row>
    <row r="289" spans="1:5" x14ac:dyDescent="0.45">
      <c r="A289">
        <f ca="1"/>
        <v>0.63032538903808688</v>
      </c>
      <c r="B289">
        <f ca="1"/>
        <v>0.93582919385324037</v>
      </c>
      <c r="C289">
        <f ca="1"/>
        <v>0.93374332929813031</v>
      </c>
      <c r="D289">
        <f t="shared" ca="1" si="8"/>
        <v>-2.9002124731631267</v>
      </c>
      <c r="E289">
        <f t="shared" ca="1" si="9"/>
        <v>301.50780366086332</v>
      </c>
    </row>
    <row r="290" spans="1:5" x14ac:dyDescent="0.45">
      <c r="A290">
        <f ca="1"/>
        <v>0.46877861223568673</v>
      </c>
      <c r="B290">
        <f ca="1"/>
        <v>0.5018417157326267</v>
      </c>
      <c r="C290">
        <f ca="1"/>
        <v>0.30469916044226197</v>
      </c>
      <c r="D290">
        <f t="shared" ca="1" si="8"/>
        <v>-0.86108203767408598</v>
      </c>
      <c r="E290">
        <f t="shared" ca="1" si="9"/>
        <v>94.728620925481991</v>
      </c>
    </row>
    <row r="291" spans="1:5" x14ac:dyDescent="0.45">
      <c r="A291">
        <f ca="1"/>
        <v>0.55692744459714416</v>
      </c>
      <c r="B291">
        <f ca="1"/>
        <v>0.92169028447604329</v>
      </c>
      <c r="C291">
        <f ca="1"/>
        <v>0.99299163893669307</v>
      </c>
      <c r="D291">
        <f t="shared" ca="1" si="8"/>
        <v>-2.8227081939925927</v>
      </c>
      <c r="E291">
        <f t="shared" ca="1" si="9"/>
        <v>186.80596218616103</v>
      </c>
    </row>
    <row r="292" spans="1:5" x14ac:dyDescent="0.45">
      <c r="A292">
        <f ca="1"/>
        <v>0.16029663059300581</v>
      </c>
      <c r="B292">
        <f ca="1"/>
        <v>3.1039926918498884E-2</v>
      </c>
      <c r="C292">
        <f ca="1"/>
        <v>0.95480354155073655</v>
      </c>
      <c r="D292">
        <f t="shared" ca="1" si="8"/>
        <v>1.8528522859202463</v>
      </c>
      <c r="E292">
        <f t="shared" ca="1" si="9"/>
        <v>72.372328884118502</v>
      </c>
    </row>
    <row r="293" spans="1:5" x14ac:dyDescent="0.45">
      <c r="A293">
        <f ca="1"/>
        <v>9.0505128661609868E-2</v>
      </c>
      <c r="B293">
        <f ca="1"/>
        <v>0.89613157338579863</v>
      </c>
      <c r="C293">
        <f ca="1"/>
        <v>0.9007671290134307</v>
      </c>
      <c r="D293">
        <f t="shared" ca="1" si="8"/>
        <v>-0.88008226224302644</v>
      </c>
      <c r="E293">
        <f t="shared" ca="1" si="9"/>
        <v>366.51488799163826</v>
      </c>
    </row>
    <row r="294" spans="1:5" x14ac:dyDescent="0.45">
      <c r="A294">
        <f ca="1"/>
        <v>0.70836210559708324</v>
      </c>
      <c r="B294">
        <f ca="1"/>
        <v>0.88131335077690864</v>
      </c>
      <c r="C294">
        <f ca="1"/>
        <v>0.89923684545700233</v>
      </c>
      <c r="D294">
        <f t="shared" ca="1" si="8"/>
        <v>-2.9192568341210086</v>
      </c>
      <c r="E294">
        <f t="shared" ca="1" si="9"/>
        <v>405.51373426789189</v>
      </c>
    </row>
    <row r="295" spans="1:5" x14ac:dyDescent="0.45">
      <c r="A295">
        <f ca="1"/>
        <v>0.98601940840816926</v>
      </c>
      <c r="B295">
        <f ca="1"/>
        <v>0.21028727382904489</v>
      </c>
      <c r="C295">
        <f ca="1"/>
        <v>0.89470951884676286</v>
      </c>
      <c r="D295">
        <f t="shared" ca="1" si="8"/>
        <v>-1.8119914400719876</v>
      </c>
      <c r="E295">
        <f t="shared" ca="1" si="9"/>
        <v>268.65809981299333</v>
      </c>
    </row>
    <row r="296" spans="1:5" x14ac:dyDescent="0.45">
      <c r="A296">
        <f ca="1"/>
        <v>0.91451603128205705</v>
      </c>
      <c r="B296">
        <f ca="1"/>
        <v>0.10761807210212626</v>
      </c>
      <c r="C296">
        <f ca="1"/>
        <v>3.3442812113387621E-2</v>
      </c>
      <c r="D296">
        <f t="shared" ca="1" si="8"/>
        <v>2.2198378037514934</v>
      </c>
      <c r="E296">
        <f t="shared" ca="1" si="9"/>
        <v>334.40259083848753</v>
      </c>
    </row>
    <row r="297" spans="1:5" x14ac:dyDescent="0.45">
      <c r="A297">
        <f ca="1"/>
        <v>0.73550187826567526</v>
      </c>
      <c r="B297">
        <f ca="1"/>
        <v>0.24591711820533702</v>
      </c>
      <c r="C297">
        <f ca="1"/>
        <v>0.26733698737873857</v>
      </c>
      <c r="D297">
        <f t="shared" ca="1" si="8"/>
        <v>-0.4673993721872266</v>
      </c>
      <c r="E297">
        <f t="shared" ca="1" si="9"/>
        <v>197.14998195295115</v>
      </c>
    </row>
    <row r="298" spans="1:5" x14ac:dyDescent="0.45">
      <c r="A298">
        <f ca="1"/>
        <v>0.98908601585798439</v>
      </c>
      <c r="B298">
        <f ca="1"/>
        <v>0.96893538997959983</v>
      </c>
      <c r="C298">
        <f ca="1"/>
        <v>0.45551559601726055</v>
      </c>
      <c r="D298">
        <f t="shared" ca="1" si="8"/>
        <v>-2.6677509180266705</v>
      </c>
      <c r="E298">
        <f t="shared" ca="1" si="9"/>
        <v>117.4908804984649</v>
      </c>
    </row>
    <row r="299" spans="1:5" x14ac:dyDescent="0.45">
      <c r="A299">
        <f ca="1"/>
        <v>0.45018399245317497</v>
      </c>
      <c r="B299">
        <f ca="1"/>
        <v>0.63785869048032606</v>
      </c>
      <c r="C299">
        <f ca="1"/>
        <v>0.16670678213342804</v>
      </c>
      <c r="D299">
        <f t="shared" ca="1" si="8"/>
        <v>-0.45735134496758145</v>
      </c>
      <c r="E299">
        <f t="shared" ca="1" si="9"/>
        <v>88.77779886961936</v>
      </c>
    </row>
    <row r="300" spans="1:5" x14ac:dyDescent="0.45">
      <c r="A300">
        <f ca="1"/>
        <v>0.87286754207856365</v>
      </c>
      <c r="B300">
        <f ca="1"/>
        <v>0.59912435490740035</v>
      </c>
      <c r="C300">
        <f ca="1"/>
        <v>0.44176944162222131</v>
      </c>
      <c r="D300">
        <f t="shared" ca="1" si="8"/>
        <v>-2.0313828480108529</v>
      </c>
      <c r="E300">
        <f t="shared" ca="1" si="9"/>
        <v>278.22927262357706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сравнение</vt:lpstr>
      <vt:lpstr>Лист1 ген</vt:lpstr>
      <vt:lpstr>10 ген</vt:lpstr>
      <vt:lpstr>20 ген</vt:lpstr>
      <vt:lpstr>50 ген</vt:lpstr>
      <vt:lpstr>100 ген</vt:lpstr>
      <vt:lpstr>200 ген</vt:lpstr>
      <vt:lpstr>300 ген</vt:lpstr>
      <vt:lpstr>ген</vt:lpstr>
      <vt:lpstr>300</vt:lpstr>
      <vt:lpstr>200</vt:lpstr>
      <vt:lpstr>100</vt:lpstr>
      <vt:lpstr>50</vt:lpstr>
      <vt:lpstr>20</vt:lpstr>
      <vt:lpstr>10</vt:lpstr>
      <vt:lpstr>Лист1</vt:lpstr>
      <vt:lpstr>Лист8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2025-10-01T15:51:18Z</dcterms:created>
  <dcterms:modified xsi:type="dcterms:W3CDTF">2025-10-04T14:19:46Z</dcterms:modified>
</cp:coreProperties>
</file>