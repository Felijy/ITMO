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ulag\Documents\ITMO\Физика\"/>
    </mc:Choice>
  </mc:AlternateContent>
  <xr:revisionPtr revIDLastSave="0" documentId="13_ncr:1_{A2DE7390-7BD1-4F2A-B88B-DE1F8E51131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H2" i="1"/>
  <c r="G2" i="1"/>
</calcChain>
</file>

<file path=xl/sharedStrings.xml><?xml version="1.0" encoding="utf-8"?>
<sst xmlns="http://schemas.openxmlformats.org/spreadsheetml/2006/main" count="13" uniqueCount="11">
  <si>
    <t>№</t>
  </si>
  <si>
    <t>U</t>
  </si>
  <si>
    <t>K_x</t>
  </si>
  <si>
    <t>K_y</t>
  </si>
  <si>
    <t>X</t>
  </si>
  <si>
    <t>Y</t>
  </si>
  <si>
    <t>E</t>
  </si>
  <si>
    <t>D</t>
  </si>
  <si>
    <t>Epsilon</t>
  </si>
  <si>
    <t>U_C1</t>
  </si>
  <si>
    <t>U_R1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</si>
</sst>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0870516185477"/>
          <c:y val="0.19486111111111112"/>
          <c:w val="0.8332246281714785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Лист1!$J$1</c:f>
              <c:strCache>
                <c:ptCount val="1"/>
                <c:pt idx="0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Лист1!$I$2:$I$16</c:f>
              <c:numCache>
                <c:formatCode>General</c:formatCode>
                <c:ptCount val="15"/>
                <c:pt idx="0">
                  <c:v>363000</c:v>
                </c:pt>
                <c:pt idx="1">
                  <c:v>341000</c:v>
                </c:pt>
                <c:pt idx="2">
                  <c:v>297000</c:v>
                </c:pt>
                <c:pt idx="3">
                  <c:v>253000</c:v>
                </c:pt>
                <c:pt idx="4">
                  <c:v>187000</c:v>
                </c:pt>
                <c:pt idx="5">
                  <c:v>118800.00000000001</c:v>
                </c:pt>
                <c:pt idx="6">
                  <c:v>61599.999999999993</c:v>
                </c:pt>
                <c:pt idx="7">
                  <c:v>48400.000000000007</c:v>
                </c:pt>
                <c:pt idx="8">
                  <c:v>33000</c:v>
                </c:pt>
                <c:pt idx="9">
                  <c:v>24200.000000000004</c:v>
                </c:pt>
                <c:pt idx="10">
                  <c:v>15840.000000000002</c:v>
                </c:pt>
                <c:pt idx="11">
                  <c:v>10119.999999999998</c:v>
                </c:pt>
                <c:pt idx="12">
                  <c:v>6600.0000000000009</c:v>
                </c:pt>
                <c:pt idx="13">
                  <c:v>3410.0000000000005</c:v>
                </c:pt>
                <c:pt idx="14">
                  <c:v>792</c:v>
                </c:pt>
              </c:numCache>
            </c:numRef>
          </c:xVal>
          <c:yVal>
            <c:numRef>
              <c:f>Лист1!$J$2:$J$16</c:f>
              <c:numCache>
                <c:formatCode>General</c:formatCode>
                <c:ptCount val="15"/>
                <c:pt idx="0">
                  <c:v>2.7E-2</c:v>
                </c:pt>
                <c:pt idx="1">
                  <c:v>2.4E-2</c:v>
                </c:pt>
                <c:pt idx="2">
                  <c:v>2.1000000000000001E-2</c:v>
                </c:pt>
                <c:pt idx="3">
                  <c:v>1.8000000000000002E-2</c:v>
                </c:pt>
                <c:pt idx="4">
                  <c:v>1.4800000000000001E-2</c:v>
                </c:pt>
                <c:pt idx="5">
                  <c:v>1.0800000000000001E-2</c:v>
                </c:pt>
                <c:pt idx="6">
                  <c:v>8.0000000000000002E-3</c:v>
                </c:pt>
                <c:pt idx="7">
                  <c:v>7.2000000000000007E-3</c:v>
                </c:pt>
                <c:pt idx="8">
                  <c:v>7.4000000000000003E-3</c:v>
                </c:pt>
                <c:pt idx="9">
                  <c:v>5.2000000000000006E-3</c:v>
                </c:pt>
                <c:pt idx="10">
                  <c:v>4.2000000000000006E-3</c:v>
                </c:pt>
                <c:pt idx="11">
                  <c:v>3.2000000000000002E-3</c:v>
                </c:pt>
                <c:pt idx="12">
                  <c:v>2.3E-3</c:v>
                </c:pt>
                <c:pt idx="13">
                  <c:v>1.2800000000000003E-3</c:v>
                </c:pt>
                <c:pt idx="14">
                  <c:v>3.0000000000000003E-4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0-4333-A73C-4E991B85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919983"/>
        <c:axId val="662920463"/>
      </c:scatterChart>
      <c:valAx>
        <c:axId val="66291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20463"/>
        <c:crosses val="autoZero"/>
        <c:crossBetween val="midCat"/>
      </c:valAx>
      <c:valAx>
        <c:axId val="6629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1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Epsilon(E)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Лист1!$K$1</c:f>
              <c:strCache>
                <c:ptCount val="1"/>
                <c:pt idx="0">
                  <c:v>Epsilon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Лист1!$I$2:$I$16</c:f>
              <c:numCache>
                <c:formatCode>General</c:formatCode>
                <c:ptCount val="15"/>
                <c:pt idx="0">
                  <c:v>363000</c:v>
                </c:pt>
                <c:pt idx="1">
                  <c:v>341000</c:v>
                </c:pt>
                <c:pt idx="2">
                  <c:v>297000</c:v>
                </c:pt>
                <c:pt idx="3">
                  <c:v>253000</c:v>
                </c:pt>
                <c:pt idx="4">
                  <c:v>187000</c:v>
                </c:pt>
                <c:pt idx="5">
                  <c:v>118800.00000000001</c:v>
                </c:pt>
                <c:pt idx="6">
                  <c:v>61599.999999999993</c:v>
                </c:pt>
                <c:pt idx="7">
                  <c:v>48400.000000000007</c:v>
                </c:pt>
                <c:pt idx="8">
                  <c:v>33000</c:v>
                </c:pt>
                <c:pt idx="9">
                  <c:v>24200.000000000004</c:v>
                </c:pt>
                <c:pt idx="10">
                  <c:v>15840.000000000002</c:v>
                </c:pt>
                <c:pt idx="11">
                  <c:v>10119.999999999998</c:v>
                </c:pt>
                <c:pt idx="12">
                  <c:v>6600.0000000000009</c:v>
                </c:pt>
                <c:pt idx="13">
                  <c:v>3410.0000000000005</c:v>
                </c:pt>
                <c:pt idx="14">
                  <c:v>792</c:v>
                </c:pt>
              </c:numCache>
            </c:numRef>
          </c:xVal>
          <c:yVal>
            <c:numRef>
              <c:f>Лист1!$K$2:$K$16</c:f>
              <c:numCache>
                <c:formatCode>General</c:formatCode>
                <c:ptCount val="15"/>
                <c:pt idx="0">
                  <c:v>8400.7415054502144</c:v>
                </c:pt>
                <c:pt idx="1">
                  <c:v>7949.0887363399888</c:v>
                </c:pt>
                <c:pt idx="2">
                  <c:v>7985.8900730823034</c:v>
                </c:pt>
                <c:pt idx="3">
                  <c:v>8035.4918747784677</c:v>
                </c:pt>
                <c:pt idx="4">
                  <c:v>8938.8282162568303</c:v>
                </c:pt>
                <c:pt idx="5">
                  <c:v>10267.572951105818</c:v>
                </c:pt>
                <c:pt idx="6">
                  <c:v>14667.961358722599</c:v>
                </c:pt>
                <c:pt idx="7">
                  <c:v>16801.483010900429</c:v>
                </c:pt>
                <c:pt idx="8">
                  <c:v>25326.67994606102</c:v>
                </c:pt>
                <c:pt idx="9">
                  <c:v>24268.808793522843</c:v>
                </c:pt>
                <c:pt idx="10">
                  <c:v>29947.087774058637</c:v>
                </c:pt>
                <c:pt idx="11">
                  <c:v>35713.297221237633</c:v>
                </c:pt>
                <c:pt idx="12">
                  <c:v>39359.029645905634</c:v>
                </c:pt>
                <c:pt idx="13">
                  <c:v>42395.139927146607</c:v>
                </c:pt>
                <c:pt idx="14">
                  <c:v>42781.553962940918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D-46E0-9FB6-6F8B557B5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77439"/>
        <c:axId val="859275999"/>
      </c:scatterChart>
      <c:valAx>
        <c:axId val="8592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75999"/>
        <c:crosses val="autoZero"/>
        <c:crossBetween val="midCat"/>
      </c:valAx>
      <c:valAx>
        <c:axId val="8592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526255</xdr:colOff>
      <xdr:row>3</xdr:row>
      <xdr:rowOff>123825</xdr:rowOff>
    </xdr:from>
    <xdr:to>
      <xdr:col>18</xdr:col>
      <xdr:colOff>564355</xdr:colOff>
      <xdr:row>18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FEA703-5FD2-3800-CFB3-F0E574F50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588168</xdr:colOff>
      <xdr:row>19</xdr:row>
      <xdr:rowOff>57150</xdr:rowOff>
    </xdr:from>
    <xdr:to>
      <xdr:col>18</xdr:col>
      <xdr:colOff>626268</xdr:colOff>
      <xdr:row>34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6B89C54-CDEB-441C-3F89-FBC346804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C4" workbookViewId="0">
      <selection activeCell="K19" sqref="K19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6</v>
      </c>
      <c r="J1" t="s">
        <v>7</v>
      </c>
      <c r="K1" t="s">
        <v>8</v>
      </c>
      <c r="O1" t="s">
        <v>9</v>
      </c>
      <c r="P1">
        <v>15</v>
      </c>
    </row>
    <row r="2" spans="1:16" x14ac:dyDescent="0.45">
      <c r="A2">
        <v>1</v>
      </c>
      <c r="B2">
        <v>17</v>
      </c>
      <c r="C2">
        <v>5</v>
      </c>
      <c r="D2">
        <v>5</v>
      </c>
      <c r="E2">
        <v>2.7</v>
      </c>
      <c r="F2">
        <v>3.3</v>
      </c>
      <c r="G2">
        <f>E2*C2</f>
        <v>13.5</v>
      </c>
      <c r="H2">
        <f>F2*D2</f>
        <v>16.5</v>
      </c>
      <c r="I2">
        <f>11*H2/0.0005</f>
        <v>363000</v>
      </c>
      <c r="J2">
        <f>0.000001/0.0005*G2</f>
        <v>2.7E-2</v>
      </c>
      <c r="K2">
        <f>J2/(I2*0.000000000008854)</f>
        <v>8400.7415054502144</v>
      </c>
      <c r="O2" t="s">
        <v>10</v>
      </c>
      <c r="P2">
        <v>13.5</v>
      </c>
    </row>
    <row r="3" spans="1:16" x14ac:dyDescent="0.45">
      <c r="A3">
        <v>2</v>
      </c>
      <c r="B3">
        <v>15</v>
      </c>
      <c r="C3">
        <v>5</v>
      </c>
      <c r="D3">
        <v>5</v>
      </c>
      <c r="E3">
        <v>2.4</v>
      </c>
      <c r="F3">
        <v>3.1</v>
      </c>
      <c r="G3">
        <f t="shared" ref="G3:G16" si="0">E3*C3</f>
        <v>12</v>
      </c>
      <c r="H3">
        <f t="shared" ref="H3:H16" si="1">F3*D3</f>
        <v>15.5</v>
      </c>
      <c r="I3">
        <f t="shared" ref="I3:I16" si="2">11*H3/0.0005</f>
        <v>341000</v>
      </c>
      <c r="J3">
        <f t="shared" ref="J3:J16" si="3">0.000001/0.0005*G3</f>
        <v>2.4E-2</v>
      </c>
      <c r="K3">
        <f t="shared" ref="K3:K16" si="4">J3/(I3*0.000000000008854)</f>
        <v>7949.0887363399888</v>
      </c>
    </row>
    <row r="4" spans="1:16" x14ac:dyDescent="0.45">
      <c r="A4">
        <v>3</v>
      </c>
      <c r="B4">
        <v>13</v>
      </c>
      <c r="C4">
        <v>5</v>
      </c>
      <c r="D4">
        <v>5</v>
      </c>
      <c r="E4">
        <v>2.1</v>
      </c>
      <c r="F4">
        <v>2.7</v>
      </c>
      <c r="G4">
        <f t="shared" si="0"/>
        <v>10.5</v>
      </c>
      <c r="H4">
        <f t="shared" si="1"/>
        <v>13.5</v>
      </c>
      <c r="I4">
        <f t="shared" si="2"/>
        <v>297000</v>
      </c>
      <c r="J4">
        <f t="shared" si="3"/>
        <v>2.1000000000000001E-2</v>
      </c>
      <c r="K4">
        <f t="shared" si="4"/>
        <v>7985.8900730823034</v>
      </c>
    </row>
    <row r="5" spans="1:16" x14ac:dyDescent="0.45">
      <c r="A5">
        <v>4</v>
      </c>
      <c r="B5">
        <v>11</v>
      </c>
      <c r="C5">
        <v>5</v>
      </c>
      <c r="D5">
        <v>5</v>
      </c>
      <c r="E5">
        <v>1.8</v>
      </c>
      <c r="F5">
        <v>2.2999999999999998</v>
      </c>
      <c r="G5">
        <f t="shared" si="0"/>
        <v>9</v>
      </c>
      <c r="H5">
        <f t="shared" si="1"/>
        <v>11.5</v>
      </c>
      <c r="I5">
        <f t="shared" si="2"/>
        <v>253000</v>
      </c>
      <c r="J5">
        <f t="shared" si="3"/>
        <v>1.8000000000000002E-2</v>
      </c>
      <c r="K5">
        <f t="shared" si="4"/>
        <v>8035.4918747784677</v>
      </c>
    </row>
    <row r="6" spans="1:16" x14ac:dyDescent="0.45">
      <c r="A6">
        <v>5</v>
      </c>
      <c r="B6">
        <v>9</v>
      </c>
      <c r="C6">
        <v>2</v>
      </c>
      <c r="D6">
        <v>5</v>
      </c>
      <c r="E6">
        <v>3.7</v>
      </c>
      <c r="F6">
        <v>1.7</v>
      </c>
      <c r="G6">
        <f t="shared" si="0"/>
        <v>7.4</v>
      </c>
      <c r="H6">
        <f t="shared" si="1"/>
        <v>8.5</v>
      </c>
      <c r="I6">
        <f t="shared" si="2"/>
        <v>187000</v>
      </c>
      <c r="J6">
        <f t="shared" si="3"/>
        <v>1.4800000000000001E-2</v>
      </c>
      <c r="K6">
        <f t="shared" si="4"/>
        <v>8938.8282162568303</v>
      </c>
    </row>
    <row r="7" spans="1:16" x14ac:dyDescent="0.45">
      <c r="A7">
        <v>6</v>
      </c>
      <c r="B7">
        <v>7</v>
      </c>
      <c r="C7">
        <v>2</v>
      </c>
      <c r="D7">
        <v>2</v>
      </c>
      <c r="E7">
        <v>2.7</v>
      </c>
      <c r="F7">
        <v>2.7</v>
      </c>
      <c r="G7">
        <f t="shared" si="0"/>
        <v>5.4</v>
      </c>
      <c r="H7">
        <f t="shared" si="1"/>
        <v>5.4</v>
      </c>
      <c r="I7">
        <f t="shared" si="2"/>
        <v>118800.00000000001</v>
      </c>
      <c r="J7">
        <f t="shared" si="3"/>
        <v>1.0800000000000001E-2</v>
      </c>
      <c r="K7">
        <f t="shared" si="4"/>
        <v>10267.572951105818</v>
      </c>
    </row>
    <row r="8" spans="1:16" x14ac:dyDescent="0.45">
      <c r="A8">
        <v>7</v>
      </c>
      <c r="B8">
        <v>5</v>
      </c>
      <c r="C8">
        <v>2</v>
      </c>
      <c r="D8">
        <v>1</v>
      </c>
      <c r="E8">
        <v>2</v>
      </c>
      <c r="F8">
        <v>2.8</v>
      </c>
      <c r="G8">
        <f t="shared" si="0"/>
        <v>4</v>
      </c>
      <c r="H8">
        <f t="shared" si="1"/>
        <v>2.8</v>
      </c>
      <c r="I8">
        <f t="shared" si="2"/>
        <v>61599.999999999993</v>
      </c>
      <c r="J8">
        <f t="shared" si="3"/>
        <v>8.0000000000000002E-3</v>
      </c>
      <c r="K8">
        <f t="shared" si="4"/>
        <v>14667.961358722599</v>
      </c>
    </row>
    <row r="9" spans="1:16" x14ac:dyDescent="0.45">
      <c r="A9">
        <v>8</v>
      </c>
      <c r="B9">
        <v>4.4000000000000004</v>
      </c>
      <c r="C9">
        <v>1</v>
      </c>
      <c r="D9">
        <v>1</v>
      </c>
      <c r="E9">
        <v>3.6</v>
      </c>
      <c r="F9">
        <v>2.2000000000000002</v>
      </c>
      <c r="G9">
        <f t="shared" si="0"/>
        <v>3.6</v>
      </c>
      <c r="H9">
        <f t="shared" si="1"/>
        <v>2.2000000000000002</v>
      </c>
      <c r="I9">
        <f t="shared" si="2"/>
        <v>48400.000000000007</v>
      </c>
      <c r="J9">
        <f t="shared" si="3"/>
        <v>7.2000000000000007E-3</v>
      </c>
      <c r="K9">
        <f t="shared" si="4"/>
        <v>16801.483010900429</v>
      </c>
    </row>
    <row r="10" spans="1:16" x14ac:dyDescent="0.45">
      <c r="A10">
        <v>9</v>
      </c>
      <c r="B10">
        <v>3.8</v>
      </c>
      <c r="C10">
        <v>1</v>
      </c>
      <c r="D10">
        <v>0.5</v>
      </c>
      <c r="E10">
        <v>3.7</v>
      </c>
      <c r="F10">
        <v>3</v>
      </c>
      <c r="G10">
        <f t="shared" si="0"/>
        <v>3.7</v>
      </c>
      <c r="H10">
        <f t="shared" si="1"/>
        <v>1.5</v>
      </c>
      <c r="I10">
        <f t="shared" si="2"/>
        <v>33000</v>
      </c>
      <c r="J10">
        <f t="shared" si="3"/>
        <v>7.4000000000000003E-3</v>
      </c>
      <c r="K10">
        <f t="shared" si="4"/>
        <v>25326.67994606102</v>
      </c>
    </row>
    <row r="11" spans="1:16" x14ac:dyDescent="0.45">
      <c r="A11">
        <v>10</v>
      </c>
      <c r="B11">
        <v>3.2</v>
      </c>
      <c r="C11">
        <v>1</v>
      </c>
      <c r="D11">
        <v>0.5</v>
      </c>
      <c r="E11">
        <v>2.6</v>
      </c>
      <c r="F11">
        <v>2.2000000000000002</v>
      </c>
      <c r="G11">
        <f t="shared" si="0"/>
        <v>2.6</v>
      </c>
      <c r="H11">
        <f t="shared" si="1"/>
        <v>1.1000000000000001</v>
      </c>
      <c r="I11">
        <f t="shared" si="2"/>
        <v>24200.000000000004</v>
      </c>
      <c r="J11">
        <f t="shared" si="3"/>
        <v>5.2000000000000006E-3</v>
      </c>
      <c r="K11">
        <f t="shared" si="4"/>
        <v>24268.808793522843</v>
      </c>
    </row>
    <row r="12" spans="1:16" x14ac:dyDescent="0.45">
      <c r="A12">
        <v>11</v>
      </c>
      <c r="B12">
        <v>2.6</v>
      </c>
      <c r="C12">
        <v>1</v>
      </c>
      <c r="D12">
        <v>0.2</v>
      </c>
      <c r="E12">
        <v>2.1</v>
      </c>
      <c r="F12">
        <v>3.6</v>
      </c>
      <c r="G12">
        <f t="shared" si="0"/>
        <v>2.1</v>
      </c>
      <c r="H12">
        <f t="shared" si="1"/>
        <v>0.72000000000000008</v>
      </c>
      <c r="I12">
        <f t="shared" si="2"/>
        <v>15840.000000000002</v>
      </c>
      <c r="J12">
        <f t="shared" si="3"/>
        <v>4.2000000000000006E-3</v>
      </c>
      <c r="K12">
        <f t="shared" si="4"/>
        <v>29947.087774058637</v>
      </c>
    </row>
    <row r="13" spans="1:16" x14ac:dyDescent="0.45">
      <c r="A13">
        <v>12</v>
      </c>
      <c r="B13">
        <v>2</v>
      </c>
      <c r="C13">
        <v>0.5</v>
      </c>
      <c r="D13">
        <v>0.2</v>
      </c>
      <c r="E13">
        <v>3.2</v>
      </c>
      <c r="F13">
        <v>2.2999999999999998</v>
      </c>
      <c r="G13">
        <f t="shared" si="0"/>
        <v>1.6</v>
      </c>
      <c r="H13">
        <f t="shared" si="1"/>
        <v>0.45999999999999996</v>
      </c>
      <c r="I13">
        <f t="shared" si="2"/>
        <v>10119.999999999998</v>
      </c>
      <c r="J13">
        <f t="shared" si="3"/>
        <v>3.2000000000000002E-3</v>
      </c>
      <c r="K13">
        <f t="shared" si="4"/>
        <v>35713.297221237633</v>
      </c>
    </row>
    <row r="14" spans="1:16" x14ac:dyDescent="0.45">
      <c r="A14">
        <v>13</v>
      </c>
      <c r="B14">
        <v>1.4</v>
      </c>
      <c r="C14">
        <v>0.5</v>
      </c>
      <c r="D14">
        <v>0.1</v>
      </c>
      <c r="E14">
        <v>2.2999999999999998</v>
      </c>
      <c r="F14">
        <v>3</v>
      </c>
      <c r="G14">
        <f t="shared" si="0"/>
        <v>1.1499999999999999</v>
      </c>
      <c r="H14">
        <f t="shared" si="1"/>
        <v>0.30000000000000004</v>
      </c>
      <c r="I14">
        <f t="shared" si="2"/>
        <v>6600.0000000000009</v>
      </c>
      <c r="J14">
        <f t="shared" si="3"/>
        <v>2.3E-3</v>
      </c>
      <c r="K14">
        <f t="shared" si="4"/>
        <v>39359.029645905634</v>
      </c>
    </row>
    <row r="15" spans="1:16" x14ac:dyDescent="0.45">
      <c r="A15">
        <v>14</v>
      </c>
      <c r="B15">
        <v>0.8</v>
      </c>
      <c r="C15">
        <v>0.2</v>
      </c>
      <c r="D15">
        <v>0.05</v>
      </c>
      <c r="E15">
        <v>3.2</v>
      </c>
      <c r="F15">
        <v>3.1</v>
      </c>
      <c r="G15">
        <f t="shared" si="0"/>
        <v>0.64000000000000012</v>
      </c>
      <c r="H15">
        <f t="shared" si="1"/>
        <v>0.15500000000000003</v>
      </c>
      <c r="I15">
        <f t="shared" si="2"/>
        <v>3410.0000000000005</v>
      </c>
      <c r="J15">
        <f t="shared" si="3"/>
        <v>1.2800000000000003E-3</v>
      </c>
      <c r="K15">
        <f t="shared" si="4"/>
        <v>42395.139927146607</v>
      </c>
    </row>
    <row r="16" spans="1:16" x14ac:dyDescent="0.45">
      <c r="A16">
        <v>15</v>
      </c>
      <c r="B16">
        <v>0.2</v>
      </c>
      <c r="C16">
        <v>0.05</v>
      </c>
      <c r="D16">
        <v>0.02</v>
      </c>
      <c r="E16">
        <v>3</v>
      </c>
      <c r="F16">
        <v>1.8</v>
      </c>
      <c r="G16">
        <f t="shared" si="0"/>
        <v>0.15000000000000002</v>
      </c>
      <c r="H16">
        <f t="shared" si="1"/>
        <v>3.6000000000000004E-2</v>
      </c>
      <c r="I16">
        <f t="shared" si="2"/>
        <v>792</v>
      </c>
      <c r="J16">
        <f t="shared" si="3"/>
        <v>3.0000000000000003E-4</v>
      </c>
      <c r="K16">
        <f>J16/(I16*0.000000000008854)</f>
        <v>42781.553962940918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2015-06-05T18:19:34Z</dcterms:created>
  <dcterms:modified xsi:type="dcterms:W3CDTF">2025-04-10T18:37:35Z</dcterms:modified>
</cp:coreProperties>
</file>