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lag\Documents\ITMO\Физика\"/>
    </mc:Choice>
  </mc:AlternateContent>
  <xr:revisionPtr revIDLastSave="0" documentId="8_{109BAF66-20C2-4AB0-8058-AC04F396B0C1}" xr6:coauthVersionLast="47" xr6:coauthVersionMax="47" xr10:uidLastSave="{00000000-0000-0000-0000-000000000000}"/>
  <bookViews>
    <workbookView xWindow="-98" yWindow="-98" windowWidth="24196" windowHeight="14476" xr2:uid="{7D110F35-B8ED-4502-A578-6DFB3EFDFF7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1" l="1"/>
  <c r="L34" i="1"/>
  <c r="L25" i="1"/>
  <c r="L26" i="1"/>
  <c r="L27" i="1"/>
  <c r="L28" i="1"/>
  <c r="L29" i="1"/>
  <c r="L30" i="1"/>
  <c r="L31" i="1"/>
  <c r="L32" i="1"/>
  <c r="L33" i="1"/>
  <c r="L24" i="1"/>
  <c r="K25" i="1"/>
  <c r="K26" i="1"/>
  <c r="K27" i="1"/>
  <c r="K28" i="1"/>
  <c r="K29" i="1"/>
  <c r="K30" i="1"/>
  <c r="K31" i="1"/>
  <c r="K32" i="1"/>
  <c r="K33" i="1"/>
  <c r="K24" i="1"/>
  <c r="I34" i="1"/>
  <c r="I25" i="1"/>
  <c r="I26" i="1"/>
  <c r="I27" i="1"/>
  <c r="I28" i="1"/>
  <c r="I29" i="1"/>
  <c r="I30" i="1"/>
  <c r="I31" i="1"/>
  <c r="I32" i="1"/>
  <c r="I33" i="1"/>
  <c r="I24" i="1"/>
  <c r="F34" i="1"/>
  <c r="G33" i="1"/>
  <c r="F33" i="1"/>
  <c r="E33" i="1"/>
  <c r="G32" i="1"/>
  <c r="F32" i="1"/>
  <c r="E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L13" i="1"/>
  <c r="J13" i="1"/>
  <c r="J4" i="1"/>
  <c r="J5" i="1"/>
  <c r="J6" i="1"/>
  <c r="J7" i="1"/>
  <c r="J8" i="1"/>
  <c r="J9" i="1"/>
  <c r="J10" i="1"/>
  <c r="J11" i="1"/>
  <c r="J12" i="1"/>
  <c r="J3" i="1"/>
  <c r="I13" i="1"/>
  <c r="I4" i="1"/>
  <c r="I5" i="1"/>
  <c r="I6" i="1"/>
  <c r="I7" i="1"/>
  <c r="I8" i="1"/>
  <c r="I9" i="1"/>
  <c r="I10" i="1"/>
  <c r="I11" i="1"/>
  <c r="I12" i="1"/>
  <c r="I3" i="1"/>
  <c r="G4" i="1"/>
  <c r="G5" i="1"/>
  <c r="G6" i="1"/>
  <c r="G7" i="1"/>
  <c r="G8" i="1"/>
  <c r="G9" i="1"/>
  <c r="G10" i="1"/>
  <c r="G11" i="1"/>
  <c r="G12" i="1"/>
  <c r="G3" i="1"/>
  <c r="G16" i="1"/>
  <c r="F16" i="1"/>
  <c r="F4" i="1"/>
  <c r="F5" i="1"/>
  <c r="F6" i="1"/>
  <c r="F7" i="1"/>
  <c r="F8" i="1"/>
  <c r="F9" i="1"/>
  <c r="F10" i="1"/>
  <c r="F11" i="1"/>
  <c r="F12" i="1"/>
  <c r="F3" i="1"/>
  <c r="I16" i="1"/>
  <c r="E16" i="1"/>
  <c r="E4" i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<sst xmlns="http://schemas.openxmlformats.org/spreadsheetml/2006/main" count="23" uniqueCount="14">
  <si>
    <t>phi, градусы</t>
  </si>
  <si>
    <t>alfa</t>
  </si>
  <si>
    <t>I_1</t>
  </si>
  <si>
    <t>I_2</t>
  </si>
  <si>
    <t>I_3</t>
  </si>
  <si>
    <t>&lt;I&gt;</t>
  </si>
  <si>
    <t>sin (alfa)/sin(phi-alfa)</t>
  </si>
  <si>
    <t>B_c</t>
  </si>
  <si>
    <t>мкТл</t>
  </si>
  <si>
    <t>B_c*gamma</t>
  </si>
  <si>
    <t>gamma^2</t>
  </si>
  <si>
    <t>gamma-gamma</t>
  </si>
  <si>
    <t>d_i</t>
  </si>
  <si>
    <t>d_i^2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</si>
</sst>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B_c(gamma)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Лист1!$G$2</c:f>
              <c:strCache>
                <c:ptCount val="1"/>
                <c:pt idx="0">
                  <c:v>B_c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Лист1!$F$3:$F$12</c:f>
              <c:numCache>
                <c:formatCode>0.0000</c:formatCode>
                <c:ptCount val="10"/>
                <c:pt idx="0">
                  <c:v>0.34729635533386072</c:v>
                </c:pt>
                <c:pt idx="1">
                  <c:v>0.53208888623795592</c:v>
                </c:pt>
                <c:pt idx="2">
                  <c:v>0.65270364466613928</c:v>
                </c:pt>
                <c:pt idx="3">
                  <c:v>0.74222719896855904</c:v>
                </c:pt>
                <c:pt idx="4">
                  <c:v>0.81520746909590458</c:v>
                </c:pt>
                <c:pt idx="5">
                  <c:v>0.87938524157181674</c:v>
                </c:pt>
                <c:pt idx="6">
                  <c:v>0.93969262078590832</c:v>
                </c:pt>
                <c:pt idx="7">
                  <c:v>1</c:v>
                </c:pt>
                <c:pt idx="8">
                  <c:v>1.0641777724759123</c:v>
                </c:pt>
                <c:pt idx="9">
                  <c:v>1.1371580426032577</c:v>
                </c:pt>
              </c:numCache>
            </c:numRef>
          </c:xVal>
          <c:yVal>
            <c:numRef>
              <c:f>Лист1!$G$3:$G$12</c:f>
              <c:numCache>
                <c:formatCode>General</c:formatCode>
                <c:ptCount val="10"/>
                <c:pt idx="0">
                  <c:v>2.397803428195235</c:v>
                </c:pt>
                <c:pt idx="1">
                  <c:v>4.995423808740072</c:v>
                </c:pt>
                <c:pt idx="2">
                  <c:v>6.4740692561271329</c:v>
                </c:pt>
                <c:pt idx="3">
                  <c:v>9.0716896366719713</c:v>
                </c:pt>
                <c:pt idx="4">
                  <c:v>11.10982255063792</c:v>
                </c:pt>
                <c:pt idx="5">
                  <c:v>14.147040226351889</c:v>
                </c:pt>
                <c:pt idx="6">
                  <c:v>17.384074854415452</c:v>
                </c:pt>
                <c:pt idx="7">
                  <c:v>23.378583424903539</c:v>
                </c:pt>
                <c:pt idx="8">
                  <c:v>35.967051422928527</c:v>
                </c:pt>
                <c:pt idx="9">
                  <c:v>62.942339990124914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C4-4EE1-99AD-3B8F0825E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989599"/>
        <c:axId val="863984799"/>
      </c:scatterChart>
      <c:valAx>
        <c:axId val="86398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984799"/>
        <c:crosses val="autoZero"/>
        <c:crossBetween val="midCat"/>
      </c:valAx>
      <c:valAx>
        <c:axId val="86398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989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404813</xdr:colOff>
      <xdr:row>1</xdr:row>
      <xdr:rowOff>57150</xdr:rowOff>
    </xdr:from>
    <xdr:to>
      <xdr:col>21</xdr:col>
      <xdr:colOff>102393</xdr:colOff>
      <xdr:row>22</xdr:row>
      <xdr:rowOff>47625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CCC9167-E805-9BE3-AA75-A6FEB18F5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70A5-9FF5-42CC-A3F2-68705028DED9}">
  <dimension ref="A1:N34"/>
  <sheetViews>
    <sheetView tabSelected="1" topLeftCell="A4" workbookViewId="0">
      <selection activeCell="N30" sqref="N30"/>
    </sheetView>
  </sheetViews>
  <sheetFormatPr defaultRowHeight="14.25" x14ac:dyDescent="0.45"/>
  <sheetData>
    <row r="1" spans="1:12" x14ac:dyDescent="0.45">
      <c r="A1" t="s">
        <v>0</v>
      </c>
      <c r="B1">
        <v>160</v>
      </c>
      <c r="G1" t="s">
        <v>8</v>
      </c>
    </row>
    <row r="2" spans="1:12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I2" t="s">
        <v>9</v>
      </c>
      <c r="J2" t="s">
        <v>10</v>
      </c>
    </row>
    <row r="3" spans="1:12" x14ac:dyDescent="0.45">
      <c r="A3">
        <v>10</v>
      </c>
      <c r="B3" s="1">
        <v>3.8</v>
      </c>
      <c r="C3" s="1">
        <v>4.0999999999999996</v>
      </c>
      <c r="D3" s="1">
        <v>4.0999999999999996</v>
      </c>
      <c r="E3" s="1">
        <f>AVERAGE(B3:D3)</f>
        <v>4</v>
      </c>
      <c r="F3" s="2">
        <f>SIN(RADIANS(A3))/SIN(RADIANS($B$1)-RADIANS(A3))</f>
        <v>0.34729635533386072</v>
      </c>
      <c r="G3">
        <f>4*PI()*POWER(10, -7)*POWER(4/5, 3/2)*(E3*100)/(0.15)*1000</f>
        <v>2.397803428195235</v>
      </c>
      <c r="I3">
        <f>G3*F3</f>
        <v>0.83274839141924173</v>
      </c>
      <c r="J3">
        <f>F3*F3</f>
        <v>0.12061475842818324</v>
      </c>
    </row>
    <row r="4" spans="1:12" x14ac:dyDescent="0.45">
      <c r="A4">
        <v>20</v>
      </c>
      <c r="B4" s="1">
        <v>8.8000000000000007</v>
      </c>
      <c r="C4" s="1">
        <v>7.9</v>
      </c>
      <c r="D4" s="1">
        <v>8.3000000000000007</v>
      </c>
      <c r="E4" s="1">
        <f t="shared" ref="E4:E12" si="0">AVERAGE(B4:D4)</f>
        <v>8.3333333333333339</v>
      </c>
      <c r="F4" s="2">
        <f t="shared" ref="F4:F12" si="1">SIN(RADIANS(A4))/SIN(RADIANS($B$1)-RADIANS(A4))</f>
        <v>0.53208888623795592</v>
      </c>
      <c r="G4">
        <f t="shared" ref="G4:G12" si="2">4*PI()*POWER(10, -7)*POWER(4/5, 3/2)*(E4*100)/(0.15)*1000</f>
        <v>4.995423808740072</v>
      </c>
      <c r="I4">
        <f t="shared" ref="I4:I12" si="3">G4*F4</f>
        <v>2.6580094906790728</v>
      </c>
      <c r="J4">
        <f t="shared" ref="J4:J12" si="4">F4*F4</f>
        <v>0.28311858285794839</v>
      </c>
    </row>
    <row r="5" spans="1:12" x14ac:dyDescent="0.45">
      <c r="A5">
        <v>30</v>
      </c>
      <c r="B5" s="1">
        <v>10.5</v>
      </c>
      <c r="C5" s="1">
        <v>11</v>
      </c>
      <c r="D5" s="1">
        <v>10.9</v>
      </c>
      <c r="E5" s="1">
        <f t="shared" si="0"/>
        <v>10.799999999999999</v>
      </c>
      <c r="F5" s="2">
        <f t="shared" si="1"/>
        <v>0.65270364466613928</v>
      </c>
      <c r="G5">
        <f t="shared" si="2"/>
        <v>6.4740692561271329</v>
      </c>
      <c r="I5">
        <f t="shared" si="3"/>
        <v>4.2256485992951811</v>
      </c>
      <c r="J5">
        <f t="shared" si="4"/>
        <v>0.42602204776046182</v>
      </c>
    </row>
    <row r="6" spans="1:12" x14ac:dyDescent="0.45">
      <c r="A6">
        <v>40</v>
      </c>
      <c r="B6" s="1">
        <v>15</v>
      </c>
      <c r="C6" s="1">
        <v>15.3</v>
      </c>
      <c r="D6" s="1">
        <v>15.1</v>
      </c>
      <c r="E6" s="1">
        <f t="shared" si="0"/>
        <v>15.133333333333333</v>
      </c>
      <c r="F6" s="2">
        <f t="shared" si="1"/>
        <v>0.74222719896855904</v>
      </c>
      <c r="G6">
        <f t="shared" si="2"/>
        <v>9.0716896366719713</v>
      </c>
      <c r="I6">
        <f t="shared" si="3"/>
        <v>6.7332547889391421</v>
      </c>
      <c r="J6">
        <f t="shared" si="4"/>
        <v>0.55090121488871291</v>
      </c>
    </row>
    <row r="7" spans="1:12" x14ac:dyDescent="0.45">
      <c r="A7">
        <v>50</v>
      </c>
      <c r="B7" s="1">
        <v>18.600000000000001</v>
      </c>
      <c r="C7" s="1">
        <v>18.399999999999999</v>
      </c>
      <c r="D7" s="1">
        <v>18.600000000000001</v>
      </c>
      <c r="E7" s="1">
        <f t="shared" si="0"/>
        <v>18.533333333333335</v>
      </c>
      <c r="F7" s="2">
        <f t="shared" si="1"/>
        <v>0.81520746909590458</v>
      </c>
      <c r="G7">
        <f t="shared" si="2"/>
        <v>11.10982255063792</v>
      </c>
      <c r="I7">
        <f t="shared" si="3"/>
        <v>9.0568103236101472</v>
      </c>
      <c r="J7">
        <f t="shared" si="4"/>
        <v>0.66456321766975024</v>
      </c>
    </row>
    <row r="8" spans="1:12" x14ac:dyDescent="0.45">
      <c r="A8">
        <v>60</v>
      </c>
      <c r="B8" s="1">
        <v>23.6</v>
      </c>
      <c r="C8" s="1">
        <v>23.6</v>
      </c>
      <c r="D8" s="1">
        <v>23.6</v>
      </c>
      <c r="E8" s="1">
        <f t="shared" si="0"/>
        <v>23.600000000000005</v>
      </c>
      <c r="F8" s="2">
        <f t="shared" si="1"/>
        <v>0.87938524157181674</v>
      </c>
      <c r="G8">
        <f t="shared" si="2"/>
        <v>14.147040226351889</v>
      </c>
      <c r="I8">
        <f t="shared" si="3"/>
        <v>12.440698386976665</v>
      </c>
      <c r="J8">
        <f t="shared" si="4"/>
        <v>0.77331840309432254</v>
      </c>
    </row>
    <row r="9" spans="1:12" x14ac:dyDescent="0.45">
      <c r="A9">
        <v>70</v>
      </c>
      <c r="B9" s="1">
        <v>29</v>
      </c>
      <c r="C9" s="1">
        <v>28</v>
      </c>
      <c r="D9" s="1">
        <v>30</v>
      </c>
      <c r="E9" s="1">
        <f t="shared" si="0"/>
        <v>29</v>
      </c>
      <c r="F9" s="2">
        <f t="shared" si="1"/>
        <v>0.93969262078590832</v>
      </c>
      <c r="G9">
        <f t="shared" si="2"/>
        <v>17.384074854415452</v>
      </c>
      <c r="I9">
        <f t="shared" si="3"/>
        <v>16.335686859884063</v>
      </c>
      <c r="J9">
        <f t="shared" si="4"/>
        <v>0.88302222155948884</v>
      </c>
    </row>
    <row r="10" spans="1:12" x14ac:dyDescent="0.45">
      <c r="A10">
        <v>80</v>
      </c>
      <c r="B10" s="1">
        <v>39</v>
      </c>
      <c r="C10" s="1">
        <v>38</v>
      </c>
      <c r="D10" s="1">
        <v>40</v>
      </c>
      <c r="E10" s="1">
        <f t="shared" si="0"/>
        <v>39</v>
      </c>
      <c r="F10" s="2">
        <f t="shared" si="1"/>
        <v>1</v>
      </c>
      <c r="G10">
        <f t="shared" si="2"/>
        <v>23.378583424903539</v>
      </c>
      <c r="I10">
        <f t="shared" si="3"/>
        <v>23.378583424903539</v>
      </c>
      <c r="J10">
        <f t="shared" si="4"/>
        <v>1</v>
      </c>
    </row>
    <row r="11" spans="1:12" x14ac:dyDescent="0.45">
      <c r="A11">
        <v>90</v>
      </c>
      <c r="B11" s="1">
        <v>61</v>
      </c>
      <c r="C11" s="1">
        <v>60</v>
      </c>
      <c r="D11" s="1">
        <v>59</v>
      </c>
      <c r="E11" s="1">
        <f t="shared" si="0"/>
        <v>60</v>
      </c>
      <c r="F11" s="2">
        <f t="shared" si="1"/>
        <v>1.0641777724759123</v>
      </c>
      <c r="G11">
        <f t="shared" si="2"/>
        <v>35.967051422928527</v>
      </c>
      <c r="I11">
        <f t="shared" si="3"/>
        <v>38.275336665778674</v>
      </c>
      <c r="J11">
        <f t="shared" si="4"/>
        <v>1.1324743314317944</v>
      </c>
    </row>
    <row r="12" spans="1:12" x14ac:dyDescent="0.45">
      <c r="A12">
        <v>100</v>
      </c>
      <c r="B12" s="1">
        <v>107</v>
      </c>
      <c r="C12" s="1">
        <v>103</v>
      </c>
      <c r="D12" s="1">
        <v>105</v>
      </c>
      <c r="E12" s="1">
        <f t="shared" si="0"/>
        <v>105</v>
      </c>
      <c r="F12" s="2">
        <f t="shared" si="1"/>
        <v>1.1371580426032577</v>
      </c>
      <c r="G12">
        <f t="shared" si="2"/>
        <v>62.942339990124914</v>
      </c>
      <c r="I12">
        <f t="shared" si="3"/>
        <v>71.575388140039195</v>
      </c>
      <c r="J12">
        <f t="shared" si="4"/>
        <v>1.2931284138572725</v>
      </c>
    </row>
    <row r="13" spans="1:12" x14ac:dyDescent="0.45">
      <c r="I13">
        <f>SUM(I3:I12)</f>
        <v>185.51216507152492</v>
      </c>
      <c r="J13">
        <f>SUM(J3:J12)</f>
        <v>7.1271631915479343</v>
      </c>
      <c r="L13" s="3">
        <f>I13/J13</f>
        <v>26.028892574190362</v>
      </c>
    </row>
    <row r="15" spans="1:12" x14ac:dyDescent="0.45">
      <c r="G15">
        <v>4.4158999999999997</v>
      </c>
    </row>
    <row r="16" spans="1:12" x14ac:dyDescent="0.45">
      <c r="A16">
        <v>10</v>
      </c>
      <c r="B16">
        <v>7.9</v>
      </c>
      <c r="C16">
        <v>7.2</v>
      </c>
      <c r="D16">
        <v>7</v>
      </c>
      <c r="E16" s="1">
        <f>AVERAGE(B16:D16)</f>
        <v>7.3666666666666671</v>
      </c>
      <c r="F16" s="2">
        <f>SIN(RADIANS(A16))/SIN(RADIANS($B$1)-RADIANS(A16))</f>
        <v>0.34729635533386072</v>
      </c>
      <c r="G16">
        <f>4*PI()*POWER(10, -7)*POWER(4/5, 3/2)*(E16*100)/(0.15)*1000</f>
        <v>4.4159546469262239</v>
      </c>
      <c r="I16">
        <f>SIN(RADIANS(A16))</f>
        <v>0.17364817766693033</v>
      </c>
    </row>
    <row r="22" spans="1:14" x14ac:dyDescent="0.45">
      <c r="A22" t="s">
        <v>0</v>
      </c>
      <c r="B22">
        <v>160</v>
      </c>
      <c r="G22" t="s">
        <v>8</v>
      </c>
    </row>
    <row r="23" spans="1:14" x14ac:dyDescent="0.45">
      <c r="A23" t="s">
        <v>1</v>
      </c>
      <c r="B23" t="s">
        <v>2</v>
      </c>
      <c r="C23" t="s">
        <v>3</v>
      </c>
      <c r="D23" t="s">
        <v>4</v>
      </c>
      <c r="E23" t="s">
        <v>5</v>
      </c>
      <c r="F23" t="s">
        <v>6</v>
      </c>
      <c r="G23" t="s">
        <v>7</v>
      </c>
      <c r="I23" t="s">
        <v>11</v>
      </c>
      <c r="K23" t="s">
        <v>12</v>
      </c>
      <c r="L23" t="s">
        <v>13</v>
      </c>
    </row>
    <row r="24" spans="1:14" x14ac:dyDescent="0.45">
      <c r="A24">
        <v>10</v>
      </c>
      <c r="B24" s="1">
        <v>3.8</v>
      </c>
      <c r="C24" s="1">
        <v>4.0999999999999996</v>
      </c>
      <c r="D24" s="1">
        <v>4.0999999999999996</v>
      </c>
      <c r="E24" s="1">
        <f>AVERAGE(B24:D24)</f>
        <v>4</v>
      </c>
      <c r="F24" s="2">
        <f>SIN(RADIANS(A24))/SIN(RADIANS($B$1)-RADIANS(A24))</f>
        <v>0.34729635533386072</v>
      </c>
      <c r="G24">
        <f>4*PI()*POWER(10, -7)*POWER(4/5, 3/2)*(E24*100)/(0.15)*1000</f>
        <v>2.397803428195235</v>
      </c>
      <c r="I24">
        <f>POWER(F24-$F$34, 2)</f>
        <v>0.2150152489418099</v>
      </c>
      <c r="K24">
        <f>G24-($L$13*$F$34)</f>
        <v>-18.711465070641705</v>
      </c>
      <c r="L24">
        <f>K24*K24</f>
        <v>350.11892508984459</v>
      </c>
    </row>
    <row r="25" spans="1:14" x14ac:dyDescent="0.45">
      <c r="A25">
        <v>20</v>
      </c>
      <c r="B25" s="1">
        <v>8.8000000000000007</v>
      </c>
      <c r="C25" s="1">
        <v>7.9</v>
      </c>
      <c r="D25" s="1">
        <v>8.3000000000000007</v>
      </c>
      <c r="E25" s="1">
        <f t="shared" ref="E25:E33" si="5">AVERAGE(B25:D25)</f>
        <v>8.3333333333333339</v>
      </c>
      <c r="F25" s="2">
        <f t="shared" ref="F25:F33" si="6">SIN(RADIANS(A25))/SIN(RADIANS($B$1)-RADIANS(A25))</f>
        <v>0.53208888623795592</v>
      </c>
      <c r="G25">
        <f t="shared" ref="G25:G33" si="7">4*PI()*POWER(10, -7)*POWER(4/5, 3/2)*(E25*100)/(0.15)*1000</f>
        <v>4.995423808740072</v>
      </c>
      <c r="I25">
        <f t="shared" ref="I25:I33" si="8">POWER(F25-$F$34, 2)</f>
        <v>7.7787908066283121E-2</v>
      </c>
      <c r="K25">
        <f t="shared" ref="K25:K33" si="9">G25-($L$13*$F$34)</f>
        <v>-16.113844690096869</v>
      </c>
      <c r="L25">
        <f t="shared" ref="L25:L33" si="10">K25*K25</f>
        <v>259.65599069656304</v>
      </c>
    </row>
    <row r="26" spans="1:14" x14ac:dyDescent="0.45">
      <c r="A26">
        <v>30</v>
      </c>
      <c r="B26" s="1">
        <v>10.5</v>
      </c>
      <c r="C26" s="1">
        <v>11</v>
      </c>
      <c r="D26" s="1">
        <v>10.9</v>
      </c>
      <c r="E26" s="1">
        <f t="shared" si="5"/>
        <v>10.799999999999999</v>
      </c>
      <c r="F26" s="2">
        <f t="shared" si="6"/>
        <v>0.65270364466613928</v>
      </c>
      <c r="G26">
        <f t="shared" si="7"/>
        <v>6.4740692561271329</v>
      </c>
      <c r="I26">
        <f t="shared" si="8"/>
        <v>2.5055748954003018E-2</v>
      </c>
      <c r="K26">
        <f t="shared" si="9"/>
        <v>-14.635199242709806</v>
      </c>
      <c r="L26">
        <f t="shared" si="10"/>
        <v>214.18905687381368</v>
      </c>
    </row>
    <row r="27" spans="1:14" x14ac:dyDescent="0.45">
      <c r="A27">
        <v>40</v>
      </c>
      <c r="B27" s="1">
        <v>15</v>
      </c>
      <c r="C27" s="1">
        <v>15.3</v>
      </c>
      <c r="D27" s="1">
        <v>15.1</v>
      </c>
      <c r="E27" s="1">
        <f t="shared" si="5"/>
        <v>15.133333333333333</v>
      </c>
      <c r="F27" s="2">
        <f t="shared" si="6"/>
        <v>0.74222719896855904</v>
      </c>
      <c r="G27">
        <f t="shared" si="7"/>
        <v>9.0716896366719713</v>
      </c>
      <c r="I27">
        <f t="shared" si="8"/>
        <v>4.7288348512880734E-3</v>
      </c>
      <c r="K27">
        <f t="shared" si="9"/>
        <v>-12.037578862164969</v>
      </c>
      <c r="L27">
        <f t="shared" si="10"/>
        <v>144.90330486284086</v>
      </c>
    </row>
    <row r="28" spans="1:14" x14ac:dyDescent="0.45">
      <c r="A28">
        <v>50</v>
      </c>
      <c r="B28" s="1">
        <v>18.600000000000001</v>
      </c>
      <c r="C28" s="1">
        <v>18.399999999999999</v>
      </c>
      <c r="D28" s="1">
        <v>18.600000000000001</v>
      </c>
      <c r="E28" s="1">
        <f t="shared" si="5"/>
        <v>18.533333333333335</v>
      </c>
      <c r="F28" s="2">
        <f t="shared" si="6"/>
        <v>0.81520746909590458</v>
      </c>
      <c r="G28">
        <f t="shared" si="7"/>
        <v>11.10982255063792</v>
      </c>
      <c r="I28">
        <f t="shared" si="8"/>
        <v>1.775565469494493E-5</v>
      </c>
      <c r="K28">
        <f t="shared" si="9"/>
        <v>-9.9994459481990194</v>
      </c>
      <c r="L28">
        <f t="shared" si="10"/>
        <v>99.988919270953787</v>
      </c>
    </row>
    <row r="29" spans="1:14" x14ac:dyDescent="0.45">
      <c r="A29">
        <v>60</v>
      </c>
      <c r="B29" s="1">
        <v>23.6</v>
      </c>
      <c r="C29" s="1">
        <v>23.6</v>
      </c>
      <c r="D29" s="1">
        <v>23.6</v>
      </c>
      <c r="E29" s="1">
        <f t="shared" si="5"/>
        <v>23.600000000000005</v>
      </c>
      <c r="F29" s="2">
        <f t="shared" si="6"/>
        <v>0.87938524157181674</v>
      </c>
      <c r="G29">
        <f t="shared" si="7"/>
        <v>14.147040226351889</v>
      </c>
      <c r="I29">
        <f t="shared" si="8"/>
        <v>4.6773997887682786E-3</v>
      </c>
      <c r="K29">
        <f t="shared" si="9"/>
        <v>-6.9622282724850511</v>
      </c>
      <c r="L29">
        <f t="shared" si="10"/>
        <v>48.472622518190178</v>
      </c>
      <c r="N29">
        <f>1/J13*L34/(99)</f>
        <v>4.4035756995262032</v>
      </c>
    </row>
    <row r="30" spans="1:14" x14ac:dyDescent="0.45">
      <c r="A30">
        <v>70</v>
      </c>
      <c r="B30" s="1">
        <v>29</v>
      </c>
      <c r="C30" s="1">
        <v>28</v>
      </c>
      <c r="D30" s="1">
        <v>30</v>
      </c>
      <c r="E30" s="1">
        <f t="shared" si="5"/>
        <v>29</v>
      </c>
      <c r="F30" s="2">
        <f t="shared" si="6"/>
        <v>0.93969262078590832</v>
      </c>
      <c r="G30">
        <f t="shared" si="7"/>
        <v>17.384074854415452</v>
      </c>
      <c r="I30">
        <f t="shared" si="8"/>
        <v>1.6563406246538098E-2</v>
      </c>
      <c r="K30">
        <f t="shared" si="9"/>
        <v>-3.7251936444214877</v>
      </c>
      <c r="L30">
        <f t="shared" si="10"/>
        <v>13.877067688438245</v>
      </c>
    </row>
    <row r="31" spans="1:14" x14ac:dyDescent="0.45">
      <c r="A31">
        <v>80</v>
      </c>
      <c r="B31" s="1">
        <v>39</v>
      </c>
      <c r="C31" s="1">
        <v>38</v>
      </c>
      <c r="D31" s="1">
        <v>40</v>
      </c>
      <c r="E31" s="1">
        <f t="shared" si="5"/>
        <v>39</v>
      </c>
      <c r="F31" s="2">
        <f t="shared" si="6"/>
        <v>1</v>
      </c>
      <c r="G31">
        <f t="shared" si="7"/>
        <v>23.378583424903539</v>
      </c>
      <c r="I31">
        <f t="shared" si="8"/>
        <v>3.5723372679652449E-2</v>
      </c>
      <c r="K31">
        <f t="shared" si="9"/>
        <v>2.269314926066599</v>
      </c>
      <c r="L31">
        <f t="shared" si="10"/>
        <v>5.1497902336686536</v>
      </c>
    </row>
    <row r="32" spans="1:14" x14ac:dyDescent="0.45">
      <c r="A32">
        <v>90</v>
      </c>
      <c r="B32" s="1">
        <v>61</v>
      </c>
      <c r="C32" s="1">
        <v>60</v>
      </c>
      <c r="D32" s="1">
        <v>59</v>
      </c>
      <c r="E32" s="1">
        <f t="shared" si="5"/>
        <v>60</v>
      </c>
      <c r="F32" s="2">
        <f t="shared" si="6"/>
        <v>1.0641777724759123</v>
      </c>
      <c r="G32">
        <f t="shared" si="7"/>
        <v>35.967051422928527</v>
      </c>
      <c r="I32">
        <f t="shared" si="8"/>
        <v>6.4102162820947842E-2</v>
      </c>
      <c r="K32">
        <f t="shared" si="9"/>
        <v>14.857782924091588</v>
      </c>
      <c r="L32">
        <f t="shared" si="10"/>
        <v>220.75371341942756</v>
      </c>
    </row>
    <row r="33" spans="1:12" x14ac:dyDescent="0.45">
      <c r="A33">
        <v>100</v>
      </c>
      <c r="B33" s="1">
        <v>107</v>
      </c>
      <c r="C33" s="1">
        <v>103</v>
      </c>
      <c r="D33" s="1">
        <v>105</v>
      </c>
      <c r="E33" s="1">
        <f t="shared" si="5"/>
        <v>105</v>
      </c>
      <c r="F33" s="2">
        <f t="shared" si="6"/>
        <v>1.1371580426032577</v>
      </c>
      <c r="G33">
        <f t="shared" si="7"/>
        <v>62.942339990124914</v>
      </c>
      <c r="I33">
        <f t="shared" si="8"/>
        <v>0.10638316326879554</v>
      </c>
      <c r="K33">
        <f t="shared" si="9"/>
        <v>41.833071491287974</v>
      </c>
      <c r="L33">
        <f t="shared" si="10"/>
        <v>1750.0058703952106</v>
      </c>
    </row>
    <row r="34" spans="1:12" x14ac:dyDescent="0.45">
      <c r="F34" s="2">
        <f>AVERAGE(F24:F33)</f>
        <v>0.81099372317393148</v>
      </c>
      <c r="I34">
        <f>SUM(I24:I33)</f>
        <v>0.55005500127278117</v>
      </c>
      <c r="L34">
        <f>SUM(L24:L33)</f>
        <v>3107.1152610489517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Vyacheslav Kulagin</dc:creator>
  <cp:lastModifiedBy>Vyacheslav Kulagin</cp:lastModifiedBy>
  <dcterms:created xsi:type="dcterms:W3CDTF">2025-05-01T14:25:18Z</dcterms:created>
  <dcterms:modified xsi:type="dcterms:W3CDTF">2025-05-01T14:58:55Z</dcterms:modified>
</cp:coreProperties>
</file>