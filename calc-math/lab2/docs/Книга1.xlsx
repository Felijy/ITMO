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calc-math\lab2\docs\"/>
    </mc:Choice>
  </mc:AlternateContent>
  <xr:revisionPtr revIDLastSave="0" documentId="13_ncr:1_{53FA5755-032D-45F6-B211-CD2CEE1EFCA0}" xr6:coauthVersionLast="47" xr6:coauthVersionMax="47" xr10:uidLastSave="{00000000-0000-0000-0000-000000000000}"/>
  <bookViews>
    <workbookView xWindow="-98" yWindow="-98" windowWidth="24196" windowHeight="14476" xr2:uid="{B484C89D-7016-4B3E-91B7-B243D801D3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19" i="1"/>
  <c r="S2" i="1"/>
  <c r="U2" i="1" s="1"/>
  <c r="L2" i="1"/>
  <c r="M2" i="1"/>
  <c r="K4" i="1"/>
  <c r="L4" i="1" s="1"/>
  <c r="L3" i="1"/>
  <c r="M3" i="1"/>
  <c r="N3" i="1"/>
  <c r="O3" i="1" s="1"/>
  <c r="K3" i="1"/>
  <c r="O2" i="1"/>
  <c r="N2" i="1"/>
  <c r="E3" i="1"/>
  <c r="F3" i="1"/>
  <c r="G3" i="1"/>
  <c r="H3" i="1"/>
  <c r="E4" i="1"/>
  <c r="F4" i="1"/>
  <c r="H4" i="1"/>
  <c r="E5" i="1"/>
  <c r="F5" i="1"/>
  <c r="G5" i="1"/>
  <c r="H5" i="1"/>
  <c r="E6" i="1"/>
  <c r="F6" i="1"/>
  <c r="H6" i="1"/>
  <c r="E7" i="1"/>
  <c r="F7" i="1"/>
  <c r="H7" i="1"/>
  <c r="E8" i="1"/>
  <c r="F8" i="1"/>
  <c r="H8" i="1"/>
  <c r="E9" i="1"/>
  <c r="F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D3" i="1"/>
  <c r="D4" i="1"/>
  <c r="G4" i="1" s="1"/>
  <c r="D5" i="1"/>
  <c r="D6" i="1"/>
  <c r="G6" i="1" s="1"/>
  <c r="D7" i="1"/>
  <c r="G7" i="1" s="1"/>
  <c r="D8" i="1"/>
  <c r="G8" i="1" s="1"/>
  <c r="D9" i="1"/>
  <c r="G9" i="1" s="1"/>
  <c r="D10" i="1"/>
  <c r="D11" i="1"/>
  <c r="D12" i="1"/>
  <c r="D13" i="1"/>
  <c r="D14" i="1"/>
  <c r="D15" i="1"/>
  <c r="D16" i="1"/>
  <c r="D17" i="1"/>
  <c r="D18" i="1"/>
  <c r="D2" i="1"/>
  <c r="G2" i="1" s="1"/>
  <c r="H2" i="1"/>
  <c r="F2" i="1"/>
  <c r="E2" i="1"/>
  <c r="T2" i="1" l="1"/>
  <c r="V2" i="1"/>
  <c r="S3" i="1"/>
  <c r="R3" i="1"/>
  <c r="M4" i="1"/>
  <c r="N4" i="1" s="1"/>
  <c r="R4" i="1" l="1"/>
  <c r="T3" i="1"/>
  <c r="U3" i="1"/>
  <c r="V3" i="1"/>
  <c r="S4" i="1"/>
  <c r="K5" i="1"/>
  <c r="O4" i="1"/>
  <c r="V4" i="1" l="1"/>
  <c r="T4" i="1"/>
  <c r="S5" i="1" s="1"/>
  <c r="U4" i="1"/>
  <c r="R5" i="1"/>
  <c r="L5" i="1"/>
  <c r="M5" i="1"/>
  <c r="N5" i="1" s="1"/>
  <c r="R6" i="1" l="1"/>
  <c r="T5" i="1"/>
  <c r="U5" i="1"/>
  <c r="V5" i="1"/>
  <c r="S6" i="1"/>
  <c r="R7" i="1"/>
  <c r="U6" i="1"/>
  <c r="V6" i="1"/>
  <c r="K6" i="1"/>
  <c r="O5" i="1"/>
  <c r="T6" i="1" l="1"/>
  <c r="S7" i="1" s="1"/>
  <c r="L6" i="1"/>
  <c r="N6" i="1" s="1"/>
  <c r="M6" i="1"/>
  <c r="T7" i="1" l="1"/>
  <c r="S8" i="1" s="1"/>
  <c r="T8" i="1" s="1"/>
  <c r="S9" i="1" s="1"/>
  <c r="T9" i="1" s="1"/>
  <c r="V7" i="1"/>
  <c r="U7" i="1"/>
  <c r="R8" i="1"/>
  <c r="U8" i="1"/>
  <c r="R9" i="1"/>
  <c r="V8" i="1"/>
  <c r="O6" i="1"/>
  <c r="K7" i="1"/>
  <c r="R10" i="1" l="1"/>
  <c r="U9" i="1"/>
  <c r="V9" i="1"/>
  <c r="S10" i="1"/>
  <c r="T10" i="1" s="1"/>
  <c r="L7" i="1"/>
  <c r="M7" i="1"/>
  <c r="N7" i="1"/>
  <c r="S11" i="1" l="1"/>
  <c r="T11" i="1" s="1"/>
  <c r="U10" i="1"/>
  <c r="V10" i="1"/>
  <c r="R11" i="1"/>
  <c r="O7" i="1"/>
  <c r="K8" i="1"/>
  <c r="R12" i="1" l="1"/>
  <c r="S12" i="1"/>
  <c r="T12" i="1" s="1"/>
  <c r="V11" i="1"/>
  <c r="U11" i="1"/>
  <c r="L8" i="1"/>
  <c r="M8" i="1"/>
  <c r="N8" i="1"/>
  <c r="U12" i="1" l="1"/>
  <c r="S13" i="1"/>
  <c r="V12" i="1"/>
  <c r="R13" i="1"/>
  <c r="K9" i="1"/>
  <c r="O8" i="1"/>
  <c r="V13" i="1" l="1"/>
  <c r="T13" i="1"/>
  <c r="U13" i="1"/>
  <c r="L9" i="1"/>
  <c r="M9" i="1"/>
  <c r="N9" i="1"/>
  <c r="O9" i="1" s="1"/>
</calcChain>
</file>

<file path=xl/sharedStrings.xml><?xml version="1.0" encoding="utf-8"?>
<sst xmlns="http://schemas.openxmlformats.org/spreadsheetml/2006/main" count="18" uniqueCount="15">
  <si>
    <t>#</t>
  </si>
  <si>
    <t>a</t>
  </si>
  <si>
    <t>b</t>
  </si>
  <si>
    <t>x</t>
  </si>
  <si>
    <t>f(a)</t>
  </si>
  <si>
    <t>f(b)</t>
  </si>
  <si>
    <t>f(x)</t>
  </si>
  <si>
    <t>|a-b|</t>
  </si>
  <si>
    <t>x_i</t>
  </si>
  <si>
    <t>f(x_i)</t>
  </si>
  <si>
    <t>f'(x_i)</t>
  </si>
  <si>
    <t>x_i+1</t>
  </si>
  <si>
    <t>|x|</t>
  </si>
  <si>
    <t>phi (x_i+1)</t>
  </si>
  <si>
    <t>f(x_i+1)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</si>
</sst>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E548-5F61-40D5-B7D3-EEE7FA6F483C}">
  <dimension ref="A1:V20"/>
  <sheetViews>
    <sheetView tabSelected="1" workbookViewId="0">
      <selection activeCell="R19" sqref="R19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R1" t="s">
        <v>8</v>
      </c>
      <c r="S1" t="s">
        <v>11</v>
      </c>
      <c r="T1" t="s">
        <v>13</v>
      </c>
      <c r="U1" t="s">
        <v>14</v>
      </c>
      <c r="V1" t="s">
        <v>12</v>
      </c>
    </row>
    <row r="2" spans="1:22" x14ac:dyDescent="0.45">
      <c r="A2">
        <v>1</v>
      </c>
      <c r="B2">
        <v>1</v>
      </c>
      <c r="C2">
        <v>2</v>
      </c>
      <c r="D2">
        <f>AVERAGE(B2:C2)</f>
        <v>1.5</v>
      </c>
      <c r="E2">
        <f>B2*B2*B2+2.28*(B2*B2)-1.934*B2-3.907</f>
        <v>-2.5609999999999999</v>
      </c>
      <c r="F2">
        <f t="shared" ref="F2:G2" si="0">C2*C2*C2+2.28*(C2*C2)-1.934*C2-3.907</f>
        <v>9.3449999999999971</v>
      </c>
      <c r="G2">
        <f t="shared" si="0"/>
        <v>1.6969999999999992</v>
      </c>
      <c r="H2">
        <f>ABS(B2-C2)</f>
        <v>1</v>
      </c>
      <c r="J2">
        <v>0</v>
      </c>
      <c r="K2">
        <v>-1</v>
      </c>
      <c r="L2">
        <f>K2*K2*K2+2.28*(K2*K2)-1.934*K2-3.907</f>
        <v>-0.6930000000000005</v>
      </c>
      <c r="M2">
        <f>2*(K2*K2)+4.56*K2-1.934</f>
        <v>-4.4939999999999998</v>
      </c>
      <c r="N2">
        <f>K2-(L2/M2)</f>
        <v>-1.1542056074766356</v>
      </c>
      <c r="O2">
        <f>ABS(N2-K2)</f>
        <v>0.15420560747663559</v>
      </c>
      <c r="Q2">
        <v>0</v>
      </c>
      <c r="R2">
        <v>-2</v>
      </c>
      <c r="S2">
        <f>R2-(1/3.667)*(R2*R2*R2+2.28*R2*R2-1.934*R2-3.907)</f>
        <v>-2.2947913826015816</v>
      </c>
      <c r="T2">
        <f>S2-(1/3.667)*(S2*S2*S2+2.28*S2*S2-1.934*S2-3.907)</f>
        <v>-2.418389450478895</v>
      </c>
      <c r="U2">
        <f>S2*S2*S2+2.28*(S2*S2)-1.934*S2-3.907</f>
        <v>0.45323411490610876</v>
      </c>
      <c r="V2">
        <f>ABS(S2-R2)</f>
        <v>0.29479138260158155</v>
      </c>
    </row>
    <row r="3" spans="1:22" x14ac:dyDescent="0.45">
      <c r="A3">
        <v>2</v>
      </c>
      <c r="B3">
        <v>1</v>
      </c>
      <c r="C3">
        <v>1.5</v>
      </c>
      <c r="D3">
        <f t="shared" ref="D3:D18" si="1">AVERAGE(B3:C3)</f>
        <v>1.25</v>
      </c>
      <c r="E3">
        <f t="shared" ref="E3:E18" si="2">B3*B3*B3+2.28*(B3*B3)-1.934*B3-3.907</f>
        <v>-2.5609999999999999</v>
      </c>
      <c r="F3">
        <f t="shared" ref="F3:F18" si="3">C3*C3*C3+2.28*(C3*C3)-1.934*C3-3.907</f>
        <v>1.6969999999999992</v>
      </c>
      <c r="G3">
        <f t="shared" ref="G3:G18" si="4">D3*D3*D3+2.28*(D3*D3)-1.934*D3-3.907</f>
        <v>-0.80887500000000001</v>
      </c>
      <c r="H3">
        <f t="shared" ref="H3:H18" si="5">ABS(B3-C3)</f>
        <v>0.5</v>
      </c>
      <c r="J3">
        <v>1</v>
      </c>
      <c r="K3">
        <f>N2</f>
        <v>-1.1542056074766356</v>
      </c>
      <c r="L3">
        <f>K3*K3*K3+2.28*(K3*K3)-1.934*K3-3.907</f>
        <v>-0.17499366552847562</v>
      </c>
      <c r="M3">
        <f>2*(K3*K3)+4.56*K3-1.934</f>
        <v>-4.5327964014324387</v>
      </c>
      <c r="N3">
        <f>K3-(L3/M3)</f>
        <v>-1.1928117238848588</v>
      </c>
      <c r="O3">
        <f>ABS(N3-K3)</f>
        <v>3.8606116408223201E-2</v>
      </c>
      <c r="Q3">
        <v>1</v>
      </c>
      <c r="R3">
        <f>S2</f>
        <v>-2.2947913826015816</v>
      </c>
      <c r="S3">
        <f>T2</f>
        <v>-2.418389450478895</v>
      </c>
      <c r="T3">
        <f t="shared" ref="T3:T12" si="6">S3-(1/3.667)*(S3*S3*S3+2.28*S3*S3-1.934*S3-3.907)</f>
        <v>-2.4076939540249089</v>
      </c>
      <c r="U3">
        <f t="shared" ref="U3:U13" si="7">S3*S3*S3+2.28*(S3*S3)-1.934*S3-3.907</f>
        <v>-3.9220385496768984E-2</v>
      </c>
      <c r="V3">
        <f t="shared" ref="V3:V13" si="8">ABS(S3-R3)</f>
        <v>0.12359806787731342</v>
      </c>
    </row>
    <row r="4" spans="1:22" x14ac:dyDescent="0.45">
      <c r="A4">
        <v>3</v>
      </c>
      <c r="B4">
        <v>1.25</v>
      </c>
      <c r="C4">
        <v>1.5</v>
      </c>
      <c r="D4">
        <f t="shared" si="1"/>
        <v>1.375</v>
      </c>
      <c r="E4">
        <f t="shared" si="2"/>
        <v>-0.80887500000000001</v>
      </c>
      <c r="F4">
        <f t="shared" si="3"/>
        <v>1.6969999999999992</v>
      </c>
      <c r="G4">
        <f t="shared" si="4"/>
        <v>0.34398437499999979</v>
      </c>
      <c r="H4">
        <f t="shared" si="5"/>
        <v>0.25</v>
      </c>
      <c r="J4">
        <v>2</v>
      </c>
      <c r="K4">
        <f t="shared" ref="K4:K9" si="9">N3</f>
        <v>-1.1928117238848588</v>
      </c>
      <c r="L4">
        <f t="shared" ref="L4:L9" si="10">K4*K4*K4+2.28*(K4*K4)-1.934*K4-3.907</f>
        <v>-5.3250854797486813E-2</v>
      </c>
      <c r="M4">
        <f t="shared" ref="M4:M9" si="11">2*(K4*K4)+4.56*K4-1.934</f>
        <v>-4.5276218436406186</v>
      </c>
      <c r="N4">
        <f t="shared" ref="N4:N9" si="12">K4-(L4/M4)</f>
        <v>-1.2045730539244428</v>
      </c>
      <c r="O4">
        <f t="shared" ref="O4:O9" si="13">ABS(N4-K4)</f>
        <v>1.1761330039584017E-2</v>
      </c>
      <c r="Q4">
        <v>2</v>
      </c>
      <c r="R4">
        <f t="shared" ref="R4:S13" si="14">S3</f>
        <v>-2.418389450478895</v>
      </c>
      <c r="S4">
        <f t="shared" si="14"/>
        <v>-2.4076939540249089</v>
      </c>
      <c r="T4">
        <f t="shared" si="6"/>
        <v>-2.4102135913402889</v>
      </c>
      <c r="U4">
        <f t="shared" si="7"/>
        <v>9.2395100354982773E-3</v>
      </c>
      <c r="V4">
        <f t="shared" si="8"/>
        <v>1.0695496453986042E-2</v>
      </c>
    </row>
    <row r="5" spans="1:22" x14ac:dyDescent="0.45">
      <c r="A5">
        <v>4</v>
      </c>
      <c r="B5">
        <v>1.25</v>
      </c>
      <c r="C5">
        <v>1.375</v>
      </c>
      <c r="D5">
        <f t="shared" si="1"/>
        <v>1.3125</v>
      </c>
      <c r="E5">
        <f t="shared" si="2"/>
        <v>-0.80887500000000001</v>
      </c>
      <c r="F5">
        <f t="shared" si="3"/>
        <v>0.34398437499999979</v>
      </c>
      <c r="G5">
        <f t="shared" si="4"/>
        <v>-0.25673242187499978</v>
      </c>
      <c r="H5">
        <f t="shared" si="5"/>
        <v>0.125</v>
      </c>
      <c r="J5">
        <v>3</v>
      </c>
      <c r="K5">
        <f t="shared" si="9"/>
        <v>-1.2045730539244428</v>
      </c>
      <c r="L5">
        <f t="shared" si="10"/>
        <v>-1.6915256149932389E-2</v>
      </c>
      <c r="M5">
        <f t="shared" si="11"/>
        <v>-4.5248606414137411</v>
      </c>
      <c r="N5" s="1">
        <f t="shared" si="12"/>
        <v>-1.2083113472091278</v>
      </c>
      <c r="O5">
        <f t="shared" si="13"/>
        <v>3.7382932846850014E-3</v>
      </c>
      <c r="Q5">
        <v>3</v>
      </c>
      <c r="R5">
        <f t="shared" si="14"/>
        <v>-2.4076939540249089</v>
      </c>
      <c r="S5" s="1">
        <f t="shared" si="14"/>
        <v>-2.4102135913402889</v>
      </c>
      <c r="T5">
        <f t="shared" si="6"/>
        <v>-2.4096478601212477</v>
      </c>
      <c r="U5">
        <f t="shared" si="7"/>
        <v>-2.0745363802241457E-3</v>
      </c>
      <c r="V5">
        <f t="shared" si="8"/>
        <v>2.5196373153799634E-3</v>
      </c>
    </row>
    <row r="6" spans="1:22" x14ac:dyDescent="0.45">
      <c r="A6">
        <v>5</v>
      </c>
      <c r="B6">
        <v>1.3125</v>
      </c>
      <c r="C6">
        <v>1.375</v>
      </c>
      <c r="D6">
        <f t="shared" si="1"/>
        <v>1.34375</v>
      </c>
      <c r="E6">
        <f t="shared" si="2"/>
        <v>-0.25673242187499978</v>
      </c>
      <c r="F6">
        <f t="shared" si="3"/>
        <v>0.34398437499999979</v>
      </c>
      <c r="G6">
        <f t="shared" si="4"/>
        <v>3.7462646484374584E-2</v>
      </c>
      <c r="H6">
        <f t="shared" si="5"/>
        <v>6.25E-2</v>
      </c>
      <c r="J6">
        <v>4</v>
      </c>
      <c r="K6">
        <f t="shared" si="9"/>
        <v>-1.2083113472091278</v>
      </c>
      <c r="L6">
        <f t="shared" si="10"/>
        <v>-5.4429402579758701E-3</v>
      </c>
      <c r="M6">
        <f t="shared" si="11"/>
        <v>-4.5238671196849474</v>
      </c>
      <c r="N6">
        <f t="shared" si="12"/>
        <v>-1.2095145081583722</v>
      </c>
      <c r="O6">
        <f t="shared" si="13"/>
        <v>1.2031609492444417E-3</v>
      </c>
      <c r="Q6">
        <v>4</v>
      </c>
      <c r="R6">
        <f t="shared" si="14"/>
        <v>-2.4102135913402889</v>
      </c>
      <c r="S6">
        <f t="shared" si="14"/>
        <v>-2.4096478601212477</v>
      </c>
      <c r="T6">
        <f t="shared" si="6"/>
        <v>-2.4097763744882013</v>
      </c>
      <c r="U6">
        <f t="shared" si="7"/>
        <v>4.7126218362070205E-4</v>
      </c>
      <c r="V6">
        <f t="shared" si="8"/>
        <v>5.6573121904124335E-4</v>
      </c>
    </row>
    <row r="7" spans="1:22" x14ac:dyDescent="0.45">
      <c r="A7">
        <v>6</v>
      </c>
      <c r="B7">
        <v>1.3125</v>
      </c>
      <c r="C7">
        <v>1.34375</v>
      </c>
      <c r="D7">
        <f t="shared" si="1"/>
        <v>1.328125</v>
      </c>
      <c r="E7">
        <f t="shared" si="2"/>
        <v>-0.25673242187499978</v>
      </c>
      <c r="F7">
        <f t="shared" si="3"/>
        <v>3.7462646484374584E-2</v>
      </c>
      <c r="G7">
        <f t="shared" si="4"/>
        <v>-0.11116427612304669</v>
      </c>
      <c r="H7">
        <f t="shared" si="5"/>
        <v>3.125E-2</v>
      </c>
      <c r="K7">
        <f t="shared" si="9"/>
        <v>-1.2095145081583722</v>
      </c>
      <c r="L7">
        <f t="shared" si="10"/>
        <v>-1.7585832748041597E-3</v>
      </c>
      <c r="M7">
        <f t="shared" si="11"/>
        <v>-4.5235354663109986</v>
      </c>
      <c r="N7">
        <f t="shared" si="12"/>
        <v>-1.2099032711708215</v>
      </c>
      <c r="O7">
        <f t="shared" si="13"/>
        <v>3.8876301244927802E-4</v>
      </c>
      <c r="Q7">
        <v>5</v>
      </c>
      <c r="R7">
        <f t="shared" si="14"/>
        <v>-2.4096478601212477</v>
      </c>
      <c r="S7">
        <f t="shared" si="14"/>
        <v>-2.4097763744882013</v>
      </c>
      <c r="T7">
        <f t="shared" si="6"/>
        <v>-2.4097472563564062</v>
      </c>
      <c r="U7">
        <f t="shared" si="7"/>
        <v>-1.0677618929477717E-4</v>
      </c>
      <c r="V7">
        <f t="shared" si="8"/>
        <v>1.2851436695360263E-4</v>
      </c>
    </row>
    <row r="8" spans="1:22" x14ac:dyDescent="0.45">
      <c r="A8">
        <v>7</v>
      </c>
      <c r="B8">
        <v>1.328125</v>
      </c>
      <c r="C8">
        <v>1.34375</v>
      </c>
      <c r="D8">
        <f t="shared" si="1"/>
        <v>1.3359375</v>
      </c>
      <c r="E8">
        <f t="shared" si="2"/>
        <v>-0.11116427612304669</v>
      </c>
      <c r="F8">
        <f t="shared" si="3"/>
        <v>3.7462646484374584E-2</v>
      </c>
      <c r="G8">
        <f t="shared" si="4"/>
        <v>-3.7234592437744407E-2</v>
      </c>
      <c r="H8">
        <f t="shared" si="5"/>
        <v>1.5625E-2</v>
      </c>
      <c r="K8">
        <f t="shared" si="9"/>
        <v>-1.2099032711708215</v>
      </c>
      <c r="L8">
        <f t="shared" si="10"/>
        <v>-5.6893513743094815E-4</v>
      </c>
      <c r="M8">
        <f t="shared" si="11"/>
        <v>-4.5234270653592361</v>
      </c>
      <c r="N8">
        <f t="shared" si="12"/>
        <v>-1.210029046413621</v>
      </c>
      <c r="O8">
        <f t="shared" si="13"/>
        <v>1.2577524279944186E-4</v>
      </c>
      <c r="Q8">
        <v>6</v>
      </c>
      <c r="R8">
        <f t="shared" si="14"/>
        <v>-2.4097763744882013</v>
      </c>
      <c r="S8">
        <f t="shared" si="14"/>
        <v>-2.4097472563564062</v>
      </c>
      <c r="T8">
        <f t="shared" si="6"/>
        <v>-2.4097538577008528</v>
      </c>
      <c r="U8">
        <f t="shared" si="7"/>
        <v>2.4207130085329709E-5</v>
      </c>
      <c r="V8">
        <f t="shared" si="8"/>
        <v>2.9118131795069502E-5</v>
      </c>
    </row>
    <row r="9" spans="1:22" x14ac:dyDescent="0.45">
      <c r="A9">
        <v>8</v>
      </c>
      <c r="B9">
        <v>1.3359375</v>
      </c>
      <c r="C9">
        <v>1.34375</v>
      </c>
      <c r="D9">
        <f t="shared" si="1"/>
        <v>1.33984375</v>
      </c>
      <c r="E9">
        <f t="shared" si="2"/>
        <v>-3.7234592437744407E-2</v>
      </c>
      <c r="F9">
        <f t="shared" si="3"/>
        <v>3.7462646484374584E-2</v>
      </c>
      <c r="G9">
        <f t="shared" si="4"/>
        <v>1.7903804778729437E-5</v>
      </c>
      <c r="H9">
        <f t="shared" si="5"/>
        <v>7.8125E-3</v>
      </c>
      <c r="K9">
        <f t="shared" si="9"/>
        <v>-1.210029046413621</v>
      </c>
      <c r="L9">
        <f t="shared" si="10"/>
        <v>-1.8413944582151842E-4</v>
      </c>
      <c r="M9">
        <f t="shared" si="11"/>
        <v>-4.523391865316797</v>
      </c>
      <c r="N9">
        <f t="shared" si="12"/>
        <v>-1.2100697546810681</v>
      </c>
      <c r="O9">
        <f t="shared" si="13"/>
        <v>4.0708267447175928E-5</v>
      </c>
      <c r="Q9">
        <v>7</v>
      </c>
      <c r="R9">
        <f t="shared" si="14"/>
        <v>-2.4097472563564062</v>
      </c>
      <c r="S9">
        <f t="shared" si="14"/>
        <v>-2.4097538577008528</v>
      </c>
      <c r="T9">
        <f t="shared" si="6"/>
        <v>-2.4097523613168406</v>
      </c>
      <c r="U9">
        <f t="shared" si="7"/>
        <v>-5.4872401724637143E-6</v>
      </c>
      <c r="V9">
        <f t="shared" si="8"/>
        <v>6.6013444466328508E-6</v>
      </c>
    </row>
    <row r="10" spans="1:22" x14ac:dyDescent="0.45">
      <c r="A10">
        <v>9</v>
      </c>
      <c r="D10" t="e">
        <f t="shared" si="1"/>
        <v>#DIV/0!</v>
      </c>
      <c r="E10">
        <f t="shared" si="2"/>
        <v>-3.907</v>
      </c>
      <c r="F10">
        <f t="shared" si="3"/>
        <v>-3.907</v>
      </c>
      <c r="G10" t="e">
        <f t="shared" si="4"/>
        <v>#DIV/0!</v>
      </c>
      <c r="H10">
        <f t="shared" si="5"/>
        <v>0</v>
      </c>
      <c r="Q10">
        <v>8</v>
      </c>
      <c r="R10">
        <f t="shared" si="14"/>
        <v>-2.4097538577008528</v>
      </c>
      <c r="S10">
        <f t="shared" si="14"/>
        <v>-2.4097523613168406</v>
      </c>
      <c r="T10">
        <f t="shared" si="6"/>
        <v>-2.4097527005254959</v>
      </c>
      <c r="U10">
        <f t="shared" si="7"/>
        <v>1.2438781400447851E-6</v>
      </c>
      <c r="V10">
        <f t="shared" si="8"/>
        <v>1.4963840122561578E-6</v>
      </c>
    </row>
    <row r="11" spans="1:22" x14ac:dyDescent="0.45">
      <c r="A11">
        <v>10</v>
      </c>
      <c r="D11" t="e">
        <f t="shared" si="1"/>
        <v>#DIV/0!</v>
      </c>
      <c r="E11">
        <f t="shared" si="2"/>
        <v>-3.907</v>
      </c>
      <c r="F11">
        <f t="shared" si="3"/>
        <v>-3.907</v>
      </c>
      <c r="G11" t="e">
        <f t="shared" si="4"/>
        <v>#DIV/0!</v>
      </c>
      <c r="H11">
        <f t="shared" si="5"/>
        <v>0</v>
      </c>
      <c r="R11">
        <f t="shared" si="14"/>
        <v>-2.4097523613168406</v>
      </c>
      <c r="S11">
        <f t="shared" si="14"/>
        <v>-2.4097527005254959</v>
      </c>
      <c r="T11">
        <f t="shared" si="6"/>
        <v>-2.4097526236323201</v>
      </c>
      <c r="U11">
        <f t="shared" si="7"/>
        <v>-2.8196727530627186E-7</v>
      </c>
      <c r="V11">
        <f t="shared" si="8"/>
        <v>3.392086553866136E-7</v>
      </c>
    </row>
    <row r="12" spans="1:22" x14ac:dyDescent="0.45">
      <c r="A12">
        <v>11</v>
      </c>
      <c r="D12" t="e">
        <f t="shared" si="1"/>
        <v>#DIV/0!</v>
      </c>
      <c r="E12">
        <f t="shared" si="2"/>
        <v>-3.907</v>
      </c>
      <c r="F12">
        <f t="shared" si="3"/>
        <v>-3.907</v>
      </c>
      <c r="G12" t="e">
        <f t="shared" si="4"/>
        <v>#DIV/0!</v>
      </c>
      <c r="H12">
        <f t="shared" si="5"/>
        <v>0</v>
      </c>
      <c r="R12">
        <f t="shared" si="14"/>
        <v>-2.4097527005254959</v>
      </c>
      <c r="S12">
        <f t="shared" si="14"/>
        <v>-2.4097526236323201</v>
      </c>
      <c r="T12">
        <f t="shared" si="6"/>
        <v>-2.4097526410628007</v>
      </c>
      <c r="U12">
        <f t="shared" si="7"/>
        <v>6.3917569903537697E-8</v>
      </c>
      <c r="V12">
        <f t="shared" si="8"/>
        <v>7.6893175826597826E-8</v>
      </c>
    </row>
    <row r="13" spans="1:22" x14ac:dyDescent="0.45">
      <c r="A13">
        <v>12</v>
      </c>
      <c r="D13" t="e">
        <f t="shared" si="1"/>
        <v>#DIV/0!</v>
      </c>
      <c r="E13">
        <f t="shared" si="2"/>
        <v>-3.907</v>
      </c>
      <c r="F13">
        <f t="shared" si="3"/>
        <v>-3.907</v>
      </c>
      <c r="G13" t="e">
        <f t="shared" si="4"/>
        <v>#DIV/0!</v>
      </c>
      <c r="H13">
        <f t="shared" si="5"/>
        <v>0</v>
      </c>
      <c r="R13">
        <f t="shared" si="14"/>
        <v>-2.4097526236323201</v>
      </c>
      <c r="S13">
        <f t="shared" si="14"/>
        <v>-2.4097526410628007</v>
      </c>
      <c r="T13">
        <f t="shared" ref="T3:T13" si="15">S13+(1/3.667)*(S13*S13*S13+2.28*S13*S13-1.934*S13-3.907)</f>
        <v>-2.409752645014017</v>
      </c>
      <c r="U13">
        <f t="shared" si="7"/>
        <v>-1.4489110355953017E-8</v>
      </c>
      <c r="V13">
        <f t="shared" si="8"/>
        <v>1.7430480614422095E-8</v>
      </c>
    </row>
    <row r="14" spans="1:22" x14ac:dyDescent="0.45">
      <c r="A14">
        <v>13</v>
      </c>
      <c r="D14" t="e">
        <f t="shared" si="1"/>
        <v>#DIV/0!</v>
      </c>
      <c r="E14">
        <f t="shared" si="2"/>
        <v>-3.907</v>
      </c>
      <c r="F14">
        <f t="shared" si="3"/>
        <v>-3.907</v>
      </c>
      <c r="G14" t="e">
        <f t="shared" si="4"/>
        <v>#DIV/0!</v>
      </c>
      <c r="H14">
        <f t="shared" si="5"/>
        <v>0</v>
      </c>
    </row>
    <row r="15" spans="1:22" x14ac:dyDescent="0.45">
      <c r="A15">
        <v>14</v>
      </c>
      <c r="D15" t="e">
        <f t="shared" si="1"/>
        <v>#DIV/0!</v>
      </c>
      <c r="E15">
        <f t="shared" si="2"/>
        <v>-3.907</v>
      </c>
      <c r="F15">
        <f t="shared" si="3"/>
        <v>-3.907</v>
      </c>
      <c r="G15" t="e">
        <f t="shared" si="4"/>
        <v>#DIV/0!</v>
      </c>
      <c r="H15">
        <f t="shared" si="5"/>
        <v>0</v>
      </c>
    </row>
    <row r="16" spans="1:22" x14ac:dyDescent="0.45">
      <c r="A16">
        <v>15</v>
      </c>
      <c r="D16" t="e">
        <f t="shared" si="1"/>
        <v>#DIV/0!</v>
      </c>
      <c r="E16">
        <f t="shared" si="2"/>
        <v>-3.907</v>
      </c>
      <c r="F16">
        <f t="shared" si="3"/>
        <v>-3.907</v>
      </c>
      <c r="G16" t="e">
        <f t="shared" si="4"/>
        <v>#DIV/0!</v>
      </c>
      <c r="H16">
        <f t="shared" si="5"/>
        <v>0</v>
      </c>
    </row>
    <row r="17" spans="1:18" x14ac:dyDescent="0.45">
      <c r="A17">
        <v>16</v>
      </c>
      <c r="D17" t="e">
        <f t="shared" si="1"/>
        <v>#DIV/0!</v>
      </c>
      <c r="E17">
        <f t="shared" si="2"/>
        <v>-3.907</v>
      </c>
      <c r="F17">
        <f t="shared" si="3"/>
        <v>-3.907</v>
      </c>
      <c r="G17" t="e">
        <f t="shared" si="4"/>
        <v>#DIV/0!</v>
      </c>
      <c r="H17">
        <f t="shared" si="5"/>
        <v>0</v>
      </c>
    </row>
    <row r="18" spans="1:18" x14ac:dyDescent="0.45">
      <c r="A18">
        <v>17</v>
      </c>
      <c r="D18" t="e">
        <f t="shared" si="1"/>
        <v>#DIV/0!</v>
      </c>
      <c r="E18">
        <f t="shared" si="2"/>
        <v>-3.907</v>
      </c>
      <c r="F18">
        <f t="shared" si="3"/>
        <v>-3.907</v>
      </c>
      <c r="G18" t="e">
        <f t="shared" si="4"/>
        <v>#DIV/0!</v>
      </c>
      <c r="H18">
        <f t="shared" si="5"/>
        <v>0</v>
      </c>
    </row>
    <row r="19" spans="1:18" x14ac:dyDescent="0.45">
      <c r="Q19">
        <v>-3</v>
      </c>
      <c r="R19">
        <f>Q19-(1/3.667)*(Q19*Q19*Q19+2.28*Q19*Q19-1.934*Q19-3.907)</f>
        <v>-1.7496591218980091</v>
      </c>
    </row>
    <row r="20" spans="1:18" x14ac:dyDescent="0.45">
      <c r="Q20">
        <v>-1.5</v>
      </c>
      <c r="R20">
        <f>Q20-(1/3.667)*(Q20*Q20*Q20+2.28*Q20*Q20-1.934*Q20-3.907)</f>
        <v>-1.7042541587128441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2025-03-29T21:35:27Z</dcterms:created>
  <dcterms:modified xsi:type="dcterms:W3CDTF">2025-04-14T22:10:22Z</dcterms:modified>
</cp:coreProperties>
</file>