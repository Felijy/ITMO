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ag\Documents\ITMO\calc-math\"/>
    </mc:Choice>
  </mc:AlternateContent>
  <xr:revisionPtr revIDLastSave="0" documentId="13_ncr:1_{A9AB7600-3059-4C32-9E7B-06D38AA5BA55}" xr6:coauthVersionLast="47" xr6:coauthVersionMax="47" xr10:uidLastSave="{00000000-0000-0000-0000-000000000000}"/>
  <bookViews>
    <workbookView xWindow="-60" yWindow="-60" windowWidth="24120" windowHeight="14400" xr2:uid="{751F0E2A-06E0-4531-82CB-760D96BD1BD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M27" i="1"/>
  <c r="C26" i="1"/>
  <c r="D26" i="1"/>
  <c r="E26" i="1"/>
  <c r="F26" i="1"/>
  <c r="G26" i="1"/>
  <c r="H26" i="1"/>
  <c r="I26" i="1"/>
  <c r="J26" i="1"/>
  <c r="K26" i="1"/>
  <c r="L26" i="1"/>
  <c r="B26" i="1"/>
  <c r="L27" i="1"/>
  <c r="L25" i="1"/>
  <c r="D25" i="1"/>
  <c r="C25" i="1"/>
  <c r="C27" i="1" s="1"/>
  <c r="B25" i="1"/>
  <c r="D24" i="1"/>
  <c r="D27" i="1" s="1"/>
  <c r="M9" i="1"/>
  <c r="C9" i="1"/>
  <c r="D9" i="1"/>
  <c r="E9" i="1"/>
  <c r="F9" i="1"/>
  <c r="G9" i="1"/>
  <c r="H9" i="1"/>
  <c r="I9" i="1"/>
  <c r="J9" i="1"/>
  <c r="K9" i="1"/>
  <c r="L9" i="1"/>
  <c r="B9" i="1"/>
  <c r="M7" i="1"/>
  <c r="M8" i="1"/>
  <c r="C8" i="1"/>
  <c r="D8" i="1"/>
  <c r="E8" i="1"/>
  <c r="F8" i="1"/>
  <c r="G8" i="1"/>
  <c r="H8" i="1"/>
  <c r="I8" i="1"/>
  <c r="J8" i="1"/>
  <c r="K8" i="1"/>
  <c r="L8" i="1"/>
  <c r="B8" i="1"/>
  <c r="C7" i="1"/>
  <c r="D7" i="1"/>
  <c r="E7" i="1"/>
  <c r="F7" i="1"/>
  <c r="G7" i="1"/>
  <c r="H7" i="1"/>
  <c r="I7" i="1"/>
  <c r="J7" i="1"/>
  <c r="K7" i="1"/>
  <c r="L7" i="1"/>
  <c r="B7" i="1"/>
  <c r="M18" i="1"/>
  <c r="M17" i="1"/>
  <c r="C17" i="1"/>
  <c r="D17" i="1"/>
  <c r="E17" i="1"/>
  <c r="F17" i="1"/>
  <c r="G17" i="1"/>
  <c r="H17" i="1"/>
  <c r="I17" i="1"/>
  <c r="J17" i="1"/>
  <c r="K17" i="1"/>
  <c r="L17" i="1"/>
  <c r="B17" i="1"/>
  <c r="C16" i="1"/>
  <c r="D16" i="1"/>
  <c r="E16" i="1"/>
  <c r="F16" i="1"/>
  <c r="G16" i="1"/>
  <c r="H16" i="1"/>
  <c r="I16" i="1"/>
  <c r="J16" i="1"/>
  <c r="K16" i="1"/>
  <c r="L16" i="1"/>
  <c r="B16" i="1"/>
  <c r="L15" i="1"/>
  <c r="C15" i="1"/>
  <c r="B15" i="1"/>
  <c r="D14" i="1"/>
  <c r="D15" i="1" s="1"/>
  <c r="M6" i="1"/>
  <c r="C6" i="1"/>
  <c r="D6" i="1"/>
  <c r="E6" i="1"/>
  <c r="F6" i="1"/>
  <c r="G6" i="1"/>
  <c r="H6" i="1"/>
  <c r="I6" i="1"/>
  <c r="J6" i="1"/>
  <c r="K6" i="1"/>
  <c r="L6" i="1"/>
  <c r="B6" i="1"/>
  <c r="M3" i="1"/>
  <c r="M5" i="1"/>
  <c r="C5" i="1"/>
  <c r="D5" i="1"/>
  <c r="E5" i="1"/>
  <c r="F5" i="1"/>
  <c r="G5" i="1"/>
  <c r="H5" i="1"/>
  <c r="I5" i="1"/>
  <c r="J5" i="1"/>
  <c r="K5" i="1"/>
  <c r="L5" i="1"/>
  <c r="B5" i="1"/>
  <c r="M2" i="1"/>
  <c r="C3" i="1"/>
  <c r="D3" i="1"/>
  <c r="E3" i="1"/>
  <c r="F3" i="1"/>
  <c r="G3" i="1"/>
  <c r="H3" i="1"/>
  <c r="I3" i="1"/>
  <c r="J3" i="1"/>
  <c r="K3" i="1"/>
  <c r="L3" i="1"/>
  <c r="B3" i="1"/>
  <c r="E2" i="1"/>
  <c r="F2" i="1"/>
  <c r="G2" i="1"/>
  <c r="H2" i="1"/>
  <c r="I2" i="1"/>
  <c r="J2" i="1"/>
  <c r="K2" i="1"/>
  <c r="D2" i="1"/>
  <c r="B27" i="1" l="1"/>
  <c r="E24" i="1"/>
  <c r="E14" i="1"/>
  <c r="F24" i="1" l="1"/>
  <c r="E25" i="1"/>
  <c r="E15" i="1"/>
  <c r="F14" i="1"/>
  <c r="G24" i="1" l="1"/>
  <c r="F25" i="1"/>
  <c r="F27" i="1"/>
  <c r="E27" i="1"/>
  <c r="F15" i="1"/>
  <c r="G14" i="1"/>
  <c r="H24" i="1" l="1"/>
  <c r="G25" i="1"/>
  <c r="G15" i="1"/>
  <c r="H14" i="1"/>
  <c r="I24" i="1" l="1"/>
  <c r="H25" i="1"/>
  <c r="H27" i="1"/>
  <c r="G27" i="1"/>
  <c r="H15" i="1"/>
  <c r="I14" i="1"/>
  <c r="J24" i="1" l="1"/>
  <c r="I25" i="1"/>
  <c r="I27" i="1"/>
  <c r="I15" i="1"/>
  <c r="J14" i="1"/>
  <c r="J25" i="1" l="1"/>
  <c r="J27" i="1"/>
  <c r="K24" i="1"/>
  <c r="J15" i="1"/>
  <c r="K14" i="1"/>
  <c r="K25" i="1" l="1"/>
  <c r="K27" i="1"/>
  <c r="K15" i="1"/>
</calcChain>
</file>

<file path=xl/sharedStrings.xml><?xml version="1.0" encoding="utf-8"?>
<sst xmlns="http://schemas.openxmlformats.org/spreadsheetml/2006/main" count="19" uniqueCount="11">
  <si>
    <t>i</t>
  </si>
  <si>
    <t>x_i</t>
  </si>
  <si>
    <t>y_i</t>
  </si>
  <si>
    <t>x_i^2</t>
  </si>
  <si>
    <t>x_i * y_i</t>
  </si>
  <si>
    <t>phi(x_i)</t>
  </si>
  <si>
    <t>(phi(x_i)-y_i)^2</t>
  </si>
  <si>
    <t>sigma</t>
  </si>
  <si>
    <t>x_i^3</t>
  </si>
  <si>
    <t>x_i^4</t>
  </si>
  <si>
    <t>x_i^2 * y_i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</si>
</sst>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quotePrefix="1"/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99EE-BBC3-40A8-92BF-88FCA9AD6F0F}">
  <dimension ref="A1:M28"/>
  <sheetViews>
    <sheetView tabSelected="1" workbookViewId="0">
      <selection activeCell="B23" sqref="B23:L27"/>
    </sheetView>
  </sheetViews>
  <sheetFormatPr defaultRowHeight="14.25" x14ac:dyDescent="0.45"/>
  <cols>
    <col min="1" max="1" width="12.33203125" bestFit="1" customWidth="1"/>
    <col min="2" max="12" width="9.265625" bestFit="1" customWidth="1"/>
  </cols>
  <sheetData>
    <row r="1" spans="1:13" x14ac:dyDescent="0.4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3" x14ac:dyDescent="0.45">
      <c r="A2" t="s">
        <v>1</v>
      </c>
      <c r="B2">
        <v>-2</v>
      </c>
      <c r="C2">
        <v>-1.8</v>
      </c>
      <c r="D2">
        <f>C2+0.2</f>
        <v>-1.6</v>
      </c>
      <c r="E2">
        <f t="shared" ref="E2:K2" si="0">D2+0.2</f>
        <v>-1.4000000000000001</v>
      </c>
      <c r="F2">
        <f t="shared" si="0"/>
        <v>-1.2000000000000002</v>
      </c>
      <c r="G2">
        <f t="shared" si="0"/>
        <v>-1.0000000000000002</v>
      </c>
      <c r="H2">
        <f t="shared" si="0"/>
        <v>-0.80000000000000027</v>
      </c>
      <c r="I2">
        <f t="shared" si="0"/>
        <v>-0.60000000000000031</v>
      </c>
      <c r="J2">
        <f t="shared" si="0"/>
        <v>-0.4000000000000003</v>
      </c>
      <c r="K2">
        <f t="shared" si="0"/>
        <v>-0.20000000000000029</v>
      </c>
      <c r="L2">
        <v>0</v>
      </c>
      <c r="M2">
        <f>SUM(B2:L2)</f>
        <v>-11.000000000000002</v>
      </c>
    </row>
    <row r="3" spans="1:13" x14ac:dyDescent="0.45">
      <c r="A3" t="s">
        <v>2</v>
      </c>
      <c r="B3" s="1">
        <f>(23*B2)/(POWER(B2,4)+7)</f>
        <v>-2</v>
      </c>
      <c r="C3" s="1">
        <f t="shared" ref="C3:L3" si="1">(23*C2)/(POWER(C2,4)+7)</f>
        <v>-2.3660387710314552</v>
      </c>
      <c r="D3" s="1">
        <f t="shared" si="1"/>
        <v>-2.7151457915240229</v>
      </c>
      <c r="E3" s="1">
        <f t="shared" si="1"/>
        <v>-2.9700413223140494</v>
      </c>
      <c r="F3" s="1">
        <f t="shared" si="1"/>
        <v>-3.0417915711514727</v>
      </c>
      <c r="G3" s="1">
        <f t="shared" si="1"/>
        <v>-2.8750000000000004</v>
      </c>
      <c r="H3" s="1">
        <f t="shared" si="1"/>
        <v>-2.4832649535737428</v>
      </c>
      <c r="I3" s="1">
        <f t="shared" si="1"/>
        <v>-1.935592459605028</v>
      </c>
      <c r="J3" s="1">
        <f t="shared" si="1"/>
        <v>-1.309496697790937</v>
      </c>
      <c r="K3" s="1">
        <f t="shared" si="1"/>
        <v>-0.65699268738574135</v>
      </c>
      <c r="L3" s="1">
        <f t="shared" si="1"/>
        <v>0</v>
      </c>
      <c r="M3" s="1">
        <f>SUM(B3:L3)</f>
        <v>-22.353364254376451</v>
      </c>
    </row>
    <row r="5" spans="1:13" x14ac:dyDescent="0.45">
      <c r="A5" t="s">
        <v>3</v>
      </c>
      <c r="B5">
        <f>POWER(B2,2)</f>
        <v>4</v>
      </c>
      <c r="C5">
        <f t="shared" ref="C5:L5" si="2">POWER(C2,2)</f>
        <v>3.24</v>
      </c>
      <c r="D5">
        <f t="shared" si="2"/>
        <v>2.5600000000000005</v>
      </c>
      <c r="E5">
        <f t="shared" si="2"/>
        <v>1.9600000000000004</v>
      </c>
      <c r="F5">
        <f t="shared" si="2"/>
        <v>1.4400000000000004</v>
      </c>
      <c r="G5">
        <f t="shared" si="2"/>
        <v>1.0000000000000004</v>
      </c>
      <c r="H5">
        <f t="shared" si="2"/>
        <v>0.64000000000000046</v>
      </c>
      <c r="I5">
        <f t="shared" si="2"/>
        <v>0.36000000000000038</v>
      </c>
      <c r="J5">
        <f t="shared" si="2"/>
        <v>0.16000000000000025</v>
      </c>
      <c r="K5">
        <f t="shared" si="2"/>
        <v>4.0000000000000119E-2</v>
      </c>
      <c r="L5">
        <f t="shared" si="2"/>
        <v>0</v>
      </c>
      <c r="M5">
        <f>SUM(B5:L5)</f>
        <v>15.400000000000006</v>
      </c>
    </row>
    <row r="6" spans="1:13" x14ac:dyDescent="0.45">
      <c r="A6" t="s">
        <v>4</v>
      </c>
      <c r="B6">
        <f>B2*B3</f>
        <v>4</v>
      </c>
      <c r="C6">
        <f t="shared" ref="C6:L6" si="3">C2*C3</f>
        <v>4.2588697878566197</v>
      </c>
      <c r="D6">
        <f t="shared" si="3"/>
        <v>4.3442332664384367</v>
      </c>
      <c r="E6">
        <f t="shared" si="3"/>
        <v>4.1580578512396693</v>
      </c>
      <c r="F6">
        <f t="shared" si="3"/>
        <v>3.6501498853817678</v>
      </c>
      <c r="G6">
        <f t="shared" si="3"/>
        <v>2.8750000000000009</v>
      </c>
      <c r="H6">
        <f t="shared" si="3"/>
        <v>1.9866119628589949</v>
      </c>
      <c r="I6">
        <f t="shared" si="3"/>
        <v>1.1613554757630173</v>
      </c>
      <c r="J6">
        <f t="shared" si="3"/>
        <v>0.52379867911637523</v>
      </c>
      <c r="K6">
        <f t="shared" si="3"/>
        <v>0.13139853747714847</v>
      </c>
      <c r="L6">
        <f t="shared" si="3"/>
        <v>0</v>
      </c>
      <c r="M6">
        <f>SUM(B6:L6)</f>
        <v>27.089475446132031</v>
      </c>
    </row>
    <row r="7" spans="1:13" x14ac:dyDescent="0.45">
      <c r="A7" s="2" t="s">
        <v>8</v>
      </c>
      <c r="B7">
        <f>POWER(B2,3)</f>
        <v>-8</v>
      </c>
      <c r="C7">
        <f t="shared" ref="C7:L7" si="4">POWER(C2,3)</f>
        <v>-5.8320000000000007</v>
      </c>
      <c r="D7">
        <f t="shared" si="4"/>
        <v>-4.096000000000001</v>
      </c>
      <c r="E7">
        <f t="shared" si="4"/>
        <v>-2.7440000000000007</v>
      </c>
      <c r="F7">
        <f t="shared" si="4"/>
        <v>-1.7280000000000006</v>
      </c>
      <c r="G7">
        <f t="shared" si="4"/>
        <v>-1.0000000000000007</v>
      </c>
      <c r="H7">
        <f t="shared" si="4"/>
        <v>-0.51200000000000057</v>
      </c>
      <c r="I7">
        <f t="shared" si="4"/>
        <v>-0.21600000000000033</v>
      </c>
      <c r="J7">
        <f t="shared" si="4"/>
        <v>-6.4000000000000154E-2</v>
      </c>
      <c r="K7">
        <f t="shared" si="4"/>
        <v>-8.0000000000000349E-3</v>
      </c>
      <c r="L7">
        <f t="shared" si="4"/>
        <v>0</v>
      </c>
      <c r="M7">
        <f t="shared" ref="M7:M9" si="5">SUM(B7:L7)</f>
        <v>-24.200000000000003</v>
      </c>
    </row>
    <row r="8" spans="1:13" x14ac:dyDescent="0.45">
      <c r="A8" t="s">
        <v>9</v>
      </c>
      <c r="B8">
        <f>POWER(B2,4)</f>
        <v>16</v>
      </c>
      <c r="C8">
        <f t="shared" ref="C8:L8" si="6">POWER(C2,4)</f>
        <v>10.497600000000002</v>
      </c>
      <c r="D8">
        <f t="shared" si="6"/>
        <v>6.553600000000003</v>
      </c>
      <c r="E8">
        <f t="shared" si="6"/>
        <v>3.8416000000000015</v>
      </c>
      <c r="F8">
        <f t="shared" si="6"/>
        <v>2.0736000000000012</v>
      </c>
      <c r="G8">
        <f t="shared" si="6"/>
        <v>1.0000000000000009</v>
      </c>
      <c r="H8">
        <f t="shared" si="6"/>
        <v>0.40960000000000057</v>
      </c>
      <c r="I8">
        <f t="shared" si="6"/>
        <v>0.12960000000000027</v>
      </c>
      <c r="J8">
        <f t="shared" si="6"/>
        <v>2.5600000000000081E-2</v>
      </c>
      <c r="K8">
        <f t="shared" si="6"/>
        <v>1.6000000000000094E-3</v>
      </c>
      <c r="L8">
        <f t="shared" si="6"/>
        <v>0</v>
      </c>
      <c r="M8">
        <f t="shared" si="5"/>
        <v>40.532800000000009</v>
      </c>
    </row>
    <row r="9" spans="1:13" x14ac:dyDescent="0.45">
      <c r="A9" t="s">
        <v>10</v>
      </c>
      <c r="B9">
        <f>B5*B3</f>
        <v>-8</v>
      </c>
      <c r="C9">
        <f t="shared" ref="C9:L9" si="7">C5*C3</f>
        <v>-7.6659656181419153</v>
      </c>
      <c r="D9">
        <f t="shared" si="7"/>
        <v>-6.9507732263015001</v>
      </c>
      <c r="E9">
        <f t="shared" si="7"/>
        <v>-5.8212809917355379</v>
      </c>
      <c r="F9">
        <f t="shared" si="7"/>
        <v>-4.3801798624581219</v>
      </c>
      <c r="G9">
        <f t="shared" si="7"/>
        <v>-2.8750000000000018</v>
      </c>
      <c r="H9">
        <f t="shared" si="7"/>
        <v>-1.5892895702871965</v>
      </c>
      <c r="I9">
        <f t="shared" si="7"/>
        <v>-0.69681328545781085</v>
      </c>
      <c r="J9">
        <f t="shared" si="7"/>
        <v>-0.20951947164655024</v>
      </c>
      <c r="K9">
        <f t="shared" si="7"/>
        <v>-2.6279707495429731E-2</v>
      </c>
      <c r="L9">
        <f t="shared" si="7"/>
        <v>0</v>
      </c>
      <c r="M9">
        <f t="shared" si="5"/>
        <v>-38.215101733524065</v>
      </c>
    </row>
    <row r="13" spans="1:13" x14ac:dyDescent="0.45">
      <c r="A13" t="s">
        <v>0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</row>
    <row r="14" spans="1:13" x14ac:dyDescent="0.45">
      <c r="A14" t="s">
        <v>1</v>
      </c>
      <c r="B14">
        <v>-2</v>
      </c>
      <c r="C14">
        <v>-1.8</v>
      </c>
      <c r="D14">
        <f>C14+0.2</f>
        <v>-1.6</v>
      </c>
      <c r="E14">
        <f t="shared" ref="E14" si="8">D14+0.2</f>
        <v>-1.4000000000000001</v>
      </c>
      <c r="F14">
        <f t="shared" ref="F14" si="9">E14+0.2</f>
        <v>-1.2000000000000002</v>
      </c>
      <c r="G14">
        <f t="shared" ref="G14" si="10">F14+0.2</f>
        <v>-1.0000000000000002</v>
      </c>
      <c r="H14">
        <f t="shared" ref="H14" si="11">G14+0.2</f>
        <v>-0.80000000000000027</v>
      </c>
      <c r="I14">
        <f t="shared" ref="I14" si="12">H14+0.2</f>
        <v>-0.60000000000000031</v>
      </c>
      <c r="J14">
        <f t="shared" ref="J14" si="13">I14+0.2</f>
        <v>-0.4000000000000003</v>
      </c>
      <c r="K14">
        <f t="shared" ref="K14" si="14">J14+0.2</f>
        <v>-0.20000000000000029</v>
      </c>
      <c r="L14">
        <v>0</v>
      </c>
    </row>
    <row r="15" spans="1:13" x14ac:dyDescent="0.45">
      <c r="A15" t="s">
        <v>2</v>
      </c>
      <c r="B15" s="1">
        <f>(23*B14)/(POWER(B14,4)+7)</f>
        <v>-2</v>
      </c>
      <c r="C15" s="1">
        <f t="shared" ref="C15:L15" si="15">(23*C14)/(POWER(C14,4)+7)</f>
        <v>-2.3660387710314552</v>
      </c>
      <c r="D15" s="1">
        <f t="shared" si="15"/>
        <v>-2.7151457915240229</v>
      </c>
      <c r="E15" s="1">
        <f t="shared" si="15"/>
        <v>-2.9700413223140494</v>
      </c>
      <c r="F15" s="1">
        <f t="shared" si="15"/>
        <v>-3.0417915711514727</v>
      </c>
      <c r="G15" s="1">
        <f t="shared" si="15"/>
        <v>-2.8750000000000004</v>
      </c>
      <c r="H15" s="1">
        <f t="shared" si="15"/>
        <v>-2.4832649535737428</v>
      </c>
      <c r="I15" s="1">
        <f t="shared" si="15"/>
        <v>-1.935592459605028</v>
      </c>
      <c r="J15" s="1">
        <f t="shared" si="15"/>
        <v>-1.309496697790937</v>
      </c>
      <c r="K15" s="1">
        <f t="shared" si="15"/>
        <v>-0.65699268738574135</v>
      </c>
      <c r="L15" s="1">
        <f t="shared" si="15"/>
        <v>0</v>
      </c>
      <c r="M15" s="1"/>
    </row>
    <row r="16" spans="1:13" x14ac:dyDescent="0.45">
      <c r="A16" t="s">
        <v>5</v>
      </c>
      <c r="B16" s="3">
        <f>1.0773*B14-0.9545</f>
        <v>-3.1090999999999998</v>
      </c>
      <c r="C16" s="3">
        <f t="shared" ref="C16:L16" si="16">1.0773*C14-0.9545</f>
        <v>-2.89364</v>
      </c>
      <c r="D16" s="3">
        <f t="shared" si="16"/>
        <v>-2.6781799999999998</v>
      </c>
      <c r="E16" s="3">
        <f t="shared" si="16"/>
        <v>-2.46272</v>
      </c>
      <c r="F16" s="3">
        <f t="shared" si="16"/>
        <v>-2.2472600000000003</v>
      </c>
      <c r="G16" s="3">
        <f t="shared" si="16"/>
        <v>-2.0318000000000001</v>
      </c>
      <c r="H16" s="3">
        <f t="shared" si="16"/>
        <v>-1.8163400000000003</v>
      </c>
      <c r="I16" s="3">
        <f t="shared" si="16"/>
        <v>-1.6008800000000003</v>
      </c>
      <c r="J16" s="3">
        <f t="shared" si="16"/>
        <v>-1.3854200000000003</v>
      </c>
      <c r="K16" s="3">
        <f t="shared" si="16"/>
        <v>-1.1699600000000003</v>
      </c>
      <c r="L16" s="3">
        <f t="shared" si="16"/>
        <v>-0.95450000000000002</v>
      </c>
    </row>
    <row r="17" spans="1:13" x14ac:dyDescent="0.45">
      <c r="A17" t="s">
        <v>6</v>
      </c>
      <c r="B17" s="3">
        <f>POWER(B16-B15,2)</f>
        <v>1.2301028099999995</v>
      </c>
      <c r="C17" s="3">
        <f t="shared" ref="C17:L17" si="17">POWER(C16-C15,2)</f>
        <v>0.27836305680911883</v>
      </c>
      <c r="D17" s="3">
        <f t="shared" si="17"/>
        <v>1.3664697429975402E-3</v>
      </c>
      <c r="E17" s="3">
        <f t="shared" si="17"/>
        <v>0.25737492407447554</v>
      </c>
      <c r="F17" s="3">
        <f t="shared" si="17"/>
        <v>0.63128041755642728</v>
      </c>
      <c r="G17" s="3">
        <f t="shared" si="17"/>
        <v>0.71098624000000066</v>
      </c>
      <c r="H17" s="3">
        <f t="shared" si="17"/>
        <v>0.44478889369933855</v>
      </c>
      <c r="I17" s="3">
        <f t="shared" si="17"/>
        <v>0.11203243061484731</v>
      </c>
      <c r="J17" s="3">
        <f t="shared" si="17"/>
        <v>5.764347818328755E-3</v>
      </c>
      <c r="K17" s="3">
        <f t="shared" si="17"/>
        <v>0.26313546381069491</v>
      </c>
      <c r="L17" s="3">
        <f t="shared" si="17"/>
        <v>0.91107025000000008</v>
      </c>
      <c r="M17" s="3">
        <f>SUM(B17:L17)</f>
        <v>4.8462653041262298</v>
      </c>
    </row>
    <row r="18" spans="1:13" x14ac:dyDescent="0.45">
      <c r="L18" t="s">
        <v>7</v>
      </c>
      <c r="M18" s="3">
        <f>SQRT(M17/11)</f>
        <v>0.66375415109992686</v>
      </c>
    </row>
    <row r="23" spans="1:13" x14ac:dyDescent="0.45">
      <c r="A23" t="s">
        <v>0</v>
      </c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  <c r="H23">
        <v>7</v>
      </c>
      <c r="I23">
        <v>8</v>
      </c>
      <c r="J23">
        <v>9</v>
      </c>
      <c r="K23">
        <v>10</v>
      </c>
      <c r="L23">
        <v>11</v>
      </c>
    </row>
    <row r="24" spans="1:13" x14ac:dyDescent="0.45">
      <c r="A24" t="s">
        <v>1</v>
      </c>
      <c r="B24">
        <v>-2</v>
      </c>
      <c r="C24">
        <v>-1.8</v>
      </c>
      <c r="D24">
        <f>C24+0.2</f>
        <v>-1.6</v>
      </c>
      <c r="E24">
        <f t="shared" ref="E24" si="18">D24+0.2</f>
        <v>-1.4000000000000001</v>
      </c>
      <c r="F24">
        <f t="shared" ref="F24" si="19">E24+0.2</f>
        <v>-1.2000000000000002</v>
      </c>
      <c r="G24">
        <f t="shared" ref="G24" si="20">F24+0.2</f>
        <v>-1.0000000000000002</v>
      </c>
      <c r="H24">
        <f t="shared" ref="H24" si="21">G24+0.2</f>
        <v>-0.80000000000000027</v>
      </c>
      <c r="I24">
        <f t="shared" ref="I24" si="22">H24+0.2</f>
        <v>-0.60000000000000031</v>
      </c>
      <c r="J24">
        <f t="shared" ref="J24" si="23">I24+0.2</f>
        <v>-0.4000000000000003</v>
      </c>
      <c r="K24">
        <f t="shared" ref="K24" si="24">J24+0.2</f>
        <v>-0.20000000000000029</v>
      </c>
      <c r="L24">
        <v>0</v>
      </c>
    </row>
    <row r="25" spans="1:13" x14ac:dyDescent="0.45">
      <c r="A25" t="s">
        <v>2</v>
      </c>
      <c r="B25" s="1">
        <f>(23*B24)/(POWER(B24,4)+7)</f>
        <v>-2</v>
      </c>
      <c r="C25" s="1">
        <f t="shared" ref="C25:L25" si="25">(23*C24)/(POWER(C24,4)+7)</f>
        <v>-2.3660387710314552</v>
      </c>
      <c r="D25" s="1">
        <f t="shared" si="25"/>
        <v>-2.7151457915240229</v>
      </c>
      <c r="E25" s="1">
        <f t="shared" si="25"/>
        <v>-2.9700413223140494</v>
      </c>
      <c r="F25" s="1">
        <f t="shared" si="25"/>
        <v>-3.0417915711514727</v>
      </c>
      <c r="G25" s="1">
        <f t="shared" si="25"/>
        <v>-2.8750000000000004</v>
      </c>
      <c r="H25" s="1">
        <f t="shared" si="25"/>
        <v>-2.4832649535737428</v>
      </c>
      <c r="I25" s="1">
        <f t="shared" si="25"/>
        <v>-1.935592459605028</v>
      </c>
      <c r="J25" s="1">
        <f t="shared" si="25"/>
        <v>-1.309496697790937</v>
      </c>
      <c r="K25" s="1">
        <f t="shared" si="25"/>
        <v>-0.65699268738574135</v>
      </c>
      <c r="L25" s="1">
        <f t="shared" si="25"/>
        <v>0</v>
      </c>
    </row>
    <row r="26" spans="1:13" x14ac:dyDescent="0.45">
      <c r="A26" t="s">
        <v>5</v>
      </c>
      <c r="B26" s="3">
        <f>0.1622+4.7999*B24+1.8613*B24*B24</f>
        <v>-1.9923999999999999</v>
      </c>
      <c r="C26" s="3">
        <f t="shared" ref="C26:L26" si="26">0.1622+4.7999*C24+1.8613*C24*C24</f>
        <v>-2.4470079999999994</v>
      </c>
      <c r="D26" s="3">
        <f t="shared" si="26"/>
        <v>-2.7527119999999998</v>
      </c>
      <c r="E26" s="3">
        <f t="shared" si="26"/>
        <v>-2.9095119999999999</v>
      </c>
      <c r="F26" s="3">
        <f t="shared" si="26"/>
        <v>-2.917408</v>
      </c>
      <c r="G26" s="3">
        <f t="shared" si="26"/>
        <v>-2.7763999999999998</v>
      </c>
      <c r="H26" s="3">
        <f t="shared" si="26"/>
        <v>-2.4864880000000005</v>
      </c>
      <c r="I26" s="3">
        <f t="shared" si="26"/>
        <v>-2.0476720000000013</v>
      </c>
      <c r="J26" s="3">
        <f t="shared" si="26"/>
        <v>-1.4599520000000012</v>
      </c>
      <c r="K26" s="3">
        <f t="shared" si="26"/>
        <v>-0.72332800000000119</v>
      </c>
      <c r="L26" s="3">
        <f t="shared" si="26"/>
        <v>0.16220000000000001</v>
      </c>
    </row>
    <row r="27" spans="1:13" x14ac:dyDescent="0.45">
      <c r="A27" t="s">
        <v>6</v>
      </c>
      <c r="B27" s="3">
        <f>POWER(B26-B25,2)</f>
        <v>5.7760000000000775E-5</v>
      </c>
      <c r="C27" s="3">
        <f t="shared" ref="C27" si="27">POWER(C26-C25,2)</f>
        <v>6.5560160397605365E-3</v>
      </c>
      <c r="D27" s="3">
        <f t="shared" ref="D27" si="28">POWER(D26-D25,2)</f>
        <v>1.4112200192605599E-3</v>
      </c>
      <c r="E27" s="3">
        <f t="shared" ref="E27" si="29">POWER(E26-E25,2)</f>
        <v>3.6637988597980915E-3</v>
      </c>
      <c r="F27" s="3">
        <f t="shared" ref="F27" si="30">POWER(F26-F25,2)</f>
        <v>1.547127277239347E-2</v>
      </c>
      <c r="G27" s="3">
        <f t="shared" ref="G27" si="31">POWER(G26-G25,2)</f>
        <v>9.7219600000001353E-3</v>
      </c>
      <c r="H27" s="3">
        <f t="shared" ref="H27" si="32">POWER(H26-H25,2)</f>
        <v>1.038802826581255E-5</v>
      </c>
      <c r="I27" s="3">
        <f t="shared" ref="I27" si="33">POWER(I26-I25,2)</f>
        <v>1.2561823375148442E-2</v>
      </c>
      <c r="J27" s="3">
        <f t="shared" ref="J27" si="34">POWER(J26-J25,2)</f>
        <v>2.2636797962820844E-2</v>
      </c>
      <c r="K27" s="3">
        <f t="shared" ref="K27" si="35">POWER(K26-K25,2)</f>
        <v>4.4003736996315809E-3</v>
      </c>
      <c r="L27" s="3">
        <f t="shared" ref="L27" si="36">POWER(L26-L25,2)</f>
        <v>2.6308840000000003E-2</v>
      </c>
      <c r="M27">
        <f>SUM(B27:L27)</f>
        <v>0.10280025075707946</v>
      </c>
    </row>
    <row r="28" spans="1:13" x14ac:dyDescent="0.45">
      <c r="M28">
        <f>SQRT(M27/11)</f>
        <v>9.6672009090287753E-2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Vyacheslav Kulagin</dc:creator>
  <cp:lastModifiedBy>Vyacheslav Kulagin</cp:lastModifiedBy>
  <dcterms:created xsi:type="dcterms:W3CDTF">2025-05-07T18:20:35Z</dcterms:created>
  <dcterms:modified xsi:type="dcterms:W3CDTF">2025-05-08T22:50:45Z</dcterms:modified>
</cp:coreProperties>
</file>