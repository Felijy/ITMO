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calc-math\lab3\"/>
    </mc:Choice>
  </mc:AlternateContent>
  <xr:revisionPtr revIDLastSave="0" documentId="8_{BE4D9E39-09E0-4EB0-B5C7-8050D08D9213}" xr6:coauthVersionLast="47" xr6:coauthVersionMax="47" xr10:uidLastSave="{00000000-0000-0000-0000-000000000000}"/>
  <bookViews>
    <workbookView xWindow="-98" yWindow="-98" windowWidth="24196" windowHeight="14476" xr2:uid="{784CA5BF-8D98-4701-BAFD-EEAEDCFA5A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N12" i="1"/>
  <c r="N14" i="1"/>
  <c r="D14" i="1"/>
  <c r="E14" i="1"/>
  <c r="F14" i="1"/>
  <c r="G14" i="1"/>
  <c r="H14" i="1"/>
  <c r="I14" i="1"/>
  <c r="J14" i="1"/>
  <c r="K14" i="1"/>
  <c r="L14" i="1"/>
  <c r="C14" i="1"/>
  <c r="D13" i="1"/>
  <c r="E13" i="1"/>
  <c r="F13" i="1"/>
  <c r="G13" i="1"/>
  <c r="H13" i="1"/>
  <c r="I13" i="1"/>
  <c r="J13" i="1"/>
  <c r="K13" i="1"/>
  <c r="L13" i="1"/>
  <c r="C13" i="1"/>
  <c r="D11" i="1"/>
  <c r="E11" i="1"/>
  <c r="E12" i="1" s="1"/>
  <c r="F11" i="1"/>
  <c r="F12" i="1" s="1"/>
  <c r="C11" i="1"/>
  <c r="C12" i="1" s="1"/>
  <c r="D12" i="1"/>
  <c r="B12" i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D1" i="1"/>
  <c r="E1" i="1" s="1"/>
  <c r="E8" i="1" s="1"/>
  <c r="B2" i="1"/>
  <c r="B3" i="1"/>
  <c r="B4" i="1"/>
  <c r="B5" i="1"/>
  <c r="B6" i="1"/>
  <c r="B7" i="1"/>
  <c r="B1" i="1"/>
  <c r="G11" i="1" l="1"/>
  <c r="G12" i="1" l="1"/>
  <c r="H11" i="1"/>
  <c r="H12" i="1" l="1"/>
  <c r="I11" i="1"/>
  <c r="I12" i="1" l="1"/>
  <c r="J11" i="1"/>
  <c r="J12" i="1" l="1"/>
  <c r="K11" i="1"/>
  <c r="K12" i="1" l="1"/>
  <c r="L11" i="1"/>
  <c r="L12" i="1" s="1"/>
</calcChain>
</file>

<file path=xl/sharedStrings.xml><?xml version="1.0" encoding="utf-8"?>
<sst xmlns="http://schemas.openxmlformats.org/spreadsheetml/2006/main" count="5" uniqueCount="5">
  <si>
    <t>x_i</t>
  </si>
  <si>
    <t>y_i</t>
  </si>
  <si>
    <t>x_i-0.5</t>
  </si>
  <si>
    <t>y_i-0.5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</si>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</sst>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6879-EA88-480D-A298-6EBCC8544430}">
  <dimension ref="A1:P14"/>
  <sheetViews>
    <sheetView tabSelected="1" workbookViewId="0">
      <selection activeCell="Q19" sqref="Q19"/>
    </sheetView>
  </sheetViews>
  <sheetFormatPr defaultRowHeight="14.25" x14ac:dyDescent="0.45"/>
  <sheetData>
    <row r="1" spans="1:16" x14ac:dyDescent="0.45">
      <c r="A1">
        <v>0</v>
      </c>
      <c r="B1">
        <f>4*POWER(A1,3)-5*POWER(A1,2)+6*A1-7</f>
        <v>-7</v>
      </c>
      <c r="D1">
        <f>41*2/840</f>
        <v>9.7619047619047619E-2</v>
      </c>
      <c r="E1">
        <f>D1*B1</f>
        <v>-0.68333333333333335</v>
      </c>
    </row>
    <row r="2" spans="1:16" x14ac:dyDescent="0.45">
      <c r="A2">
        <v>2</v>
      </c>
      <c r="B2">
        <f t="shared" ref="B2:B7" si="0">4*POWER(A2,3)-5*POWER(A2,2)+6*A2-7</f>
        <v>17</v>
      </c>
      <c r="D2">
        <f>41*2/840</f>
        <v>9.7619047619047619E-2</v>
      </c>
      <c r="E2">
        <f t="shared" ref="E2:E7" si="1">D2*B2</f>
        <v>1.6595238095238096</v>
      </c>
    </row>
    <row r="3" spans="1:16" x14ac:dyDescent="0.45">
      <c r="A3">
        <v>0.33300000000000002</v>
      </c>
      <c r="B3">
        <f t="shared" si="0"/>
        <v>-5.4087408519999993</v>
      </c>
      <c r="D3">
        <f>216*2/840</f>
        <v>0.51428571428571423</v>
      </c>
      <c r="E3">
        <f t="shared" si="1"/>
        <v>-2.7816381524571421</v>
      </c>
    </row>
    <row r="4" spans="1:16" x14ac:dyDescent="0.45">
      <c r="A4">
        <v>1.667</v>
      </c>
      <c r="B4">
        <f t="shared" si="0"/>
        <v>7.6371868520000028</v>
      </c>
      <c r="D4">
        <f>216*2/840</f>
        <v>0.51428571428571423</v>
      </c>
      <c r="E4">
        <f t="shared" si="1"/>
        <v>3.9276960953142868</v>
      </c>
    </row>
    <row r="5" spans="1:16" x14ac:dyDescent="0.45">
      <c r="A5">
        <v>0.66700000000000004</v>
      </c>
      <c r="B5">
        <f t="shared" si="0"/>
        <v>-4.0354811479999997</v>
      </c>
      <c r="D5">
        <f>27*2/840</f>
        <v>6.4285714285714279E-2</v>
      </c>
      <c r="E5">
        <f t="shared" si="1"/>
        <v>-0.25942378808571426</v>
      </c>
    </row>
    <row r="6" spans="1:16" x14ac:dyDescent="0.45">
      <c r="A6">
        <v>1.333</v>
      </c>
      <c r="B6">
        <f t="shared" si="0"/>
        <v>1.5879271479999986</v>
      </c>
      <c r="D6">
        <f>27*2/840</f>
        <v>6.4285714285714279E-2</v>
      </c>
      <c r="E6">
        <f t="shared" si="1"/>
        <v>0.10208103094285705</v>
      </c>
    </row>
    <row r="7" spans="1:16" x14ac:dyDescent="0.45">
      <c r="A7">
        <v>1</v>
      </c>
      <c r="B7">
        <f t="shared" si="0"/>
        <v>-2</v>
      </c>
      <c r="D7">
        <f>272*2/840</f>
        <v>0.64761904761904765</v>
      </c>
      <c r="E7">
        <f t="shared" si="1"/>
        <v>-1.2952380952380953</v>
      </c>
    </row>
    <row r="8" spans="1:16" x14ac:dyDescent="0.45">
      <c r="E8">
        <f>SUM(E1:E7)</f>
        <v>0.66966756666666849</v>
      </c>
    </row>
    <row r="10" spans="1:16" x14ac:dyDescent="0.45">
      <c r="A10" t="s">
        <v>4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</row>
    <row r="11" spans="1:16" x14ac:dyDescent="0.45">
      <c r="A11" t="s">
        <v>0</v>
      </c>
      <c r="B11">
        <v>0</v>
      </c>
      <c r="C11">
        <f>B11+0.2</f>
        <v>0.2</v>
      </c>
      <c r="D11">
        <f t="shared" ref="D11:L11" si="2">C11+0.2</f>
        <v>0.4</v>
      </c>
      <c r="E11">
        <f t="shared" si="2"/>
        <v>0.60000000000000009</v>
      </c>
      <c r="F11">
        <f t="shared" si="2"/>
        <v>0.8</v>
      </c>
      <c r="G11">
        <f t="shared" si="2"/>
        <v>1</v>
      </c>
      <c r="H11">
        <f t="shared" si="2"/>
        <v>1.2</v>
      </c>
      <c r="I11">
        <f t="shared" si="2"/>
        <v>1.4</v>
      </c>
      <c r="J11">
        <f t="shared" si="2"/>
        <v>1.5999999999999999</v>
      </c>
      <c r="K11">
        <f t="shared" si="2"/>
        <v>1.7999999999999998</v>
      </c>
      <c r="L11">
        <f t="shared" si="2"/>
        <v>1.9999999999999998</v>
      </c>
    </row>
    <row r="12" spans="1:16" x14ac:dyDescent="0.45">
      <c r="A12" t="s">
        <v>1</v>
      </c>
      <c r="B12">
        <f>4*POWER(B11,3)-5*POWER(B11,2)+6*B11-7</f>
        <v>-7</v>
      </c>
      <c r="C12">
        <f t="shared" ref="C12:L14" si="3">4*POWER(C11,3)-5*POWER(C11,2)+6*C11-7</f>
        <v>-5.968</v>
      </c>
      <c r="D12">
        <f t="shared" si="3"/>
        <v>-5.1440000000000001</v>
      </c>
      <c r="E12">
        <f t="shared" si="3"/>
        <v>-4.3359999999999994</v>
      </c>
      <c r="F12">
        <f t="shared" si="3"/>
        <v>-3.3519999999999994</v>
      </c>
      <c r="G12">
        <f t="shared" si="3"/>
        <v>-2</v>
      </c>
      <c r="H12">
        <f t="shared" si="3"/>
        <v>-8.8000000000000078E-2</v>
      </c>
      <c r="I12">
        <f t="shared" si="3"/>
        <v>2.575999999999997</v>
      </c>
      <c r="J12">
        <f t="shared" si="3"/>
        <v>6.1839999999999993</v>
      </c>
      <c r="K12">
        <f t="shared" si="3"/>
        <v>10.927999999999997</v>
      </c>
      <c r="L12">
        <f t="shared" si="3"/>
        <v>16.999999999999993</v>
      </c>
      <c r="N12">
        <f>0.2/2*(B12+L12+2*SUM(C12:K12))</f>
        <v>0.75999999999999768</v>
      </c>
      <c r="P12">
        <f>0.2/3*(B12+4*(C12+E12+G12+I12+K12)+2*(D12+F12+H12+J12)+L12)</f>
        <v>0.66666666666666496</v>
      </c>
    </row>
    <row r="13" spans="1:16" x14ac:dyDescent="0.45">
      <c r="A13" t="s">
        <v>2</v>
      </c>
      <c r="C13">
        <f>(C11+B11)/2</f>
        <v>0.1</v>
      </c>
      <c r="D13">
        <f t="shared" ref="D13:L13" si="4">(D11+C11)/2</f>
        <v>0.30000000000000004</v>
      </c>
      <c r="E13">
        <f t="shared" si="4"/>
        <v>0.5</v>
      </c>
      <c r="F13">
        <f t="shared" si="4"/>
        <v>0.70000000000000007</v>
      </c>
      <c r="G13">
        <f t="shared" si="4"/>
        <v>0.9</v>
      </c>
      <c r="H13">
        <f t="shared" si="4"/>
        <v>1.1000000000000001</v>
      </c>
      <c r="I13">
        <f t="shared" si="4"/>
        <v>1.2999999999999998</v>
      </c>
      <c r="J13">
        <f t="shared" si="4"/>
        <v>1.5</v>
      </c>
      <c r="K13">
        <f t="shared" si="4"/>
        <v>1.6999999999999997</v>
      </c>
      <c r="L13">
        <f t="shared" si="4"/>
        <v>1.9</v>
      </c>
    </row>
    <row r="14" spans="1:16" x14ac:dyDescent="0.45">
      <c r="A14" t="s">
        <v>3</v>
      </c>
      <c r="C14">
        <f t="shared" si="3"/>
        <v>-6.4459999999999997</v>
      </c>
      <c r="D14">
        <f t="shared" ref="D14" si="5">4*POWER(D13,3)-5*POWER(D13,2)+6*D13-7</f>
        <v>-5.5419999999999998</v>
      </c>
      <c r="E14">
        <f t="shared" ref="E14" si="6">4*POWER(E13,3)-5*POWER(E13,2)+6*E13-7</f>
        <v>-4.75</v>
      </c>
      <c r="F14">
        <f t="shared" ref="F14" si="7">4*POWER(F13,3)-5*POWER(F13,2)+6*F13-7</f>
        <v>-3.8780000000000001</v>
      </c>
      <c r="G14">
        <f t="shared" ref="G14" si="8">4*POWER(G13,3)-5*POWER(G13,2)+6*G13-7</f>
        <v>-2.734</v>
      </c>
      <c r="H14">
        <f t="shared" ref="H14" si="9">4*POWER(H13,3)-5*POWER(H13,2)+6*H13-7</f>
        <v>-1.1259999999999986</v>
      </c>
      <c r="I14">
        <f t="shared" ref="I14" si="10">4*POWER(I13,3)-5*POWER(I13,2)+6*I13-7</f>
        <v>1.1379999999999981</v>
      </c>
      <c r="J14">
        <f t="shared" ref="J14" si="11">4*POWER(J13,3)-5*POWER(J13,2)+6*J13-7</f>
        <v>4.25</v>
      </c>
      <c r="K14">
        <f t="shared" ref="K14" si="12">4*POWER(K13,3)-5*POWER(K13,2)+6*K13-7</f>
        <v>8.4019999999999939</v>
      </c>
      <c r="L14">
        <f t="shared" ref="L14" si="13">4*POWER(L13,3)-5*POWER(L13,2)+6*L13-7</f>
        <v>13.785999999999994</v>
      </c>
      <c r="N14">
        <f>0.2*SUM(C14:L14)</f>
        <v>0.61999999999999744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2025-04-28T19:58:36Z</dcterms:created>
  <dcterms:modified xsi:type="dcterms:W3CDTF">2025-04-28T22:12:48Z</dcterms:modified>
</cp:coreProperties>
</file>